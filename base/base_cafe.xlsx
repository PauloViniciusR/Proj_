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Sheet1" sheetId="2" r:id="rId6"/>
    <sheet state="visible" name="Marcas Target" sheetId="3" r:id="rId7"/>
    <sheet state="visible" name="mambo" sheetId="4" r:id="rId8"/>
    <sheet state="visible" name="marche" sheetId="5" r:id="rId9"/>
    <sheet state="visible" name="Preço Médio" sheetId="6" r:id="rId10"/>
  </sheets>
  <definedNames>
    <definedName localSheetId="4" name="ExternalData_1">marche!$A$1:$AA$367</definedName>
    <definedName localSheetId="0" name="ExternalData_1">dados!$A$1:$R$1048</definedName>
    <definedName localSheetId="3" name="ExternalData_2">mambo!$A$1:$AK$499</definedName>
  </definedNames>
  <calcPr/>
</workbook>
</file>

<file path=xl/sharedStrings.xml><?xml version="1.0" encoding="utf-8"?>
<sst xmlns="http://schemas.openxmlformats.org/spreadsheetml/2006/main" count="44395" uniqueCount="6503">
  <si>
    <t>Código</t>
  </si>
  <si>
    <t>Descrição</t>
  </si>
  <si>
    <t>Departamento</t>
  </si>
  <si>
    <t>Categoria/Setor</t>
  </si>
  <si>
    <t>Marca</t>
  </si>
  <si>
    <t>Famlíia</t>
  </si>
  <si>
    <t>Código do Fabricante</t>
  </si>
  <si>
    <t>Código de Barras</t>
  </si>
  <si>
    <t>SKU Monitorado</t>
  </si>
  <si>
    <t>Website Monitorado</t>
  </si>
  <si>
    <t>URL Produto Monitorado</t>
  </si>
  <si>
    <t>Data</t>
  </si>
  <si>
    <t>Média Preço Normal</t>
  </si>
  <si>
    <t>Média Preço Oferta</t>
  </si>
  <si>
    <t>Leituras</t>
  </si>
  <si>
    <t>Leituras com disponibilidade</t>
  </si>
  <si>
    <t>URL Monitor</t>
  </si>
  <si>
    <t>Desvio Média Preço %</t>
  </si>
  <si>
    <t>Marca Target</t>
  </si>
  <si>
    <t>1038723</t>
  </si>
  <si>
    <t>Café Torrado e Moído Extraforte Pilão Pacote 500g</t>
  </si>
  <si>
    <t>Alimentos</t>
  </si>
  <si>
    <t>Básico da despensa</t>
  </si>
  <si>
    <t>pa</t>
  </si>
  <si>
    <t/>
  </si>
  <si>
    <t>7896089013399</t>
  </si>
  <si>
    <t>www.paodeacucar.com</t>
  </si>
  <si>
    <t>https://www.paodeacucar.com/produto/292186/cafe-torrado-e-moido-extraforte-pilao-pacote-500g</t>
  </si>
  <si>
    <t>https://monitor.precifica.com.br/index.php/Produtos?act=edit&amp;id=15847066</t>
  </si>
  <si>
    <t>0183567</t>
  </si>
  <si>
    <t>Café Torrado e Moído Extraforte 3 Corações Pacote 500g</t>
  </si>
  <si>
    <t>7896005801529</t>
  </si>
  <si>
    <t>https://www.paodeacucar.com/produto/57156/cafe-torrado-e-moido-extraforte-3-coracoes-pacote-500g</t>
  </si>
  <si>
    <t>https://monitor.precifica.com.br/index.php/Produtos?act=edit&amp;id=15847427</t>
  </si>
  <si>
    <t>0590655</t>
  </si>
  <si>
    <t>Café Torrado e Moído Tradicional 3 Corações Pacote 500g</t>
  </si>
  <si>
    <t>7896005800010</t>
  </si>
  <si>
    <t>https://www.paodeacucar.com/produto/82810/cafe-torrado-e-moido-tradicional-3-coracoes-pacote-500g</t>
  </si>
  <si>
    <t>https://monitor.precifica.com.br/index.php/Produtos?act=edit&amp;id=15847426</t>
  </si>
  <si>
    <t>0463478</t>
  </si>
  <si>
    <t>Café Torrado e Moído a Vácuo Tradicional 3 Corações Pacote 500g</t>
  </si>
  <si>
    <t>7896005800188</t>
  </si>
  <si>
    <t>https://www.paodeacucar.com/produto/101961</t>
  </si>
  <si>
    <t>https://monitor.precifica.com.br/index.php/Produtos?act=edit&amp;id=15847436</t>
  </si>
  <si>
    <t>1038722</t>
  </si>
  <si>
    <t>Café Torrado e Moído a Vácuo Extraforte Pilão Pacote 500g</t>
  </si>
  <si>
    <t>7896089013405</t>
  </si>
  <si>
    <t>https://www.paodeacucar.com/produto/292183/cafe-torrado-e-moido-a-vacuo-extraforte-pilao-pacote-500g</t>
  </si>
  <si>
    <t>https://monitor.precifica.com.br/index.php/Produtos?act=edit&amp;id=15969083</t>
  </si>
  <si>
    <t>0798341</t>
  </si>
  <si>
    <t>Café Solúvel NESCAFÉ Matinal 100g</t>
  </si>
  <si>
    <t>7891000315507</t>
  </si>
  <si>
    <t>https://www.paodeacucar.com/produto/137096/cafe-soluvel-nescafe-matinal-100g</t>
  </si>
  <si>
    <t>https://monitor.precifica.com.br/index.php/Produtos?act=edit&amp;id=15969023</t>
  </si>
  <si>
    <t>0250672</t>
  </si>
  <si>
    <t>Café Solúvel Granulado Extraforte Nescafé Original Vidro 100g</t>
  </si>
  <si>
    <t>7891000300503</t>
  </si>
  <si>
    <t>https://www.paodeacucar.com/produto/152381/cafe-soluvel-granulado-extraforte-nescafe-original-vidro-100g</t>
  </si>
  <si>
    <t>https://monitor.precifica.com.br/index.php/Produtos?act=edit&amp;id=15968936</t>
  </si>
  <si>
    <t>0561495</t>
  </si>
  <si>
    <t>Café Torrado e Moído Tradicional Melitta Caixa 500g</t>
  </si>
  <si>
    <t>7891021006125</t>
  </si>
  <si>
    <t>https://www.paodeacucar.com/produto/37565/cafe-torrado-e-moido-tradicional-melitta-caixa-500g</t>
  </si>
  <si>
    <t>https://monitor.precifica.com.br/index.php/Produtos?act=edit&amp;id=15968989</t>
  </si>
  <si>
    <t>1042369</t>
  </si>
  <si>
    <t>Café em Cápsula Torrado e Moído Espresso Vibrante Tres Caixa 80g 10 Unidades</t>
  </si>
  <si>
    <t>7896005805015</t>
  </si>
  <si>
    <t>https://www.paodeacucar.com/produto/302325/cafe-em-capsula-torrado-e-moido-espresso-vibrante-tres-caixa-80g-10-unidades</t>
  </si>
  <si>
    <t>https://monitor.precifica.com.br/index.php/Produtos?act=edit&amp;id=15969093</t>
  </si>
  <si>
    <t>1042366</t>
  </si>
  <si>
    <t>Café em Cápsula Torrado e Moído Espresso Supremo 3 Corações Caixa 10 Unidades 8g Cada</t>
  </si>
  <si>
    <t>7896005805008</t>
  </si>
  <si>
    <t>https://www.paodeacucar.com/produto/297372/cafe-em-capsula-torrado-e-moido-espresso-supremo-3-coracoes-caixa-10-unidades-8g-cada</t>
  </si>
  <si>
    <t>https://monitor.precifica.com.br/index.php/Produtos?act=edit&amp;id=15969091</t>
  </si>
  <si>
    <t>1042611</t>
  </si>
  <si>
    <t>Café em Cápsula Torrado e Moído Espresso Descafeinado Tres Caixa 80g 10 Unidades</t>
  </si>
  <si>
    <t>7896005805022</t>
  </si>
  <si>
    <t>https://www.paodeacucar.com/produto/302305/cafe-em-capsula-torrado-e-moido-espresso-descafeinado-tres-caixa-80g-10-unidades</t>
  </si>
  <si>
    <t>https://monitor.precifica.com.br/index.php/Produtos?act=edit&amp;id=15969097</t>
  </si>
  <si>
    <t>1042367</t>
  </si>
  <si>
    <t>Café em Cápsula Torrado e Moído Espresso Pleno Tres Caixa 80g 10 Unidades</t>
  </si>
  <si>
    <t>7896005804995</t>
  </si>
  <si>
    <t>https://www.paodeacucar.com/produto/302245/cafe-em-capsula-torrado-e-moido-espresso-pleno-tres-caixa-80g-10-unidades</t>
  </si>
  <si>
    <t>https://monitor.precifica.com.br/index.php/Produtos?act=edit&amp;id=15969092</t>
  </si>
  <si>
    <t>1076459</t>
  </si>
  <si>
    <t>Café Torrado e Moído Tradicional MELITTA Pacote 500g</t>
  </si>
  <si>
    <t>7891021005043</t>
  </si>
  <si>
    <t>https://www.paodeacucar.com/produto/322383/cafe-torrado-e-moido-tradicional-melitta-pacote-500g</t>
  </si>
  <si>
    <t>https://monitor.precifica.com.br/index.php/Produtos?act=edit&amp;id=15969161</t>
  </si>
  <si>
    <t>1130391</t>
  </si>
  <si>
    <t>Café em Cápsula Torrado e Moído Lungo Espresso L\'or Caixa 52g 10 Unidades</t>
  </si>
  <si>
    <t>7896089088335</t>
  </si>
  <si>
    <t>https://www.paodeacucar.com/produto/389387/cafe-em-capsula-torrado-e-moido-lungo-espresso-lor-caixa-52g-10-unidades</t>
  </si>
  <si>
    <t>https://monitor.precifica.com.br/index.php/Produtos?act=edit&amp;id=15969277</t>
  </si>
  <si>
    <t>2013992</t>
  </si>
  <si>
    <t>Café Pilão Torrado E Moído Tradicional Vácuo 250g</t>
  </si>
  <si>
    <t>7896089012637</t>
  </si>
  <si>
    <t>https://www.paodeacucar.com/produto/62387</t>
  </si>
  <si>
    <t>https://monitor.precifica.com.br/index.php/Produtos?act=edit&amp;id=15969376</t>
  </si>
  <si>
    <t>3347201</t>
  </si>
  <si>
    <t>Café Solúvel Granulado Forte Nescafé Tradição Vidro 100g</t>
  </si>
  <si>
    <t>7891000029329</t>
  </si>
  <si>
    <t>https://www.paodeacucar.com/produto/159455/cafe-soluvel-granulado-forte-nescafe-tradicao-vidro-100g</t>
  </si>
  <si>
    <t>https://monitor.precifica.com.br/index.php/Produtos?act=edit&amp;id=15969419</t>
  </si>
  <si>
    <t>0250719</t>
  </si>
  <si>
    <t>Café Torrado e Moído Tradicional Pilão Pacote 500g</t>
  </si>
  <si>
    <t>Pilão</t>
  </si>
  <si>
    <t>7896089012019</t>
  </si>
  <si>
    <t>https://www.paodeacucar.com/produto/152052/cafe-torrado-e-moido-tradicional-pilao-pacote-500g</t>
  </si>
  <si>
    <t>https://monitor.precifica.com.br/index.php/Produtos?act=edit&amp;id=18681088</t>
  </si>
  <si>
    <t>4043447</t>
  </si>
  <si>
    <t>Café Torrado e Moído a Vácuo Extraforte 3 Corações Pacote 500g</t>
  </si>
  <si>
    <t>7896005801826</t>
  </si>
  <si>
    <t>https://www.paodeacucar.com/produto/47882/cafe-torrado-e-moido-a-vacuo-extraforte-3-coracoes-pacote-500g</t>
  </si>
  <si>
    <t>https://monitor.precifica.com.br/index.php/Produtos?act=edit&amp;id=15969460</t>
  </si>
  <si>
    <t>5682805</t>
  </si>
  <si>
    <t>Café Torrado e Moído Melitta Sabor da Fazenda Caixa 500g</t>
  </si>
  <si>
    <t>Melitta</t>
  </si>
  <si>
    <t>7891021005517</t>
  </si>
  <si>
    <t>https://www.paodeacucar.com/produto/169573/cafe-torrado-e-moido-melitta-sabor-da-fazenda-caixa-500g</t>
  </si>
  <si>
    <t>https://monitor.precifica.com.br/index.php/Produtos?act=edit&amp;id=19098958</t>
  </si>
  <si>
    <t>1148942</t>
  </si>
  <si>
    <t>Café em Cápsula Torrado e Moído Espresso Fortíssimo Pilão Caixa 52g 10 Unidades</t>
  </si>
  <si>
    <t>7896089088410</t>
  </si>
  <si>
    <t>https://www.paodeacucar.com/produto/411988/cafe-em-capsula-torrado-e-moido-espresso-fortissimo-pilao-caixa-52g-10-unidades</t>
  </si>
  <si>
    <t>https://monitor.precifica.com.br/index.php/Produtos?act=edit&amp;id=19098959</t>
  </si>
  <si>
    <t>1172534</t>
  </si>
  <si>
    <t>Café em Cápsula Torrado e Moído Ristretto Espresso Descafeinado Lor Caixa 52g 10 Unidades</t>
  </si>
  <si>
    <t>L'OR</t>
  </si>
  <si>
    <t>8711000397466</t>
  </si>
  <si>
    <t>https://www.paodeacucar.com/produto/428374/cafe-em-capsula-torrado-e-moido-ristretto-espresso-descafeinado-lor-caixa-52g-10-unidades</t>
  </si>
  <si>
    <t>https://monitor.precifica.com.br/index.php/Produtos?act=edit&amp;id=19098961</t>
  </si>
  <si>
    <t>1148940</t>
  </si>
  <si>
    <t>Café em Cápsula Torrado e Moído Espresso Extraforte Pilão Caixa 104g 20 Unidades Embalagem Econômica</t>
  </si>
  <si>
    <t>7896089088434</t>
  </si>
  <si>
    <t>https://www.paodeacucar.com/produto/411987/cafe-em-capsula-torrado-e-moido-espresso-extraforte-pilao-caixa-104g-20-unidades-embalagem-economica</t>
  </si>
  <si>
    <t>https://monitor.precifica.com.br/index.php/Produtos?act=edit&amp;id=19098962</t>
  </si>
  <si>
    <t>1194404</t>
  </si>
  <si>
    <t>Café em Cápsula Torrado e Moído Starbucks Pike Place Roast Caixa 53g 10 Unidades</t>
  </si>
  <si>
    <t>Starbucks</t>
  </si>
  <si>
    <t>7613036961745</t>
  </si>
  <si>
    <t>https://www.paodeacucar.com/produto/441616/cafe-em-capsula-torrado-e-moido-starbucks-pike-place-roast-caixa-53g-10-unidades</t>
  </si>
  <si>
    <t>https://monitor.precifica.com.br/index.php/Produtos?act=edit&amp;id=19098960</t>
  </si>
  <si>
    <t>1114200</t>
  </si>
  <si>
    <t>Café Torrado e Moído Clássico Orfeu Caixa 250g</t>
  </si>
  <si>
    <t>Orfeu</t>
  </si>
  <si>
    <t>7898912704023</t>
  </si>
  <si>
    <t>https://www.paodeacucar.com/produto/349846/cafe-torrado-e-moido-classico-orfeu-caixa-250g</t>
  </si>
  <si>
    <t>https://monitor.precifica.com.br/index.php/Produtos?act=edit&amp;id=19098963</t>
  </si>
  <si>
    <t>1148946</t>
  </si>
  <si>
    <t>Café em Cápsula Torrado e Moído Espresso Extraforte Pilão Caixa 52g 10 Unidades</t>
  </si>
  <si>
    <t>7896089088427</t>
  </si>
  <si>
    <t>https://www.paodeacucar.com/produto/410466/cafe-em-capsula-torrado-e-moido-espresso-extraforte-pilao-caixa-52g-10-unidades</t>
  </si>
  <si>
    <t>https://monitor.precifica.com.br/index.php/Produtos?act=edit&amp;id=19098965</t>
  </si>
  <si>
    <t>0573658</t>
  </si>
  <si>
    <t>Café Torrado em Grãos Espresso Pilão Pouch 1kg</t>
  </si>
  <si>
    <t>7896089012101</t>
  </si>
  <si>
    <t>https://www.paodeacucar.com/produto/44847/cafe-torrado-em-graos-espresso-pilao-pouch-1kg</t>
  </si>
  <si>
    <t>https://monitor.precifica.com.br/index.php/Produtos?act=edit&amp;id=19098967</t>
  </si>
  <si>
    <t>1114199</t>
  </si>
  <si>
    <t>Café em Cápsula Torrado e Moído Intenso Orfeu Caixa 50g 10 Unidades</t>
  </si>
  <si>
    <t>7898912704283</t>
  </si>
  <si>
    <t>https://www.paodeacucar.com/produto/349925/cafe-em-capsula-torrado-e-moido-intenso-orfeu-caixa-50g-10-unidades</t>
  </si>
  <si>
    <t>https://monitor.precifica.com.br/index.php/Produtos?act=edit&amp;id=19098966</t>
  </si>
  <si>
    <t>1130399</t>
  </si>
  <si>
    <t>Café em Cápsula Torrado e Moído Espresso Sontuoso Lor Caixa 52g 10 Unidades</t>
  </si>
  <si>
    <t>8711000362556</t>
  </si>
  <si>
    <t>https://www.paodeacucar.com/produto/389384/cafe-em-capsula-torrado-e-moido-espresso-sontuoso-lor-caixa-52g-10-unidades</t>
  </si>
  <si>
    <t>https://monitor.precifica.com.br/index.php/Produtos?act=edit&amp;id=19098964</t>
  </si>
  <si>
    <t>1172532</t>
  </si>
  <si>
    <t>Café em Cápsula Torrado e Moído Espresso Colômbia Lor Origins Collection Caixa 52g 10 Unidades</t>
  </si>
  <si>
    <t>8711000362679</t>
  </si>
  <si>
    <t>https://www.paodeacucar.com/produto/428373/cafe-em-capsula-torrado-e-moido-espresso-colombia-lor-origins-collection-caixa-52g-10-unidades</t>
  </si>
  <si>
    <t>https://monitor.precifica.com.br/index.php/Produtos?act=edit&amp;id=19098968</t>
  </si>
  <si>
    <t>1855029</t>
  </si>
  <si>
    <t>Café Torrado e Moído Extraforte Melitta Caixa 500g</t>
  </si>
  <si>
    <t>BÃ¡sico da despensa</t>
  </si>
  <si>
    <t>7891021006934</t>
  </si>
  <si>
    <t>https://www.paodeacucar.com/produto/166290/cafe-torrado-e-moido-extraforte-melitta-caixa-500g</t>
  </si>
  <si>
    <t>https://monitor.precifica.com.br/index.php/Produtos?act=edit&amp;id=19098971</t>
  </si>
  <si>
    <t>1114202</t>
  </si>
  <si>
    <t>Café em Cápsula Torrado e Moído Orgânico Orfeu Caixa 50g 10 Unidades</t>
  </si>
  <si>
    <t>7898912704184</t>
  </si>
  <si>
    <t>https://www.paodeacucar.com/produto/349845/cafe-em-capsula-torrado-e-moido-organico-orfeu-caixa-50g-10-unidades</t>
  </si>
  <si>
    <t>https://monitor.precifica.com.br/index.php/Produtos?act=edit&amp;id=19098970</t>
  </si>
  <si>
    <t>1914795</t>
  </si>
  <si>
    <t>Café Torrado e Moído a Vácuo Tradicional Pilão Pacote 500g</t>
  </si>
  <si>
    <t>7896089011357</t>
  </si>
  <si>
    <t>https://www.paodeacucar.com/produto/90515/cafe-torrado-e-moido-a-vacuo-tradicional-pilao-pacote-500g</t>
  </si>
  <si>
    <t>https://monitor.precifica.com.br/index.php/Produtos?act=edit&amp;id=19098969</t>
  </si>
  <si>
    <t>1130392</t>
  </si>
  <si>
    <t>Café em Cápsula Torrado e Moído Espresso Onyx Lor Caixa 52g 10 Unidades</t>
  </si>
  <si>
    <t>8711000362631</t>
  </si>
  <si>
    <t>https://www.paodeacucar.com/produto/389386/cafe-em-capsula-torrado-e-moido-espresso-onyx-lor-caixa-52g-10-unidades</t>
  </si>
  <si>
    <t>https://monitor.precifica.com.br/index.php/Produtos?act=edit&amp;id=19098974</t>
  </si>
  <si>
    <t>0250702</t>
  </si>
  <si>
    <t>Café Torrado e Moído Tradicional Pilão Pacote 250g</t>
  </si>
  <si>
    <t>7896089011982</t>
  </si>
  <si>
    <t>https://www.paodeacucar.com/produto/152472/cafe-torrado-e-moido-tradicional-pilao-pacote-250g</t>
  </si>
  <si>
    <t>https://monitor.precifica.com.br/index.php/Produtos?act=edit&amp;id=19098972</t>
  </si>
  <si>
    <t>1194402</t>
  </si>
  <si>
    <t>Café em Cápsula Torrado e Moído Lungo Starbucks House Blend Caixa 57g 10 Unidades</t>
  </si>
  <si>
    <t>7613036957069</t>
  </si>
  <si>
    <t>https://www.paodeacucar.com/produto/441611/cafe-em-capsula-torrado-e-moido-lungo-starbucks-house-blend-caixa-57g-10-unidades</t>
  </si>
  <si>
    <t>https://monitor.precifica.com.br/index.php/Produtos?act=edit&amp;id=19098973</t>
  </si>
  <si>
    <t>1130390</t>
  </si>
  <si>
    <t>Café em Cápsula Torrado e Moído Espresso Forza Lor Caixa 52g 10 Unidades</t>
  </si>
  <si>
    <t>8711000362570</t>
  </si>
  <si>
    <t>https://www.paodeacucar.com/produto/389385/cafe-em-capsula-torrado-e-moido-espresso-forza-lor-caixa-52g-10-unidades</t>
  </si>
  <si>
    <t>https://monitor.precifica.com.br/index.php/Produtos?act=edit&amp;id=19098975</t>
  </si>
  <si>
    <t>1219239</t>
  </si>
  <si>
    <t>Café em Cápsula Torrado e Moído Espresso Índia Lor Origins Collection Caixa 52g 10 Unidades</t>
  </si>
  <si>
    <t>8711000431108</t>
  </si>
  <si>
    <t>https://www.paodeacucar.com/produto/455609/cafe-em-capsula-torrado-e-moido-espresso-india-lor-origins-collection-caixa-52g-10-unidades</t>
  </si>
  <si>
    <t>https://monitor.precifica.com.br/index.php/Produtos?act=edit&amp;id=19098977</t>
  </si>
  <si>
    <t>0573313</t>
  </si>
  <si>
    <t>Café Torrado e Moído a Vácuo Descafeinado Pilão Pacote 250g</t>
  </si>
  <si>
    <t>7896089012118</t>
  </si>
  <si>
    <t>https://www.paodeacucar.com/produto/38190/cafe-torrado-e-moido-a-vacuo-descafeinado-pilao-pacote-250g</t>
  </si>
  <si>
    <t>https://monitor.precifica.com.br/index.php/Produtos?act=edit&amp;id=19098979</t>
  </si>
  <si>
    <t>1148945</t>
  </si>
  <si>
    <t>Café em Cápsula Torrado e Moído Espresso Tradicional Pilão Caixa 52g 10 Unidades</t>
  </si>
  <si>
    <t>7896089088403</t>
  </si>
  <si>
    <t>https://www.paodeacucar.com/produto/411986/cafe-em-capsula-torrado-e-moido-espresso-tradicional-pilao-caixa-52g-10-unidades</t>
  </si>
  <si>
    <t>https://monitor.precifica.com.br/index.php/Produtos?act=edit&amp;id=19098978</t>
  </si>
  <si>
    <t>1042388</t>
  </si>
  <si>
    <t>Café com Leite em Cápsula 3 Corações Caixa 10 Unidades 9g Cada</t>
  </si>
  <si>
    <t>3 Corações</t>
  </si>
  <si>
    <t>7896005805121</t>
  </si>
  <si>
    <t>https://www.paodeacucar.com/produto/302328/cafe-com-leite-em-capsula-3-coracoes-caixa-10-unidades-9g-cada</t>
  </si>
  <si>
    <t>https://monitor.precifica.com.br/index.php/Produtos?act=edit&amp;id=19098976</t>
  </si>
  <si>
    <t>1042386</t>
  </si>
  <si>
    <t>Café em Cápsula Torrado e Moído Filtrado Tradicional 3 Corações Caixa 75g 10 Unidades</t>
  </si>
  <si>
    <t>7896005805107</t>
  </si>
  <si>
    <t>https://www.paodeacucar.com/produto/302248/cafe-em-capsula-torrado-e-moido-filtrado-tradicional-3-coracoes-caixa-75g-10-unidades</t>
  </si>
  <si>
    <t>https://monitor.precifica.com.br/index.php/Produtos?act=edit&amp;id=19098982</t>
  </si>
  <si>
    <t>1075263</t>
  </si>
  <si>
    <t>Café em Cápsula Torrado e Moído Clássico Orfeu Caixa 50g 10 Unidades</t>
  </si>
  <si>
    <t>7898912704085</t>
  </si>
  <si>
    <t>https://www.paodeacucar.com/produto/321984/cafe-em-capsula-torrado-e-moido-classico-orfeu-caixa-50g-10-unidades</t>
  </si>
  <si>
    <t>https://monitor.precifica.com.br/index.php/Produtos?act=edit&amp;id=19098983</t>
  </si>
  <si>
    <t>0373418</t>
  </si>
  <si>
    <t>Café Torrado e Moído Tradicional Melitta Caixa 250g</t>
  </si>
  <si>
    <t>7891021006071</t>
  </si>
  <si>
    <t>https://www.paodeacucar.com/produto/123836/cafe-torrado-e-moido-tradicional-melitta-caixa-250g</t>
  </si>
  <si>
    <t>https://monitor.precifica.com.br/index.php/Produtos?act=edit&amp;id=19098981</t>
  </si>
  <si>
    <t>4586951</t>
  </si>
  <si>
    <t>Café Torrado e Moído a Vácuo Descafeinado 3 Corações Pacote 250g</t>
  </si>
  <si>
    <t>7896005800577</t>
  </si>
  <si>
    <t>https://www.paodeacucar.com/produto/11726/cafe-torrado-e-moido-a-vacuo-descafeinado-3-coracoes-pacote-250g</t>
  </si>
  <si>
    <t>https://monitor.precifica.com.br/index.php/Produtos?act=edit&amp;id=19098980</t>
  </si>
  <si>
    <t>1247719</t>
  </si>
  <si>
    <t>Café Torrado e Moído a Vácuo Espresso Pilão Cafeteria Pacote 500g</t>
  </si>
  <si>
    <t>7896089013870</t>
  </si>
  <si>
    <t>https://www.paodeacucar.com/produto/476527/cafe-torrado-e-moido-a-vacuo-espresso-pilao-cafeteria-pacote-500g</t>
  </si>
  <si>
    <t>https://monitor.precifica.com.br/index.php/Produtos?act=edit&amp;id=19098987</t>
  </si>
  <si>
    <t>1148949</t>
  </si>
  <si>
    <t>Café Torrado e Moído Extraforte Pilão Pouch 500g</t>
  </si>
  <si>
    <t>7896089013658</t>
  </si>
  <si>
    <t>https://www.paodeacucar.com/produto/411865/cafe-torrado-e-moido-extraforte-pilao-pouch-500g</t>
  </si>
  <si>
    <t>https://monitor.precifica.com.br/index.php/Produtos?act=edit&amp;id=19098984</t>
  </si>
  <si>
    <t>1247730</t>
  </si>
  <si>
    <t>Café Torrado e Moído Coado a Vácuo Pilão Cafeteria Pacote 500g</t>
  </si>
  <si>
    <t>7896089013887</t>
  </si>
  <si>
    <t>https://www.paodeacucar.com/produto/476526/cafe-torrado-e-moido-coado-a-vacuo-pilao-cafeteria-pacote-500g</t>
  </si>
  <si>
    <t>https://monitor.precifica.com.br/index.php/Produtos?act=edit&amp;id=19098986</t>
  </si>
  <si>
    <t>1042387</t>
  </si>
  <si>
    <t>Café em Cápsula Torrado e Moído Filtrado Tres Gourmet Caixa 10 Unidades 7,5g Cada</t>
  </si>
  <si>
    <t>Três</t>
  </si>
  <si>
    <t>7896005805114</t>
  </si>
  <si>
    <t>https://www.paodeacucar.com/produto/302247/cafe-em-capsula-torrado-e-moido-filtrado-tres-gourmet-caixa-10-unidades-7,5g-cada</t>
  </si>
  <si>
    <t>https://monitor.precifica.com.br/index.php/Produtos?act=edit&amp;id=19098985</t>
  </si>
  <si>
    <t>1127758</t>
  </si>
  <si>
    <t>Café Torrado em Grãos Clássico Orfeu Pacote 250g</t>
  </si>
  <si>
    <t>7898912704146</t>
  </si>
  <si>
    <t>https://www.paodeacucar.com/produto/385019/cafe-torrado-em-graos-classico-orfeu-pacote-250g</t>
  </si>
  <si>
    <t>https://monitor.precifica.com.br/index.php/Produtos?act=edit&amp;id=19098988</t>
  </si>
  <si>
    <t>1114185</t>
  </si>
  <si>
    <t>Café Torrado e Moído Intenso Orfeu Caixa 250g</t>
  </si>
  <si>
    <t>7898912704269</t>
  </si>
  <si>
    <t>https://www.paodeacucar.com/produto/350696/cafe-torrado-e-moido-intenso-orfeu-caixa-250g</t>
  </si>
  <si>
    <t>https://monitor.precifica.com.br/index.php/Produtos?act=edit&amp;id=19098989</t>
  </si>
  <si>
    <t>1148941</t>
  </si>
  <si>
    <t>Café em Cápsula Torrado e Moído Lungo Intenso Pilão Caixa 52g 10 Unidades</t>
  </si>
  <si>
    <t>7896089088380</t>
  </si>
  <si>
    <t>https://www.paodeacucar.com/produto/410467/cafe-em-capsula-torrado-e-moido-lungo-intenso-pilao-caixa-52g-10-unidades</t>
  </si>
  <si>
    <t>https://monitor.precifica.com.br/index.php/Produtos?act=edit&amp;id=19098991</t>
  </si>
  <si>
    <t>1194407</t>
  </si>
  <si>
    <t>Café em Cápsula Torrado e Moído Blonde Espresso Roast Starbucks Caixa 53g 10 Unidades</t>
  </si>
  <si>
    <t>7613036961004</t>
  </si>
  <si>
    <t>https://www.paodeacucar.com/produto/441607/cafe-em-capsula-torrado-e-moido-blonde-espresso-roast-starbucks-caixa-53g-10-unidades</t>
  </si>
  <si>
    <t>https://monitor.precifica.com.br/index.php/Produtos?act=edit&amp;id=19098990</t>
  </si>
  <si>
    <t>1163768</t>
  </si>
  <si>
    <t>Café Torrado e Moído Espresso Baggio Pacote 250g</t>
  </si>
  <si>
    <t>Baggio</t>
  </si>
  <si>
    <t>7898922711097</t>
  </si>
  <si>
    <t>https://www.paodeacucar.com/produto/421083/cafe-torrado-e-moido-espresso-baggio-pacote-250g</t>
  </si>
  <si>
    <t>https://monitor.precifica.com.br/index.php/Produtos?act=edit&amp;id=19098993</t>
  </si>
  <si>
    <t>1130397</t>
  </si>
  <si>
    <t>Café em Cápsula Torrado e Moído Ristretto Espresso Lor Caixa 52g 10 Unidades</t>
  </si>
  <si>
    <t>8711000362747</t>
  </si>
  <si>
    <t>https://www.paodeacucar.com/produto/389382/cafe-em-capsula-torrado-e-moido-ristretto-espresso-lor-caixa-52g-10-unidades</t>
  </si>
  <si>
    <t>https://monitor.precifica.com.br/index.php/Produtos?act=edit&amp;id=19098992</t>
  </si>
  <si>
    <t>1163652</t>
  </si>
  <si>
    <t>Café em Cápsula Torrado e Moído Chocolate Trufado Baggio Aromas Caixa 50g 10 Unidades</t>
  </si>
  <si>
    <t>7898952174381</t>
  </si>
  <si>
    <t>https://www.paodeacucar.com/produto/421094/cafe-em-capsula-torrado-e-moido-chocolate-trufado-baggio-aromas-caixa-50g-10-unidades</t>
  </si>
  <si>
    <t>https://monitor.precifica.com.br/index.php/Produtos?act=edit&amp;id=19098995</t>
  </si>
  <si>
    <t>1238073</t>
  </si>
  <si>
    <t>Café em Cápsula Torrado e Moído Espresso Guatemala Lor Origins Collection Caixa 10 Unidades</t>
  </si>
  <si>
    <t>8711000460214</t>
  </si>
  <si>
    <t>https://www.paodeacucar.com/produto/468448/cafe-em-capsula-torrado-e-moido-espresso-guatemala-lor-origins-collection-caixa-10-unidades</t>
  </si>
  <si>
    <t>https://monitor.precifica.com.br/index.php/Produtos?act=edit&amp;id=19098994</t>
  </si>
  <si>
    <t>1163769</t>
  </si>
  <si>
    <t>Café em Cápsula Torrado e Moído Extra Intenso Baggio Caixa 50g 10 Unidades</t>
  </si>
  <si>
    <t>7898952174145</t>
  </si>
  <si>
    <t>https://www.paodeacucar.com/produto/421082/cafe-em-capsula-torrado-e-moido-extra-intenso-baggio-caixa-50g-10-unidades</t>
  </si>
  <si>
    <t>https://monitor.precifica.com.br/index.php/Produtos?act=edit&amp;id=19098996</t>
  </si>
  <si>
    <t>1045900</t>
  </si>
  <si>
    <t>Café Torrado e Moído a Vácuo Extraforte Caboclo Pacote 500g</t>
  </si>
  <si>
    <t>Caboclo</t>
  </si>
  <si>
    <t>7896089016215</t>
  </si>
  <si>
    <t>https://www.paodeacucar.com/produto/310193/cafe-torrado-e-moido-a-vacuo-extraforte-caboclo-pacote-500g</t>
  </si>
  <si>
    <t>https://monitor.precifica.com.br/index.php/Produtos?act=edit&amp;id=19098998</t>
  </si>
  <si>
    <t>1163653</t>
  </si>
  <si>
    <t>Café em Cápsula Torrado e Moído Caramelo Baggio Aromas Caixa 50g 10 Unidades</t>
  </si>
  <si>
    <t>7898922711554</t>
  </si>
  <si>
    <t>https://www.paodeacucar.com/produto/421093/cafe-em-capsula-torrado-e-moido-caramelo-baggio-aromas-caixa-50g-10-unidades</t>
  </si>
  <si>
    <t>https://monitor.precifica.com.br/index.php/Produtos?act=edit&amp;id=19098997</t>
  </si>
  <si>
    <t>1914801</t>
  </si>
  <si>
    <t>Café Torrado e Moído a Vácuo Tradicional Caboclo Pacote 500g</t>
  </si>
  <si>
    <t>7896089010916</t>
  </si>
  <si>
    <t>https://www.paodeacucar.com/produto/90263/cafe-torrado-e-moido-a-vacuo-tradicional-caboclo-pacote-500g</t>
  </si>
  <si>
    <t>https://monitor.precifica.com.br/index.php/Produtos?act=edit&amp;id=19098999</t>
  </si>
  <si>
    <t>1244783</t>
  </si>
  <si>
    <t>Café em Cápsula Torrado e Moído Clássico Espresso Illy Caixa 57g 10 Unidades</t>
  </si>
  <si>
    <t>Illy</t>
  </si>
  <si>
    <t>8003753158679</t>
  </si>
  <si>
    <t>https://www.paodeacucar.com/produto/472429/cafe-em-capsula-torrado-e-moido-classico-espresso-illy-caixa-57g-10-unidades</t>
  </si>
  <si>
    <t>https://monitor.precifica.com.br/index.php/Produtos?act=edit&amp;id=19099003</t>
  </si>
  <si>
    <t>1130389</t>
  </si>
  <si>
    <t>Café em Cápsula Torrado e Moído Ristretto Espresso Lor Caixa 104g 20 Unidades</t>
  </si>
  <si>
    <t>8711000360835</t>
  </si>
  <si>
    <t>https://www.paodeacucar.com/produto/389389/cafe-em-capsula-torrado-e-moido-ristretto-espresso-lor-caixa-104g-20-unidades</t>
  </si>
  <si>
    <t>https://monitor.precifica.com.br/index.php/Produtos?act=edit&amp;id=19099000</t>
  </si>
  <si>
    <t>1194406</t>
  </si>
  <si>
    <t>Café em Cápsula Torrado e Moído Espresso Roast Starbucks Caixa 57g 10 Unidades</t>
  </si>
  <si>
    <t>7613036961028</t>
  </si>
  <si>
    <t>https://www.paodeacucar.com/produto/441614/cafe-em-capsula-torrado-e-moido-espresso-roast-starbucks-caixa-57g-10-unidades</t>
  </si>
  <si>
    <t>https://monitor.precifica.com.br/index.php/Produtos?act=edit&amp;id=19099001</t>
  </si>
  <si>
    <t>1148948</t>
  </si>
  <si>
    <t>Café Torrado e Moído Tradicional Pilão Pouch 500g</t>
  </si>
  <si>
    <t>7896089013634</t>
  </si>
  <si>
    <t>https://www.paodeacucar.com/produto/410468/cafe-torrado-e-moido-tradicional-pilao-pouch-500g</t>
  </si>
  <si>
    <t>https://monitor.precifica.com.br/index.php/Produtos?act=edit&amp;id=19099002</t>
  </si>
  <si>
    <t>1242093</t>
  </si>
  <si>
    <t>Café Torrado e Moído Bourbon Baggio Pacote 250g</t>
  </si>
  <si>
    <t>7898922711226</t>
  </si>
  <si>
    <t>https://www.paodeacucar.com/produto/470206/cafe-torrado-e-moido-bourbon-baggio-pacote-250g</t>
  </si>
  <si>
    <t>https://monitor.precifica.com.br/index.php/Produtos?act=edit&amp;id=19099005</t>
  </si>
  <si>
    <t>1344341</t>
  </si>
  <si>
    <t>Café Torrado e Moído Extraforte União Pacote 500g</t>
  </si>
  <si>
    <t>União</t>
  </si>
  <si>
    <t>7891910030354</t>
  </si>
  <si>
    <t>https://www.paodeacucar.com/produto/1376192/cafe-torrado-e-moido-extraforte-uniao-pacote-500g</t>
  </si>
  <si>
    <t>https://monitor.precifica.com.br/index.php/Produtos?act=edit&amp;id=19099006</t>
  </si>
  <si>
    <t>1225275</t>
  </si>
  <si>
    <t>Café em Cápsula Torrado e Moído Chocolate com Avelã Baggio Aromas Caixa 50g 10 Unidades</t>
  </si>
  <si>
    <t>7898952174503</t>
  </si>
  <si>
    <t>https://www.paodeacucar.com/produto/458503/cafe-em-capsula-torrado-e-moido-chocolate-com-avela-baggio-aromas-caixa-50g-10-unidades</t>
  </si>
  <si>
    <t>https://monitor.precifica.com.br/index.php/Produtos?act=edit&amp;id=19099007</t>
  </si>
  <si>
    <t>1344340</t>
  </si>
  <si>
    <t>Café Torrado e Moído Tradicional União Pacote 500g</t>
  </si>
  <si>
    <t>7891910030347</t>
  </si>
  <si>
    <t>https://www.paodeacucar.com/produto/1376191/cafe-torrado-e-moido-tradicional-uniao-pacote-500g</t>
  </si>
  <si>
    <t>https://monitor.precifica.com.br/index.php/Produtos?act=edit&amp;id=19099004</t>
  </si>
  <si>
    <t>1367245</t>
  </si>
  <si>
    <t>Café au Lait em Cápsula Vanilla Nescafé Dolce Gusto Caixa 110g 10 Unidades</t>
  </si>
  <si>
    <t>Nescafé Dolce Gusto</t>
  </si>
  <si>
    <t>7891000907573</t>
  </si>
  <si>
    <t>https://www.paodeacucar.com/produto/1560020/cafe-au-lait-em-capsula-vanilla-nescafe-dolce-gusto-caixa-110g-10-unidades</t>
  </si>
  <si>
    <t>https://monitor.precifica.com.br/index.php/Produtos?act=edit&amp;id=19099010</t>
  </si>
  <si>
    <t>0281225</t>
  </si>
  <si>
    <t>Café Torrado e Moído Extraforte 3 Corações Pacote 250g</t>
  </si>
  <si>
    <t>7896005801512</t>
  </si>
  <si>
    <t>https://www.paodeacucar.com/produto/203897/cafe-torrado-e-moido-extraforte-3-coracoes-pacote-250g</t>
  </si>
  <si>
    <t>https://monitor.precifica.com.br/index.php/Produtos?act=edit&amp;id=19099009</t>
  </si>
  <si>
    <t>1367241</t>
  </si>
  <si>
    <t>Café em Cápsula Torrado e Moído Caseiro Nescafé Dolce Gusto Caixa 80g 10 Unidades</t>
  </si>
  <si>
    <t>7891000302750</t>
  </si>
  <si>
    <t>https://www.paodeacucar.com/produto/1559873/cafe-em-capsula-torrado-e-moido-caseiro-nescafe-dolce-gusto-caixa-80g-10-unidades</t>
  </si>
  <si>
    <t>https://monitor.precifica.com.br/index.php/Produtos?act=edit&amp;id=19099011</t>
  </si>
  <si>
    <t>0106498</t>
  </si>
  <si>
    <t>Café Torrado e Moído Tradicional Café Brasileiro Pacote 500g</t>
  </si>
  <si>
    <t>Café Brasileiro</t>
  </si>
  <si>
    <t>7891018001386</t>
  </si>
  <si>
    <t>https://www.paodeacucar.com/produto/62071/cafe-torrado-e-moido-tradicional-cafe-brasileiro-pacote-500g</t>
  </si>
  <si>
    <t>https://monitor.precifica.com.br/index.php/Produtos?act=edit&amp;id=19099008</t>
  </si>
  <si>
    <t>1156103</t>
  </si>
  <si>
    <t>Café em Cápsula NESCAFÉ DOLCE GUSTO Espresso Intenso 10 Cápsulas</t>
  </si>
  <si>
    <t>7891000243725</t>
  </si>
  <si>
    <t>https://www.paodeacucar.com/produto/434981/cafe-em-capsula-nescafe-dolce-gusto-espresso-intenso-10-capsulas</t>
  </si>
  <si>
    <t>https://monitor.precifica.com.br/index.php/Produtos?act=edit&amp;id=19099012</t>
  </si>
  <si>
    <t>0250665</t>
  </si>
  <si>
    <t>Café Torrado e Moído Tradicional Caboclo Pacote 500g</t>
  </si>
  <si>
    <t>7896089011470</t>
  </si>
  <si>
    <t>https://www.paodeacucar.com/produto/152018/cafe-torrado-e-moido-tradicional-caboclo-pacote-500g</t>
  </si>
  <si>
    <t>https://monitor.precifica.com.br/index.php/Produtos?act=edit&amp;id=19099015</t>
  </si>
  <si>
    <t>1239491</t>
  </si>
  <si>
    <t>Café Torrado e Moído Sul de Minas 3 Corações Gourmet Pacote 250g</t>
  </si>
  <si>
    <t>7896045101665</t>
  </si>
  <si>
    <t>https://www.paodeacucar.com/produto/470100/cafe-torrado-e-moido-sul-de-minas-3-coracoes-gourmet-pacote-250g</t>
  </si>
  <si>
    <t>https://monitor.precifica.com.br/index.php/Produtos?act=edit&amp;id=19099014</t>
  </si>
  <si>
    <t>1367240</t>
  </si>
  <si>
    <t>Café em Cápsula Torrado e Moído Lungo Nescafé Dolce Gusto Caixa 70g 10 Unidades</t>
  </si>
  <si>
    <t>7891000147238</t>
  </si>
  <si>
    <t>https://www.paodeacucar.com/produto/1559871/cafe-em-capsula-torrado-e-moido-lungo-nescafe-dolce-gusto-caixa-70g-10-unidades</t>
  </si>
  <si>
    <t>https://monitor.precifica.com.br/index.php/Produtos?act=edit&amp;id=19099013</t>
  </si>
  <si>
    <t>1212869</t>
  </si>
  <si>
    <t>Café com Leite em Cápsula Latte Macchiato 3 Corações Caixa 10 Unidades 11g Cada</t>
  </si>
  <si>
    <t>7896005810057</t>
  </si>
  <si>
    <t>https://www.paodeacucar.com/produto/453403/cafe-com-leite-em-capsula-latte-macchiato-3-coracoes-caixa-10-unidades-11g-cada</t>
  </si>
  <si>
    <t>https://monitor.precifica.com.br/index.php/Produtos?act=edit&amp;id=19099018</t>
  </si>
  <si>
    <t>6014834</t>
  </si>
  <si>
    <t>Café Torrado e Moído a Vácuo Tradicional Qualitá Pacote 500g</t>
  </si>
  <si>
    <t>Qualitá</t>
  </si>
  <si>
    <t>7895000320523</t>
  </si>
  <si>
    <t>https://www.paodeacucar.com/produto/62675/cafe-torrado-e-moido-a-vacuo-tradicional-qualita-pacote-500g</t>
  </si>
  <si>
    <t>https://monitor.precifica.com.br/index.php/Produtos?act=edit&amp;id=19099016</t>
  </si>
  <si>
    <t>4805991</t>
  </si>
  <si>
    <t>Café Torrado e Moído Tradicional 3 Corações Pacote 250g</t>
  </si>
  <si>
    <t>7896005800027</t>
  </si>
  <si>
    <t>https://www.paodeacucar.com/produto/78765/cafe-torrado-e-moido-tradicional-3-coracoes-pacote-250g</t>
  </si>
  <si>
    <t>https://monitor.precifica.com.br/index.php/Produtos?act=edit&amp;id=19099017</t>
  </si>
  <si>
    <t>1239490</t>
  </si>
  <si>
    <t>Café Torrado e Moído Mogiana Paulista 3 Corações Gourmet Pacote 250g</t>
  </si>
  <si>
    <t>7896045101641</t>
  </si>
  <si>
    <t>https://www.paodeacucar.com/produto/470101/cafe-torrado-e-moido-mogiana-paulista-3-coracoes-gourmet-pacote-250g</t>
  </si>
  <si>
    <t>https://monitor.precifica.com.br/index.php/Produtos?act=edit&amp;id=19099019</t>
  </si>
  <si>
    <t>1239489</t>
  </si>
  <si>
    <t>Café Torrado e Moído Cerrado Mineiro 3 Corações Gourmet Pacote 250g</t>
  </si>
  <si>
    <t>7896045101658</t>
  </si>
  <si>
    <t>https://www.paodeacucar.com/produto/470099/cafe-torrado-e-moido-cerrado-mineiro-3-coracoes-gourmet-pacote-250g</t>
  </si>
  <si>
    <t>https://monitor.precifica.com.br/index.php/Produtos?act=edit&amp;id=19099020</t>
  </si>
  <si>
    <t>1345288</t>
  </si>
  <si>
    <t>Café Torrado e Moído 3 Corações Gourmet Dark Roast Pacote 250g</t>
  </si>
  <si>
    <t>7896045106851</t>
  </si>
  <si>
    <t>https://www.paodeacucar.com/produto/1433150/cafe-torrado-e-moido-3-coracoes-gourmet-dark-roast-pacote-250g</t>
  </si>
  <si>
    <t>https://monitor.precifica.com.br/index.php/Produtos?act=edit&amp;id=19099023</t>
  </si>
  <si>
    <t>1328047</t>
  </si>
  <si>
    <t>Café com Leite em Cápsula Supremo Macchiato 3 Corações Baileys Caixa 110g 10 Unidades</t>
  </si>
  <si>
    <t>Tres Coracoes</t>
  </si>
  <si>
    <t>7896045104871</t>
  </si>
  <si>
    <t>https://www.paodeacucar.com/produto/1059435/cafe-com-leite-em-capsula-supremo-macchiato-3-coracoes-baileys-caixa-110g-10-unidades</t>
  </si>
  <si>
    <t>https://monitor.precifica.com.br/index.php/Produtos?act=edit&amp;id=19099022</t>
  </si>
  <si>
    <t>1251696</t>
  </si>
  <si>
    <t>Café em Cápsula Espresso Forza Tres Caixa 10 Unidades 8g Cada</t>
  </si>
  <si>
    <t>7896045101733</t>
  </si>
  <si>
    <t>https://www.paodeacucar.com/produto/477106/cafe-em-capsula-espresso-forza-tres-caixa-10-unidades-8g-cada</t>
  </si>
  <si>
    <t>https://monitor.precifica.com.br/index.php/Produtos?act=edit&amp;id=19099021</t>
  </si>
  <si>
    <t>1156099</t>
  </si>
  <si>
    <t>Café em Cápsula NESCAFÉ DOLCE GUSTO Café Au Lait 10 Cápsulas</t>
  </si>
  <si>
    <t>7891000243954</t>
  </si>
  <si>
    <t>https://www.paodeacucar.com/produto/434986/cafe-em-capsula-nescafe-dolce-gusto-cafe-au-lait-10-capsulas</t>
  </si>
  <si>
    <t>https://monitor.precifica.com.br/index.php/Produtos?act=edit&amp;id=19099026</t>
  </si>
  <si>
    <t>1352653</t>
  </si>
  <si>
    <t>Café Torrado e Moído Peneirando Café 1957 3 Corações Portinari Pacote 250g</t>
  </si>
  <si>
    <t>7896045109609</t>
  </si>
  <si>
    <t>https://www.paodeacucar.com/produto/1386624/cafe-torrado-e-moido-peneirando-cafe-1957-3-coracoes-portinari-pacote-250g</t>
  </si>
  <si>
    <t>https://monitor.precifica.com.br/index.php/Produtos?act=edit&amp;id=19099024</t>
  </si>
  <si>
    <t>1342755</t>
  </si>
  <si>
    <t>Café em Cápsula NESCAFÉ DOLCE GUSTO Mochaccino Canela 10 Cápsulas 172g</t>
  </si>
  <si>
    <t>7891000294376</t>
  </si>
  <si>
    <t>https://www.paodeacucar.com/produto/1406868/cafe-em-capsula-nescafe-dolce-gusto-mochaccino-canela-10-capsulas-172g</t>
  </si>
  <si>
    <t>https://monitor.precifica.com.br/index.php/Produtos?act=edit&amp;id=19099027</t>
  </si>
  <si>
    <t>1352652</t>
  </si>
  <si>
    <t>Café Torrado e Moído Meninos Soltando Pipas 1947 3 Corações Portinari Pacote 250g</t>
  </si>
  <si>
    <t>7896045109623</t>
  </si>
  <si>
    <t>https://www.paodeacucar.com/produto/1386623/cafe-torrado-e-moido-meninos-soltando-pipas-1947-3-coracoes-portinari-pacote-250g</t>
  </si>
  <si>
    <t>https://monitor.precifica.com.br/index.php/Produtos?act=edit&amp;id=19099025</t>
  </si>
  <si>
    <t>4594819</t>
  </si>
  <si>
    <t>Café Torrado e Moído Orgânico Native Caixa 250g</t>
  </si>
  <si>
    <t>Native</t>
  </si>
  <si>
    <t>7898206500119</t>
  </si>
  <si>
    <t>https://www.paodeacucar.com/produto/114715/cafe-torrado-e-moido-organico-native-caixa-250g</t>
  </si>
  <si>
    <t>https://monitor.precifica.com.br/index.php/Produtos?act=edit&amp;id=19099029</t>
  </si>
  <si>
    <t>1156101</t>
  </si>
  <si>
    <t>Café em Cápsula NESCAFÉ DOLCE GUSTO Espresso 10 Cápsulas</t>
  </si>
  <si>
    <t>7891000243787</t>
  </si>
  <si>
    <t>https://www.paodeacucar.com/produto/434983/cafe-em-capsula-nescafe-dolce-gusto-espresso-10-capsulas</t>
  </si>
  <si>
    <t>https://monitor.precifica.com.br/index.php/Produtos?act=edit&amp;id=19099030</t>
  </si>
  <si>
    <t>4222712</t>
  </si>
  <si>
    <t>Café Torrado e Moído Intenso Pilão Pacote 500g</t>
  </si>
  <si>
    <t>7896089012927</t>
  </si>
  <si>
    <t>https://www.paodeacucar.com/produto/10930/cafe-torrado-e-moido-intenso-pilao-pacote-500g</t>
  </si>
  <si>
    <t>https://monitor.precifica.com.br/index.php/Produtos?act=edit&amp;id=19099032</t>
  </si>
  <si>
    <t>1386698</t>
  </si>
  <si>
    <t>Café com Leite em Cápsula Pingado Nescafé Dolce Gusto Caixa 140g 10 Unidades</t>
  </si>
  <si>
    <t>7891000158845</t>
  </si>
  <si>
    <t>https://www.paodeacucar.com/produto/1619401/cafe-com-leite-em-capsula-pingado-nescafe-dolce-gusto-caixa-140g-10-unidades</t>
  </si>
  <si>
    <t>https://monitor.precifica.com.br/index.php/Produtos?act=edit&amp;id=19099031</t>
  </si>
  <si>
    <t>1371760</t>
  </si>
  <si>
    <t>Café Solúvel Granulado Suave Nescafé Matinal Sachê 40g</t>
  </si>
  <si>
    <t>Nescafé</t>
  </si>
  <si>
    <t>7891000307045</t>
  </si>
  <si>
    <t>https://www.paodeacucar.com/produto/1592474/cafe-soluvel-granulado-suave-nescafe-matinal-sache-40g</t>
  </si>
  <si>
    <t>https://monitor.precifica.com.br/index.php/Produtos?act=edit&amp;id=19099036</t>
  </si>
  <si>
    <t>1369674</t>
  </si>
  <si>
    <t>Café em Cápsula Torrado e Moído Cerrado Mineiro 3 Corações Caixa 50g 10 Unidades</t>
  </si>
  <si>
    <t>7896045111299</t>
  </si>
  <si>
    <t>https://www.paodeacucar.com/produto/1593265/cafe-em-capsula-torrado-e-moido-cerrado-mineiro-3-coracoes-caixa-50g-10-unidades</t>
  </si>
  <si>
    <t>https://monitor.precifica.com.br/index.php/Produtos?act=edit&amp;id=19099034</t>
  </si>
  <si>
    <t>1229374</t>
  </si>
  <si>
    <t>Café em Cápsula Torrado e Moído Bourbon Amarelo Orfeu Caixa 50g 10 Unidades</t>
  </si>
  <si>
    <t>7898665830499</t>
  </si>
  <si>
    <t>https://www.paodeacucar.com/produto/461759/cafe-em-capsula-torrado-e-moido-bourbon-amarelo-orfeu-caixa-50g-10-unidades</t>
  </si>
  <si>
    <t>https://monitor.precifica.com.br/index.php/Produtos?act=edit&amp;id=19099033</t>
  </si>
  <si>
    <t>1369672</t>
  </si>
  <si>
    <t>Café em Cápsula Torrado e Moído Intenso 3 Corações Caixa 50g 10 Unidades</t>
  </si>
  <si>
    <t>7896045111312</t>
  </si>
  <si>
    <t>https://www.paodeacucar.com/produto/1593263/cafe-em-capsula-torrado-e-moido-intenso-3-coracoes-caixa-50g-10-unidades</t>
  </si>
  <si>
    <t>https://monitor.precifica.com.br/index.php/Produtos?act=edit&amp;id=19099035</t>
  </si>
  <si>
    <t>1127759</t>
  </si>
  <si>
    <t>Café Torrado em Grãos Orgânico Orfeu Pacote 250g</t>
  </si>
  <si>
    <t>7898912704214</t>
  </si>
  <si>
    <t>https://www.paodeacucar.com/produto/385018/cafe-torrado-em-graos-organico-orfeu-pacote-250g</t>
  </si>
  <si>
    <t>https://monitor.precifica.com.br/index.php/Produtos?act=edit&amp;id=19099039</t>
  </si>
  <si>
    <t>0573351</t>
  </si>
  <si>
    <t>Café Torrado e Moído a Vácuo Extraforte Café do Ponto Pacote 500g</t>
  </si>
  <si>
    <t>Café do Ponto</t>
  </si>
  <si>
    <t>7896089029482</t>
  </si>
  <si>
    <t>https://www.paodeacucar.com/produto/37668/cafe-torrado-e-moido-a-vacuo-extraforte-cafe-do-ponto-pacote-500g</t>
  </si>
  <si>
    <t>https://monitor.precifica.com.br/index.php/Produtos?act=edit&amp;id=19099037</t>
  </si>
  <si>
    <t>1163654</t>
  </si>
  <si>
    <t>Café em Cápsula Torrado e Moído Chocolate com Menta Baggio Aromas Caixa 50g 10 Unidades</t>
  </si>
  <si>
    <t>7898952174480</t>
  </si>
  <si>
    <t>https://www.paodeacucar.com/produto/421092/cafe-em-capsula-torrado-e-moido-chocolate-com-menta-baggio-aromas-caixa-50g-10-unidades</t>
  </si>
  <si>
    <t>https://monitor.precifica.com.br/index.php/Produtos?act=edit&amp;id=19099038</t>
  </si>
  <si>
    <t>1335902</t>
  </si>
  <si>
    <t>Café em Cápsula Torrado e Moído Clássico Baggio Caixa 50g 10 Unidades</t>
  </si>
  <si>
    <t>7898952174091</t>
  </si>
  <si>
    <t>https://www.paodeacucar.com/produto/1074962/cafe-em-capsula-torrado-e-moido-classico-baggio-caixa-50g-10-unidades</t>
  </si>
  <si>
    <t>https://monitor.precifica.com.br/index.php/Produtos?act=edit&amp;id=19099040</t>
  </si>
  <si>
    <t>1190088</t>
  </si>
  <si>
    <t>Café Solúvel Liofilizado 3 Corações Vidro 100g</t>
  </si>
  <si>
    <t>7896005807668</t>
  </si>
  <si>
    <t>https://www.paodeacucar.com/produto/440706/cafe-soluvel-liofilizado-3-coracoes-vidro-100g</t>
  </si>
  <si>
    <t>https://monitor.precifica.com.br/index.php/Produtos?act=edit&amp;id=19099044</t>
  </si>
  <si>
    <t>1114184</t>
  </si>
  <si>
    <t>Café Torrado e Moído Orgânico Orfeu Caixa 250g</t>
  </si>
  <si>
    <t>7898912704177</t>
  </si>
  <si>
    <t>https://www.paodeacucar.com/produto/351393/cafe-torrado-e-moido-organico-orfeu-caixa-250g</t>
  </si>
  <si>
    <t>https://monitor.precifica.com.br/index.php/Produtos?act=edit&amp;id=19099042</t>
  </si>
  <si>
    <t>1199843</t>
  </si>
  <si>
    <t>Café em Cápsulas BRAVO TENOR 50g com 10 Cápsulas</t>
  </si>
  <si>
    <t>Bravo Cafe</t>
  </si>
  <si>
    <t>7898204020312</t>
  </si>
  <si>
    <t>https://www.paodeacucar.com/produto/453515/cafe-em-capsulas-bravo-tenor-50g-com-10-capsulas</t>
  </si>
  <si>
    <t>https://monitor.precifica.com.br/index.php/Produtos?act=edit&amp;id=19099041</t>
  </si>
  <si>
    <t>1194410</t>
  </si>
  <si>
    <t>Café Torrado e Moído Starbucks Caffè Verona Pacote 250g</t>
  </si>
  <si>
    <t>762111364418</t>
  </si>
  <si>
    <t>https://www.paodeacucar.com/produto/441609/cafe-torrado-e-moido-starbucks-caffe-verona-pacote-250g</t>
  </si>
  <si>
    <t>https://monitor.precifica.com.br/index.php/Produtos?act=edit&amp;id=19099043</t>
  </si>
  <si>
    <t>1229372</t>
  </si>
  <si>
    <t>Café Torrado em Grãos Bourbon Amarelo Orfeu Pacote 250g</t>
  </si>
  <si>
    <t>7898665830536</t>
  </si>
  <si>
    <t>https://www.paodeacucar.com/produto/461760/cafe-torrado-em-graos-bourbon-amarelo-orfeu-pacote-250g</t>
  </si>
  <si>
    <t>https://monitor.precifica.com.br/index.php/Produtos?act=edit&amp;id=19099047</t>
  </si>
  <si>
    <t>1366892</t>
  </si>
  <si>
    <t>Café com Leite Solúvel Original 3 Corações Lata 300g</t>
  </si>
  <si>
    <t>7896045111077</t>
  </si>
  <si>
    <t>https://www.paodeacucar.com/produto/1573891/cafe-com-leite-soluvel-original-3-coracoes-lata-300g</t>
  </si>
  <si>
    <t>https://monitor.precifica.com.br/index.php/Produtos?act=edit&amp;id=19099046</t>
  </si>
  <si>
    <t>1229373</t>
  </si>
  <si>
    <t>Café Torrado e Moído Colômbia Starbucks Single-Origin Pacote 250g</t>
  </si>
  <si>
    <t>7898665830512</t>
  </si>
  <si>
    <t>https://www.paodeacucar.com/produto/461761/cafe-orfeu-bourbon-amarelo-torrado-e-moido-250g</t>
  </si>
  <si>
    <t>https://monitor.precifica.com.br/index.php/Produtos?act=edit&amp;id=19099048</t>
  </si>
  <si>
    <t>4043140</t>
  </si>
  <si>
    <t>Café Solúvel Granulado Tradicional 3 Corações Vidro 100g</t>
  </si>
  <si>
    <t>7896005800669</t>
  </si>
  <si>
    <t>https://www.paodeacucar.com/produto/181370/cafe-soluvel-granulado-tradicional-3-coracoes-vidro-100g</t>
  </si>
  <si>
    <t>https://monitor.precifica.com.br/index.php/Produtos?act=edit&amp;id=19099045</t>
  </si>
  <si>
    <t>1369671</t>
  </si>
  <si>
    <t>Café em Cápsula Torrado e Moído Orgânico 3 Corações Caixa 50g 10 Unidades</t>
  </si>
  <si>
    <t>7896045111305</t>
  </si>
  <si>
    <t>https://www.paodeacucar.com/produto/1593267/cafe-em-capsula-torrado-e-moido-organico-3-coracoes-caixa-50g-10-unidades</t>
  </si>
  <si>
    <t>https://monitor.precifica.com.br/index.php/Produtos?act=edit&amp;id=19099051</t>
  </si>
  <si>
    <t>1275439</t>
  </si>
  <si>
    <t>Café Torrado e Moído Delicado Lor Torras Gourmet Sachê 250g</t>
  </si>
  <si>
    <t>7896089060140</t>
  </si>
  <si>
    <t>https://www.paodeacucar.com/produto/596302/cafe-torrado-e-moido-delicado-lor-torras-gourmet-sache-250g</t>
  </si>
  <si>
    <t>https://monitor.precifica.com.br/index.php/Produtos?act=edit&amp;id=19099052</t>
  </si>
  <si>
    <t>1244782</t>
  </si>
  <si>
    <t>Café em Cápsula Torrado e Moído Intenso Espresso Illy Caixa 57g 10 Unidades</t>
  </si>
  <si>
    <t>8003753158761</t>
  </si>
  <si>
    <t>https://www.paodeacucar.com/produto/472428/cafe-em-capsula-torrado-e-moido-intenso-espresso-illy-caixa-57g-10-unidades</t>
  </si>
  <si>
    <t>https://monitor.precifica.com.br/index.php/Produtos?act=edit&amp;id=19099050</t>
  </si>
  <si>
    <t>1225274</t>
  </si>
  <si>
    <t>Café em Cápsula Torrado e Moído Vanilla Baggio Aromas Caixa 50g 10 Unidades</t>
  </si>
  <si>
    <t>7898952174510</t>
  </si>
  <si>
    <t>https://www.paodeacucar.com/produto/458504/cafe-em-capsula-torrado-e-moido-vanilla-baggio-aromas-caixa-50g-10-unidades</t>
  </si>
  <si>
    <t>https://monitor.precifica.com.br/index.php/Produtos?act=edit&amp;id=19099049</t>
  </si>
  <si>
    <t>1275340</t>
  </si>
  <si>
    <t>Café Solúvel em Pó Espresso Lor Vidro 100g</t>
  </si>
  <si>
    <t>7896089089875</t>
  </si>
  <si>
    <t>https://www.paodeacucar.com/produto/596299/cafe-soluvel-em-po-espresso-lor-vidro-100g</t>
  </si>
  <si>
    <t>https://monitor.precifica.com.br/index.php/Produtos?act=edit&amp;id=19099054</t>
  </si>
  <si>
    <t>3420591</t>
  </si>
  <si>
    <t>Café Solúvel Granulado Descafeinado 3 Corações Vidro 50g</t>
  </si>
  <si>
    <t>7896005800690</t>
  </si>
  <si>
    <t>https://www.paodeacucar.com/produto/203712/cafe-soluvel-granulado-descafeinado-3-coracoes-vidro-50g</t>
  </si>
  <si>
    <t>https://monitor.precifica.com.br/index.php/Produtos?act=edit&amp;id=19099056</t>
  </si>
  <si>
    <t>1369673</t>
  </si>
  <si>
    <t>Café em Cápsula Torrado e Moído Mogiana Paulista 3 Corações Caixa 50g 10 Unidades</t>
  </si>
  <si>
    <t>7896045111282</t>
  </si>
  <si>
    <t>https://www.paodeacucar.com/produto/1593264/cafe-em-capsula-torrado-e-moido-mogiana-paulista-3-coracoes-caixa-50g-10-unidades</t>
  </si>
  <si>
    <t>https://monitor.precifica.com.br/index.php/Produtos?act=edit&amp;id=19099053</t>
  </si>
  <si>
    <t>1286079</t>
  </si>
  <si>
    <t>Café Torrado e Moído Chocolate com Avelã Baggio Pacote 250g</t>
  </si>
  <si>
    <t>7898952174565</t>
  </si>
  <si>
    <t>https://www.paodeacucar.com/produto/686056/cafe-torrado-e-moido-chocolate-com-avela-baggio-pacote-250g</t>
  </si>
  <si>
    <t>https://monitor.precifica.com.br/index.php/Produtos?act=edit&amp;id=19099055</t>
  </si>
  <si>
    <t>1345312</t>
  </si>
  <si>
    <t>Café em Cápsula Torrado e Moído Espresso Baunilha Lor Flavours Collection Caixa 52g 10 Unidades</t>
  </si>
  <si>
    <t>8711000488218</t>
  </si>
  <si>
    <t>https://www.paodeacucar.com/produto/1376369/cafe-em-capsula-torrado-e-moido-espresso-baunilha-lor-flavours-collection-caixa-52g-10-unidades</t>
  </si>
  <si>
    <t>https://monitor.precifica.com.br/index.php/Produtos?act=edit&amp;id=19099060</t>
  </si>
  <si>
    <t>1275557</t>
  </si>
  <si>
    <t>Café Solúvel em Pó Espresso Lor Sachê 40g</t>
  </si>
  <si>
    <t>7896089089868</t>
  </si>
  <si>
    <t>https://www.paodeacucar.com/produto/596297/cafe-soluvel-em-po-espresso-lor-sache-40g</t>
  </si>
  <si>
    <t>https://monitor.precifica.com.br/index.php/Produtos?act=edit&amp;id=19099059</t>
  </si>
  <si>
    <t>1363093</t>
  </si>
  <si>
    <t>Café Solúvel Liofilizado Montanhas Capixabas Lor Vidro 84g</t>
  </si>
  <si>
    <t>7896089089882</t>
  </si>
  <si>
    <t>https://www.paodeacucar.com/produto/1515094/cafe-soluvel-liofilizado-montanhas-capixabas-lor-vidro-84g</t>
  </si>
  <si>
    <t>https://monitor.precifica.com.br/index.php/Produtos?act=edit&amp;id=19099057</t>
  </si>
  <si>
    <t>1256329</t>
  </si>
  <si>
    <t>Café em Cápsula Torrado e Moído Amêndoas Torradas Baggio Aromas Caixa 50g 10 Unidades</t>
  </si>
  <si>
    <t>7898952174558</t>
  </si>
  <si>
    <t>https://www.paodeacucar.com/produto/479115/cafe-em-capsula-torrado-e-moido-amendoas-torradas-baggio-aromas-caixa-50g-10-unidades</t>
  </si>
  <si>
    <t>https://monitor.precifica.com.br/index.php/Produtos?act=edit&amp;id=19099058</t>
  </si>
  <si>
    <t>1391803</t>
  </si>
  <si>
    <t>Café em Cápsula Torrado e Moído Espresso Índia Nescafé Farmers Origins Caixa 44g 10 Unidades</t>
  </si>
  <si>
    <t>8445291150249</t>
  </si>
  <si>
    <t>https://www.paodeacucar.com/produto/1626613/cafe-em-capsula-torrado-e-moido-espresso-india-nescafe-farmers-origins-caixa-44g-10-unidades</t>
  </si>
  <si>
    <t>https://monitor.precifica.com.br/index.php/Produtos?act=edit&amp;id=19099061</t>
  </si>
  <si>
    <t>1367247</t>
  </si>
  <si>
    <t>Café em Cápsula Torrado e Moído Lungo Orgânico Nescafé Dolce Gusto Absolute Origin Brasil Caixa 80g 10 Unidades</t>
  </si>
  <si>
    <t>7891000452127</t>
  </si>
  <si>
    <t>https://www.paodeacucar.com/produto/1560019/cafe-em-capsula-torrado-e-moido-lungo-organico-nescafe-dolce-gusto-absolute-origin-brasil-caixa-80g-10-unidades</t>
  </si>
  <si>
    <t>https://monitor.precifica.com.br/index.php/Produtos?act=edit&amp;id=19099064</t>
  </si>
  <si>
    <t>1367246</t>
  </si>
  <si>
    <t>Café au Lait em Cápsula Desnatado Nescafé Dolce Gusto Caixa 100g 10 Unidades</t>
  </si>
  <si>
    <t>7891000513408</t>
  </si>
  <si>
    <t>https://www.paodeacucar.com/produto/1559874/cafe-au-lait-em-capsula-desnatado-nescafe-dolce-gusto-caixa-100g-10-unidades</t>
  </si>
  <si>
    <t>https://monitor.precifica.com.br/index.php/Produtos?act=edit&amp;id=19099063</t>
  </si>
  <si>
    <t>1367244</t>
  </si>
  <si>
    <t>Café em Cápsula Torrado e Moído Caseiro Intenso Nescafé Dolce Gusto Caixa 90g 10 Unidades</t>
  </si>
  <si>
    <t>7891000586549</t>
  </si>
  <si>
    <t>https://www.paodeacucar.com/produto/1560017/cafe-em-capsula-torrado-e-moido-caseiro-intenso-nescafe-dolce-gusto-caixa-90g-10-unidades</t>
  </si>
  <si>
    <t>https://monitor.precifica.com.br/index.php/Produtos?act=edit&amp;id=19099062</t>
  </si>
  <si>
    <t>1395451</t>
  </si>
  <si>
    <t>Café em Cápsula Torrado e Moído Acauã Orfeu Varietais Caixa 50g 10 Unidades</t>
  </si>
  <si>
    <t>ORFEU</t>
  </si>
  <si>
    <t>7898665832509</t>
  </si>
  <si>
    <t>https://www.paodeacucar.com/produto/1627242/cafe-em-capsula-torrado-e-moido-acaua-orfeu-varietais-caixa-50g-10-unidades</t>
  </si>
  <si>
    <t>https://monitor.precifica.com.br/index.php/Produtos?act=edit&amp;id=19099067</t>
  </si>
  <si>
    <t>1370149</t>
  </si>
  <si>
    <t>Café Solúvel Granulado Forte Nescafé Tradição Sachê 40g</t>
  </si>
  <si>
    <t>7891000307083</t>
  </si>
  <si>
    <t>https://www.paodeacucar.com/produto/1592480/cafe-soluvel-granulado-forte-nescafe-tradicao-sache-40g</t>
  </si>
  <si>
    <t>https://monitor.precifica.com.br/index.php/Produtos?act=edit&amp;id=19099068</t>
  </si>
  <si>
    <t>1367242</t>
  </si>
  <si>
    <t>Café com Leite em Cápsula Latte Macchiato Nescafé Dolce Gusto Caixa 112,5g 10 Unidades</t>
  </si>
  <si>
    <t>7891000388655</t>
  </si>
  <si>
    <t>https://www.paodeacucar.com/produto/1559872/cafe-com-leite-em-capsula-latte-macchiato-nescafe-dolce-gusto-caixa-112,5g-10-unidades</t>
  </si>
  <si>
    <t>https://monitor.precifica.com.br/index.php/Produtos?act=edit&amp;id=19099065</t>
  </si>
  <si>
    <t>1391804</t>
  </si>
  <si>
    <t>Café em Cápsula Torrado e Moído Lungo Brazil Nescafé Farmers Origins Caixa 44g 10 Unidades</t>
  </si>
  <si>
    <t>8445291144385</t>
  </si>
  <si>
    <t>https://www.paodeacucar.com/produto/1626611/cafe-em-capsula-torrado-e-moido-lungo-brazil-nescafe-farmers-origins-caixa-44g-10-unidades</t>
  </si>
  <si>
    <t>https://monitor.precifica.com.br/index.php/Produtos?act=edit&amp;id=19099066</t>
  </si>
  <si>
    <t>1386156</t>
  </si>
  <si>
    <t>Café em Cápsula Torrado e Moído Espresso Chocolate Lor Caixa 52g 10 Unidades</t>
  </si>
  <si>
    <t>8711000488195</t>
  </si>
  <si>
    <t>https://www.paodeacucar.com/produto/1618919/cafe-em-capsula-torrado-e-moido-espresso-chocolate-lor-caixa-52g-10-unidades</t>
  </si>
  <si>
    <t>https://monitor.precifica.com.br/index.php/Produtos?act=edit&amp;id=19099073</t>
  </si>
  <si>
    <t>1395309</t>
  </si>
  <si>
    <t>Café em Cápsula Torrado e Moído Arara Orfeu Varietais Caixa 50g 10 Unidades</t>
  </si>
  <si>
    <t>7898665832516</t>
  </si>
  <si>
    <t>https://www.paodeacucar.com/produto/1627246/cafe-em-capsula-torrado-e-moido-arara-orfeu-varietais-caixa-50g-10-unidades</t>
  </si>
  <si>
    <t>https://monitor.precifica.com.br/index.php/Produtos?act=edit&amp;id=19099069</t>
  </si>
  <si>
    <t>1395335</t>
  </si>
  <si>
    <t>Café em Cápsula Torrado e Moído Japy Orfeu Varietais Caixa 50g 10 Unidades</t>
  </si>
  <si>
    <t>7898665832523</t>
  </si>
  <si>
    <t>https://www.paodeacucar.com/produto/1627238/cafe-em-capsula-torrado-e-moido-japy-orfeu-varietais-caixa-50g-10-unidades</t>
  </si>
  <si>
    <t>https://monitor.precifica.com.br/index.php/Produtos?act=edit&amp;id=19099070</t>
  </si>
  <si>
    <t>1386316</t>
  </si>
  <si>
    <t>Café em Cápsula Torrado e Moído Espresso Starbucks Single-Origin Colombia Caixa 55g 10 Unidades</t>
  </si>
  <si>
    <t>7891000594711</t>
  </si>
  <si>
    <t>https://www.paodeacucar.com/produto/1618882/cafe-em-capsula-torrado-e-moido-espresso-starbucks-single-origin-colombia-caixa-55g-10-unidades</t>
  </si>
  <si>
    <t>https://monitor.precifica.com.br/index.php/Produtos?act=edit&amp;id=19099072</t>
  </si>
  <si>
    <t>1395876</t>
  </si>
  <si>
    <t>Café em Cápsula Torrado e Moído Peru 3 Corações Caixa 56g 10 Unidades</t>
  </si>
  <si>
    <t>7896045113965</t>
  </si>
  <si>
    <t>https://www.paodeacucar.com/produto/1629252/cafe-em-capsula-torrado-e-moido-peru-3-coracoes-caixa-56g-10-unidades</t>
  </si>
  <si>
    <t>https://monitor.precifica.com.br/index.php/Produtos?act=edit&amp;id=19099077</t>
  </si>
  <si>
    <t>1386478</t>
  </si>
  <si>
    <t>Cápsula Café 3c Star Wars Vader 8x10x8g</t>
  </si>
  <si>
    <t>7896045112678</t>
  </si>
  <si>
    <t>https://www.paodeacucar.com/produto/1624702/capsula-cafe-3c-star-wars-vader-8x10x8g</t>
  </si>
  <si>
    <t>https://monitor.precifica.com.br/index.php/Produtos?act=edit&amp;id=19099074</t>
  </si>
  <si>
    <t>1391009</t>
  </si>
  <si>
    <t>Café Torrado e Moído Frutas Vermelhas 3 Corações Rituais 85+ Pouch 250g</t>
  </si>
  <si>
    <t>3 Chá</t>
  </si>
  <si>
    <t>7896045113606</t>
  </si>
  <si>
    <t>https://www.paodeacucar.com/produto/1629060/cafe-torrado-e-moido-frutas-vermelhas-3-coracoes-rituais-85 -pouch-250g</t>
  </si>
  <si>
    <t>https://monitor.precifica.com.br/index.php/Produtos?act=edit&amp;id=19099075</t>
  </si>
  <si>
    <t>1396064</t>
  </si>
  <si>
    <t>Café em Cápsula Torrado e Moído Colômbia 3 Corações Caixa 56g 10 Unidades</t>
  </si>
  <si>
    <t>7896045113972</t>
  </si>
  <si>
    <t>https://www.paodeacucar.com/produto/1629085/cafe-em-capsula-torrado-e-moido-colombia-3-coracoes-caixa-56g-10-unidades</t>
  </si>
  <si>
    <t>https://monitor.precifica.com.br/index.php/Produtos?act=edit&amp;id=19099076</t>
  </si>
  <si>
    <t>1403835</t>
  </si>
  <si>
    <t>Café Pó Moído 125g Intenso Moka</t>
  </si>
  <si>
    <t>8003753917399</t>
  </si>
  <si>
    <t>https://www.paodeacucar.com/produto/1633208/cafe-po-moido-125g-intenso-moka</t>
  </si>
  <si>
    <t>https://monitor.precifica.com.br/index.php/Produtos?act=edit&amp;id=19099078</t>
  </si>
  <si>
    <t>1408436</t>
  </si>
  <si>
    <t>Cápsula União Decaffeinato 10 unidades</t>
  </si>
  <si>
    <t>7891910030910</t>
  </si>
  <si>
    <t>https://www.paodeacucar.com/produto/1636280/capsula-uniao-decaffeinato-10-unidades</t>
  </si>
  <si>
    <t>https://monitor.precifica.com.br/index.php/Produtos?act=edit&amp;id=19099080</t>
  </si>
  <si>
    <t>1403424</t>
  </si>
  <si>
    <t>Café em Cápsula Torrado e Moído Espresso Nescafé Farmers Origins Caixa 46g 10 Unidades</t>
  </si>
  <si>
    <t>8445291159969</t>
  </si>
  <si>
    <t>https://www.paodeacucar.com/produto/1631725/cafe-em-capsula-torrado-e-moido-espresso-nescafe-farmers-origins-caixa-46g-10-unidades</t>
  </si>
  <si>
    <t>https://monitor.precifica.com.br/index.php/Produtos?act=edit&amp;id=19099079</t>
  </si>
  <si>
    <t>1391021</t>
  </si>
  <si>
    <t>Café Torrado e Moído Chocolate 3 Corações Rituais 85+ Pouch 250g</t>
  </si>
  <si>
    <t>7896045113613</t>
  </si>
  <si>
    <t>https://www.paodeacucar.com/produto/1629058/cafe-torrado-e-moido-chocolate-3-coracoes-rituais-85 -pouch-250g</t>
  </si>
  <si>
    <t>https://monitor.precifica.com.br/index.php/Produtos?act=edit&amp;id=19099081</t>
  </si>
  <si>
    <t>1345313</t>
  </si>
  <si>
    <t>Café em Cápsula Torrado e Moído Espresso Caramelo Lor Flavours Collection Caixa 52g 10 Unidades</t>
  </si>
  <si>
    <t>8711000488232</t>
  </si>
  <si>
    <t>https://www.paodeacucar.com/produto/1376367/cafe-em-capsula-torrado-e-moido-espresso-caramelo-lor-flavours-collection-caixa-52g-10-unidades</t>
  </si>
  <si>
    <t>https://monitor.precifica.com.br/index.php/Produtos?act=edit&amp;id=19099084</t>
  </si>
  <si>
    <t>1396048</t>
  </si>
  <si>
    <t>Café em Cápsula Torrado e Moído Máximo 3 Corações Caixa 56g 10 Unidades</t>
  </si>
  <si>
    <t>7896045113880</t>
  </si>
  <si>
    <t>https://www.paodeacucar.com/produto/1629255/cafe-em-capsula-torrado-e-moido-maximo-3-coracoes-caixa-56g-10-unidades</t>
  </si>
  <si>
    <t>https://monitor.precifica.com.br/index.php/Produtos?act=edit&amp;id=19099082</t>
  </si>
  <si>
    <t>1014000</t>
  </si>
  <si>
    <t>Café Torrado em Grãos Espresso Café do Ponto Pacote 1kg</t>
  </si>
  <si>
    <t>do Ponto</t>
  </si>
  <si>
    <t>7896089028973</t>
  </si>
  <si>
    <t>https://www.paodeacucar.com/produto/265226/cafe-torrado-em-graos-espresso-cafe-do-ponto-pacote-1kg</t>
  </si>
  <si>
    <t>https://monitor.precifica.com.br/index.php/Produtos?act=edit&amp;id=19099083</t>
  </si>
  <si>
    <t>1391007</t>
  </si>
  <si>
    <t>Café Torrado e Moído Exótico 3 Corações Rituais 85+ Pouch 250g</t>
  </si>
  <si>
    <t>Moderato</t>
  </si>
  <si>
    <t>7896045113156</t>
  </si>
  <si>
    <t>https://www.paodeacucar.com/produto/1629061/cafe-torrado-e-moido-exotico-3-coracoes-rituais-85 -pouch-250g</t>
  </si>
  <si>
    <t>https://monitor.precifica.com.br/index.php/Produtos?act=edit&amp;id=19099085</t>
  </si>
  <si>
    <t>8704672</t>
  </si>
  <si>
    <t>Café Torrado em Grãos Espresso 3 Corações Gourmet Pacote 1kg</t>
  </si>
  <si>
    <t>7896005800379</t>
  </si>
  <si>
    <t>https://www.paodeacucar.com/produto/218951/cafe-torrado-em-graos-espresso-3-coracoes-gourmet-pacote-1kg</t>
  </si>
  <si>
    <t>https://monitor.precifica.com.br/index.php/Produtos?act=edit&amp;id=19099086</t>
  </si>
  <si>
    <t>1199845</t>
  </si>
  <si>
    <t>7898204020336</t>
  </si>
  <si>
    <t>https://www.paodeacucar.com/produto/455759/cafe-bravo-soprano-10-capsulas-de-50g</t>
  </si>
  <si>
    <t>https://monitor.precifica.com.br/index.php/Produtos?act=edit&amp;id=19099089</t>
  </si>
  <si>
    <t>1153387</t>
  </si>
  <si>
    <t>Café Torrado em Grãos Espresso Forza Lor Gourmet Pacote 500g</t>
  </si>
  <si>
    <t>7896089060065</t>
  </si>
  <si>
    <t>https://www.paodeacucar.com/produto/413063/cafe-torrado-em-graos-espresso-forza-lor-gourmet-pacote-500g</t>
  </si>
  <si>
    <t>https://monitor.precifica.com.br/index.php/Produtos?act=edit&amp;id=19099087</t>
  </si>
  <si>
    <t>1403833</t>
  </si>
  <si>
    <t>Café Torrado e Moído Clássico Illy Lata 125g</t>
  </si>
  <si>
    <t>8003753917405</t>
  </si>
  <si>
    <t>https://www.paodeacucar.com/produto/1633207/cafe-torrado-e-moido-classico-illy-lata-125g</t>
  </si>
  <si>
    <t>https://monitor.precifica.com.br/index.php/Produtos?act=edit&amp;id=19099088</t>
  </si>
  <si>
    <t>1367237</t>
  </si>
  <si>
    <t>Café em Cápsula NESCAFÉ DOLCEGUSTO Caffe Matinal 10 Cápsulas 80g</t>
  </si>
  <si>
    <t>7891000621981</t>
  </si>
  <si>
    <t>https://www.paodeacucar.com/produto/1559875/cafe-em-capsula-nescafe-dolcegusto-caffe-matinal-10-capsulas-80g</t>
  </si>
  <si>
    <t>https://monitor.precifica.com.br/index.php/Produtos?act=edit&amp;id=19099091</t>
  </si>
  <si>
    <t>1391805</t>
  </si>
  <si>
    <t>Café em Cápsula Torrado e Moído Espresso Colômbia Nescafé Farmers Origins Caixa 44g 10 Unidades</t>
  </si>
  <si>
    <t>8445291111257</t>
  </si>
  <si>
    <t>https://www.paodeacucar.com/produto/1626612/cafe-em-capsula-torrado-e-moido-espresso-colombia-nescafe-farmers-origins-caixa-44g-10-unidades</t>
  </si>
  <si>
    <t>https://monitor.precifica.com.br/index.php/Produtos?act=edit&amp;id=19099092</t>
  </si>
  <si>
    <t>1370086</t>
  </si>
  <si>
    <t>Café em Cápsula Torrado e Moído Espresso Extremo Pilão Caixa 52g 10 Unidades</t>
  </si>
  <si>
    <t>7896089088298</t>
  </si>
  <si>
    <t>https://www.paodeacucar.com/produto/1593279/cafe-em-capsula-torrado-e-moido-espresso-extremo-pilao-caixa-52g-10-unidades</t>
  </si>
  <si>
    <t>https://monitor.precifica.com.br/index.php/Produtos?act=edit&amp;id=19099090</t>
  </si>
  <si>
    <t>1391020</t>
  </si>
  <si>
    <t>Café Torrado e Moído Frutas Secas 3 Corações Rituais 85+ Pouch 250g</t>
  </si>
  <si>
    <t>7896045113620</t>
  </si>
  <si>
    <t>https://www.paodeacucar.com/produto/1629057/cafe-torrado-e-moido-frutas-secas-3-coracoes-rituais-85 -pouch-250g</t>
  </si>
  <si>
    <t>https://monitor.precifica.com.br/index.php/Produtos?act=edit&amp;id=19099093</t>
  </si>
  <si>
    <t>1405475</t>
  </si>
  <si>
    <t>Café em Cápsula Torrado e Moído Espresso Descafeinado Illy Caixa 57g 10 Unidades</t>
  </si>
  <si>
    <t>8003753168128</t>
  </si>
  <si>
    <t>https://www.paodeacucar.com/produto/1633710/cafe-em-capsula-torrado-e-moido-espresso-descafeinado-illy-caixa-57g-10-unidades</t>
  </si>
  <si>
    <t>https://monitor.precifica.com.br/index.php/Produtos?act=edit&amp;id=19099097</t>
  </si>
  <si>
    <t>1395878</t>
  </si>
  <si>
    <t>Café em Cápsula Torrado e Moído Descafeinado 3 Corações Caixa 50g 10 Unidades</t>
  </si>
  <si>
    <t>7896045112685</t>
  </si>
  <si>
    <t>https://www.paodeacucar.com/produto/1629253/cafe-em-capsula-torrado-e-moido-descafeinado-3-coracoes-caixa-50g-10-unidades</t>
  </si>
  <si>
    <t>https://monitor.precifica.com.br/index.php/Produtos?act=edit&amp;id=19099094</t>
  </si>
  <si>
    <t>1406576</t>
  </si>
  <si>
    <t>Café em Cápsula Ristretto Áfricas Nescafé Farmers Origins Caixa 44g</t>
  </si>
  <si>
    <t>8445291149878</t>
  </si>
  <si>
    <t>https://www.paodeacucar.com/produto/1634750/cafe-em-capsula-ristretto-africas-nescafe-farmers-origins-caixa-44g</t>
  </si>
  <si>
    <t>https://monitor.precifica.com.br/index.php/Produtos?act=edit&amp;id=19099096</t>
  </si>
  <si>
    <t>1244781</t>
  </si>
  <si>
    <t>Café em Cápsula Torrado e Moído Forte Espresso Illy Caixa 57g 10 Unidades</t>
  </si>
  <si>
    <t>8003753158709</t>
  </si>
  <si>
    <t>https://www.paodeacucar.com/produto/472430/cafe-em-capsula-torrado-e-moido-forte-espresso-illy-caixa-57g-10-unidades</t>
  </si>
  <si>
    <t>https://monitor.precifica.com.br/index.php/Produtos?act=edit&amp;id=19099095</t>
  </si>
  <si>
    <t>1392086</t>
  </si>
  <si>
    <t>Café em Cápsula Torrado e Moído Espresso México Nescafé Farmers Origins Caixa 44g 10 Unidades</t>
  </si>
  <si>
    <t>8445291143968</t>
  </si>
  <si>
    <t>https://www.paodeacucar.com/produto/1626610/cafe-em-capsula-torrado-e-moido-espresso-mexico-nescafe-farmers-origins-caixa-44g-10-unidades</t>
  </si>
  <si>
    <t>https://monitor.precifica.com.br/index.php/Produtos?act=edit&amp;id=19099098</t>
  </si>
  <si>
    <t>1277687</t>
  </si>
  <si>
    <t>762111364357</t>
  </si>
  <si>
    <t>https://www.paodeacucar.com/produto/643619/cafe-torrado-e-moido-colombia-starbucks-single-origin-pacote-250g</t>
  </si>
  <si>
    <t>https://monitor.precifica.com.br/index.php/Produtos?act=edit&amp;id=19099100</t>
  </si>
  <si>
    <t>1370160</t>
  </si>
  <si>
    <t>Café Solúvel Granulado Extraforte Nescafé Original Sachê 40g</t>
  </si>
  <si>
    <t>7891000307120</t>
  </si>
  <si>
    <t>https://www.paodeacucar.com/produto/1592484/cafe-soluvel-granulado-extraforte-nescafe-original-sache-40g</t>
  </si>
  <si>
    <t>https://monitor.precifica.com.br/index.php/Produtos?act=edit&amp;id=19099106</t>
  </si>
  <si>
    <t>1406104</t>
  </si>
  <si>
    <t>Café Solúvel Liofilizado L'or Ultimo Vidro 84g</t>
  </si>
  <si>
    <t>L'Or</t>
  </si>
  <si>
    <t>7896089060201</t>
  </si>
  <si>
    <t>https://www.paodeacucar.com/produto/1634120/cafe-soluvel-liofilizado-lor-ultimo-vidro-84g</t>
  </si>
  <si>
    <t>https://monitor.precifica.com.br/index.php/Produtos?act=edit&amp;id=19099099</t>
  </si>
  <si>
    <t>1390750</t>
  </si>
  <si>
    <t>Café União Torrado e Moído Gourmet Mogiana Paulista 250g</t>
  </si>
  <si>
    <t>7891910030651</t>
  </si>
  <si>
    <t>https://www.paodeacucar.com/produto/1627031/cafe-uniao-torrado-e-moido-gourmet-mogiana-paulista-250g</t>
  </si>
  <si>
    <t>https://monitor.precifica.com.br/index.php/Produtos?act=edit&amp;id=19099111</t>
  </si>
  <si>
    <t>1391104</t>
  </si>
  <si>
    <t>Café União Gourmet Cerrado Mineiro 250g</t>
  </si>
  <si>
    <t>7891910030644</t>
  </si>
  <si>
    <t>https://www.paodeacucar.com/produto/1627028/cafe-uniao-gourmet-cerrado-mineiro-250g</t>
  </si>
  <si>
    <t>https://monitor.precifica.com.br/index.php/Produtos?act=edit&amp;id=19099110</t>
  </si>
  <si>
    <t>1390722</t>
  </si>
  <si>
    <t>Café União Gourmet Sul De Minas 250g</t>
  </si>
  <si>
    <t>7891910030668</t>
  </si>
  <si>
    <t>https://www.paodeacucar.com/produto/1627030/cafe-uniao-gourmet-sul-de-minas-250g</t>
  </si>
  <si>
    <t>https://monitor.precifica.com.br/index.php/Produtos?act=edit&amp;id=19099112</t>
  </si>
  <si>
    <t>1399361</t>
  </si>
  <si>
    <t>Café Solúvel Gelado Nescafé Vidro 100g</t>
  </si>
  <si>
    <t>7891000411667</t>
  </si>
  <si>
    <t>https://www.paodeacucar.com/produto/1629275/cafe-soluvel-gelado-nescafe-vidro-100g</t>
  </si>
  <si>
    <t>https://monitor.precifica.com.br/index.php/Produtos?act=edit&amp;id=19099109</t>
  </si>
  <si>
    <t>1391067</t>
  </si>
  <si>
    <t>Café em Cápsula Torrado e Moído Lungo Andes Nescafé Farmers Origins Caixa 44g 10 Unidades</t>
  </si>
  <si>
    <t>8445291159693</t>
  </si>
  <si>
    <t>https://www.paodeacucar.com/produto/1627153/cafe-em-capsula-torrado-e-moido-lungo-andes-nescafe-farmers-origins-caixa-44g-10-unidades</t>
  </si>
  <si>
    <t>https://monitor.precifica.com.br/index.php/Produtos?act=edit&amp;id=19099113</t>
  </si>
  <si>
    <t>1405431</t>
  </si>
  <si>
    <t>Café Orgânico Moído - 250g</t>
  </si>
  <si>
    <t>Santa Monica</t>
  </si>
  <si>
    <t>7898372620093</t>
  </si>
  <si>
    <t>https://www.paodeacucar.com/produto/570271/cafe-organico-moido---250g</t>
  </si>
  <si>
    <t>https://monitor.precifica.com.br/index.php/Produtos?act=edit&amp;id=19099116</t>
  </si>
  <si>
    <t>1405619</t>
  </si>
  <si>
    <t>Café Torrado e Moído Santa Monica Gourmet Torra Italiana Pacote 500g</t>
  </si>
  <si>
    <t>7898372621588</t>
  </si>
  <si>
    <t>https://www.paodeacucar.com/produto/1633781/cafe-torrado-e-moido-santa-monica-gourmet-torra-italiana-pacote-500g</t>
  </si>
  <si>
    <t>https://monitor.precifica.com.br/index.php/Produtos?act=edit&amp;id=19099114</t>
  </si>
  <si>
    <t>1340462</t>
  </si>
  <si>
    <t>Café Torrado e Moído Santa Monica Gourmet Premium Pacote 500g</t>
  </si>
  <si>
    <t>7898372620987</t>
  </si>
  <si>
    <t>https://www.paodeacucar.com/produto/703131/cafe-torrado-e-moido-santa-monica-gourmet-premium-pacote-500g</t>
  </si>
  <si>
    <t>https://monitor.precifica.com.br/index.php/Produtos?act=edit&amp;id=19099115</t>
  </si>
  <si>
    <t>1354299</t>
  </si>
  <si>
    <t>Café Torrado em Grãos Santa Monica Gourmet Pacote 250g</t>
  </si>
  <si>
    <t>7898372620239</t>
  </si>
  <si>
    <t>https://www.paodeacucar.com/produto/523829/cafe-torrado-em-graos-santa-monica-gourmet-pacote-250g</t>
  </si>
  <si>
    <t>https://monitor.precifica.com.br/index.php/Produtos?act=edit&amp;id=19099117</t>
  </si>
  <si>
    <t>1341043</t>
  </si>
  <si>
    <t>Café em Cápsula Torrado e Moído Starbucks Breakfast Blend Caixa 56g 10 Unidades</t>
  </si>
  <si>
    <t>7613287186768</t>
  </si>
  <si>
    <t>https://www.paodeacucar.com/produto/1244883/cafe-em-capsula-torrado-e-moido-starbucks-breakfast-blend-caixa-56g-10-unidades</t>
  </si>
  <si>
    <t>https://monitor.precifica.com.br/index.php/Produtos?act=edit&amp;id=19099120</t>
  </si>
  <si>
    <t>1340447</t>
  </si>
  <si>
    <t>Café Gourmet Moído - 250g</t>
  </si>
  <si>
    <t>7898372620420</t>
  </si>
  <si>
    <t>https://www.paodeacucar.com/produto/566664/cafe-gourmet-moido---250g</t>
  </si>
  <si>
    <t>https://monitor.precifica.com.br/index.php/Produtos?act=edit&amp;id=19099118</t>
  </si>
  <si>
    <t>1366618</t>
  </si>
  <si>
    <t>Café Solúvel em Pó Espresso Equilibrado Nescafé Gold Lata 100g</t>
  </si>
  <si>
    <t>Nescafé Gold</t>
  </si>
  <si>
    <t>7891000631713</t>
  </si>
  <si>
    <t>https://www.paodeacucar.com/produto/1551387/cafe-soluvel-em-po-espresso-equilibrado-nescafe-gold-lata-100g</t>
  </si>
  <si>
    <t>https://monitor.precifica.com.br/index.php/Produtos?act=edit&amp;id=19099119</t>
  </si>
  <si>
    <t>1403834</t>
  </si>
  <si>
    <t>Café Pó Moído 125g Classico Filtro</t>
  </si>
  <si>
    <t>733411088731</t>
  </si>
  <si>
    <t>https://www.paodeacucar.com/produto/1633206/cafe-po-moido-125g-classico-filtro</t>
  </si>
  <si>
    <t>https://monitor.precifica.com.br/index.php/Produtos?act=edit&amp;id=19099121</t>
  </si>
  <si>
    <t>1187457</t>
  </si>
  <si>
    <t>Café Torrado e Moído Chocolate Trufado Baggio Pacote 250g</t>
  </si>
  <si>
    <t>7898922711547</t>
  </si>
  <si>
    <t>https://www.paodeacucar.com/produto/438270/cafe-torrado-e-moido-chocolate-trufado-baggio-pacote-250g</t>
  </si>
  <si>
    <t>https://monitor.precifica.com.br/index.php/Produtos?act=edit&amp;id=19099123</t>
  </si>
  <si>
    <t>1386476</t>
  </si>
  <si>
    <t>Café Torrado e Moído Forza Intensidade Máxima 3 Corações Premium Pacote 250g</t>
  </si>
  <si>
    <t>7896045111244</t>
  </si>
  <si>
    <t>https://www.paodeacucar.com/produto/1624703/cafe-torrado-e-moido-forza-intensidade-maxima-3-coracoes-premium-pacote-250g</t>
  </si>
  <si>
    <t>https://monitor.precifica.com.br/index.php/Produtos?act=edit&amp;id=19099124</t>
  </si>
  <si>
    <t>0573320</t>
  </si>
  <si>
    <t>Café Torrado e Moído a Vácuo Exportação Café do Ponto Pacote 500g</t>
  </si>
  <si>
    <t>7896089029475</t>
  </si>
  <si>
    <t>https://www.paodeacucar.com/produto/38599/cafe-torrado-e-moido-a-vacuo-exportacao-cafe-do-ponto-pacote-500g</t>
  </si>
  <si>
    <t>https://monitor.precifica.com.br/index.php/Produtos?act=edit&amp;id=19099122</t>
  </si>
  <si>
    <t>8888341</t>
  </si>
  <si>
    <t>Café Solúvel em Pó Espresso Intenso Nescafé Gold Lata 100g</t>
  </si>
  <si>
    <t>7898206501161</t>
  </si>
  <si>
    <t>https://www.paodeacucar.com/produto/153531/cafe-organico-torrado-e-moido-extra-forte-native-caixa-250g</t>
  </si>
  <si>
    <t>https://monitor.precifica.com.br/index.php/Produtos?act=edit&amp;id=19099128</t>
  </si>
  <si>
    <t>1275437</t>
  </si>
  <si>
    <t>Café Torrado e Moído Equilibrado Lor Torras Gourmet Sachê 250g</t>
  </si>
  <si>
    <t>7896089060133</t>
  </si>
  <si>
    <t>https://www.paodeacucar.com/produto/596303/cafe-torrado-e-moido-equilibrado-lor-torras-gourmet-sache-250g</t>
  </si>
  <si>
    <t>https://monitor.precifica.com.br/index.php/Produtos?act=edit&amp;id=19099125</t>
  </si>
  <si>
    <t>1187456</t>
  </si>
  <si>
    <t>Café Torrado e Moído Caramelo Baggio Pacote 250g</t>
  </si>
  <si>
    <t>7898922711042</t>
  </si>
  <si>
    <t>https://www.paodeacucar.com/produto/438271/cafe-torrado-e-moido-caramelo-baggio-pacote-250g</t>
  </si>
  <si>
    <t>https://monitor.precifica.com.br/index.php/Produtos?act=edit&amp;id=19099126</t>
  </si>
  <si>
    <t>1275441</t>
  </si>
  <si>
    <t>Café em Cápsula Torrado e Moído Espresso Ultimo Lor Caixa 52g 10 Unidades</t>
  </si>
  <si>
    <t>8711000471296</t>
  </si>
  <si>
    <t>https://www.paodeacucar.com/produto/596300/cafe-em-capsula-torrado-e-moido-espresso-ultimo-lor-caixa-52g-10-unidades</t>
  </si>
  <si>
    <t>https://monitor.precifica.com.br/index.php/Produtos?act=edit&amp;id=19099127</t>
  </si>
  <si>
    <t>1471519</t>
  </si>
  <si>
    <t>Café Solúvel Liofilizado Orgânico Native Vidro 90g</t>
  </si>
  <si>
    <t>7898206500874</t>
  </si>
  <si>
    <t>https://www.paodeacucar.com/produto/80428/cafe-soluvel-liofilizado-organico-native-vidro-90g</t>
  </si>
  <si>
    <t>https://monitor.precifica.com.br/index.php/Produtos?act=edit&amp;id=19099130</t>
  </si>
  <si>
    <t>1414619</t>
  </si>
  <si>
    <t>Café em Cápsula Torrado e Moído L'or Espresso Advent Calendar Caixa 124,8g 24 Unidades</t>
  </si>
  <si>
    <t>8711000603789</t>
  </si>
  <si>
    <t>https://www.paodeacucar.com/produto/1640195/cafe-em-capsula-torrado-e-moido-lor-espresso-advent-calendar-caixa-124,8g-24-unidades</t>
  </si>
  <si>
    <t>https://monitor.precifica.com.br/index.php/Produtos?act=edit&amp;id=19099129</t>
  </si>
  <si>
    <t>1377055</t>
  </si>
  <si>
    <t>Café Solúvel em Pó Espresso Intenso Nescafé Gold Sachê 40g</t>
  </si>
  <si>
    <t>7891000357064</t>
  </si>
  <si>
    <t>https://www.paodeacucar.com/produto/1613995/cafe-soluvel-em-po-espresso-intenso-nescafe-gold-sache-40g</t>
  </si>
  <si>
    <t>https://monitor.precifica.com.br/index.php/Produtos?act=edit&amp;id=19099132</t>
  </si>
  <si>
    <t>1366619</t>
  </si>
  <si>
    <t>7891000507193</t>
  </si>
  <si>
    <t>https://www.paodeacucar.com/produto/1551388/cafe-soluvel-em-po-espresso-intenso-nescafe-gold-lata-100g</t>
  </si>
  <si>
    <t>https://monitor.precifica.com.br/index.php/Produtos?act=edit&amp;id=19099131</t>
  </si>
  <si>
    <t>1376983</t>
  </si>
  <si>
    <t>Café Solúvel em Pó Espresso Suave Nescafé Gold Sachê 40g</t>
  </si>
  <si>
    <t>7891000491249</t>
  </si>
  <si>
    <t>https://www.paodeacucar.com/produto/1613985/cafe-soluvel-em-po-espresso-suave-nescafe-gold-sache-40g</t>
  </si>
  <si>
    <t>https://monitor.precifica.com.br/index.php/Produtos?act=edit&amp;id=19099135</t>
  </si>
  <si>
    <t>1375957</t>
  </si>
  <si>
    <t>Café em Cápsula Torrado e Moído Starbucks Espresso Roast Nescafé Dolce Gusto Pacote 55g 10 Unidades</t>
  </si>
  <si>
    <t>7891000601136</t>
  </si>
  <si>
    <t>https://www.paodeacucar.com/produto/1606362/cafe-em-capsula-torrado-e-moido-starbucks-espresso-roast-nescafe-dolce-gusto-pacote-55g-10-unidades</t>
  </si>
  <si>
    <t>https://monitor.precifica.com.br/index.php/Produtos?act=edit&amp;id=19099133</t>
  </si>
  <si>
    <t>1363657</t>
  </si>
  <si>
    <t>Café Torrado e Moído Supremo Astro Café Pacote 250g</t>
  </si>
  <si>
    <t>Astro Cafe</t>
  </si>
  <si>
    <t>7898251100265</t>
  </si>
  <si>
    <t>https://www.paodeacucar.com/produto/1515080/cafe-torrado-e-moido-supremo-astro-cafe-pacote-250g</t>
  </si>
  <si>
    <t>https://monitor.precifica.com.br/index.php/Produtos?act=edit&amp;id=19099136</t>
  </si>
  <si>
    <t>1375804</t>
  </si>
  <si>
    <t>Café em Cápsula Torrado e Moído Caseiro Dark Nescafé Dolce Gusto Caixa 78g 10 Unidades</t>
  </si>
  <si>
    <t>7891000845448</t>
  </si>
  <si>
    <t>https://www.paodeacucar.com/produto/1606340/cafe-em-capsula-torrado-e-moido-caseiro-dark-nescafe-dolce-gusto-caixa-78g-10-unidades</t>
  </si>
  <si>
    <t>https://monitor.precifica.com.br/index.php/Produtos?act=edit&amp;id=19099134</t>
  </si>
  <si>
    <t>1376174</t>
  </si>
  <si>
    <t>Café em Cápsula Torrado e Moído Orgânico Espresso Sul de Minas Nescafé Dolce Gusto Pacote 57g 10 Unidades</t>
  </si>
  <si>
    <t>7891000662946</t>
  </si>
  <si>
    <t>https://www.paodeacucar.com/produto/1606356/cafe-em-capsula-torrado-e-moido-organico-espresso-sul-de-minas-nescafe-dolce-gusto-pacote-57g-10-unidades</t>
  </si>
  <si>
    <t>https://monitor.precifica.com.br/index.php/Produtos?act=edit&amp;id=19099137</t>
  </si>
  <si>
    <t>1375955</t>
  </si>
  <si>
    <t>Café em Cápsula Torrado e Moído Espresso Dark Nescafé Dolce Gusto Pacote 69g 10 Unidades</t>
  </si>
  <si>
    <t>7891000415887</t>
  </si>
  <si>
    <t>https://www.paodeacucar.com/produto/1606360/cafe-em-capsula-torrado-e-moido-espresso-dark-nescafe-dolce-gusto-pacote-69g-10-unidades</t>
  </si>
  <si>
    <t>https://monitor.precifica.com.br/index.php/Produtos?act=edit&amp;id=19099139</t>
  </si>
  <si>
    <t>1376279</t>
  </si>
  <si>
    <t>Café em Cápsula Torrado e Moído Lungo Dark Nescafé Dolce Gusto Pacote 70g 10 Unidades</t>
  </si>
  <si>
    <t>7891000801741</t>
  </si>
  <si>
    <t>https://www.paodeacucar.com/produto/1606346/cafe-em-capsula-torrado-e-moido-lungo-dark-nescafe-dolce-gusto-pacote-70g-10-unidades</t>
  </si>
  <si>
    <t>https://monitor.precifica.com.br/index.php/Produtos?act=edit&amp;id=19099138</t>
  </si>
  <si>
    <t>1354450</t>
  </si>
  <si>
    <t>Café em Cápsula Torrado e Moído Qualitá Caixa 50g 10 Unidades</t>
  </si>
  <si>
    <t>7895000524303</t>
  </si>
  <si>
    <t>https://www.paodeacucar.com/produto/1462869/cafe-em-capsula-torrado-e-moido-qualita-caixa-50g-10-unidades</t>
  </si>
  <si>
    <t>https://monitor.precifica.com.br/index.php/Produtos?act=edit&amp;id=19099140</t>
  </si>
  <si>
    <t>1375959</t>
  </si>
  <si>
    <t>Café em Cápsula Torrado e Moído Espresso Delicate Nescafé Dolce Gusto Pacote 55g 10 Unidades</t>
  </si>
  <si>
    <t>7891000055458</t>
  </si>
  <si>
    <t>https://www.paodeacucar.com/produto/1606363/cafe-em-capsula-torrado-e-moido-espresso-delicate-nescafe-dolce-gusto-pacote-55g-10-unidades</t>
  </si>
  <si>
    <t>https://monitor.precifica.com.br/index.php/Produtos?act=edit&amp;id=19099143</t>
  </si>
  <si>
    <t>1370214</t>
  </si>
  <si>
    <t>Café Solúvel Liofilizado Intense Lor Vidro 130g</t>
  </si>
  <si>
    <t>7896089089950</t>
  </si>
  <si>
    <t>https://www.paodeacucar.com/produto/1593283/cafe-soluvel-liofilizado-intense-lor-vidro-130g</t>
  </si>
  <si>
    <t>https://monitor.precifica.com.br/index.php/Produtos?act=edit&amp;id=19099141</t>
  </si>
  <si>
    <t>1370230</t>
  </si>
  <si>
    <t>Café Solúvel Liofilizado Classique Lor Vidro 130g</t>
  </si>
  <si>
    <t>7896089089943</t>
  </si>
  <si>
    <t>https://www.paodeacucar.com/produto/1593284/cafe-soluvel-liofilizado-classique-lor-vidro-130g</t>
  </si>
  <si>
    <t>https://monitor.precifica.com.br/index.php/Produtos?act=edit&amp;id=19099142</t>
  </si>
  <si>
    <t>1344780</t>
  </si>
  <si>
    <t>Café Torrado e Moído a Vácuo Tradicional Café Brasileiro Pacote 500g</t>
  </si>
  <si>
    <t>7891018427650</t>
  </si>
  <si>
    <t>https://www.paodeacucar.com/produto/1387196/cafe-torrado-e-moido-a-vacuo-tradicional-cafe-brasileiro-pacote-500g</t>
  </si>
  <si>
    <t>https://monitor.precifica.com.br/index.php/Produtos?act=edit&amp;id=19099144</t>
  </si>
  <si>
    <t>1385291</t>
  </si>
  <si>
    <t>Café Solúvel em Pó Extraforte 3 Corações Sachê 40g</t>
  </si>
  <si>
    <t>7896045111398</t>
  </si>
  <si>
    <t>https://www.paodeacucar.com/produto/1619329/cafe-soluvel-em-po-extraforte-3-coracoes-sache-40g</t>
  </si>
  <si>
    <t>https://monitor.precifica.com.br/index.php/Produtos?act=edit&amp;id=19099147</t>
  </si>
  <si>
    <t>1375805</t>
  </si>
  <si>
    <t>Café em Cápsula Torrado e Moído Caseiro Delicate Nescafé Dolce Gusto Pacote 69g 10 Unidades</t>
  </si>
  <si>
    <t>7891000510834</t>
  </si>
  <si>
    <t>https://www.paodeacucar.com/produto/1606341/cafe-em-capsula-torrado-e-moido-caseiro-delicate-nescafe-dolce-gusto-pacote-69g-10-unidades</t>
  </si>
  <si>
    <t>https://monitor.precifica.com.br/index.php/Produtos?act=edit&amp;id=19099146</t>
  </si>
  <si>
    <t>1363871</t>
  </si>
  <si>
    <t>Especial de Café 180g</t>
  </si>
  <si>
    <t>Genérico</t>
  </si>
  <si>
    <t>609963194902</t>
  </si>
  <si>
    <t>https://www.paodeacucar.com/produto/1517636/especial-de-cafe-180g</t>
  </si>
  <si>
    <t>https://monitor.precifica.com.br/index.php/Produtos?act=edit&amp;id=19099145</t>
  </si>
  <si>
    <t>1406096</t>
  </si>
  <si>
    <t>Café Solúvel Granulado Forte Nescafé Tradição Sachê Leve 40g Pague 36g</t>
  </si>
  <si>
    <t>7891000416228</t>
  </si>
  <si>
    <t>https://www.paodeacucar.com/produto/1634094/cafe-soluvel-granulado-forte-nescafe-tradicao-sache-leve-40g-pague-36g</t>
  </si>
  <si>
    <t>https://monitor.precifica.com.br/index.php/Produtos?act=edit&amp;id=19099148</t>
  </si>
  <si>
    <t>1396375</t>
  </si>
  <si>
    <t>Café Torrado e Moído Superior Evolutto Premium Pacote 500g</t>
  </si>
  <si>
    <t>Premiado</t>
  </si>
  <si>
    <t>7896046900885</t>
  </si>
  <si>
    <t>https://www.paodeacucar.com/produto/1628940/cafe-torrado-e-moido-superior-evolutto-premium-pacote-500g</t>
  </si>
  <si>
    <t>https://monitor.precifica.com.br/index.php/Produtos?act=edit&amp;id=19099151</t>
  </si>
  <si>
    <t>1403333</t>
  </si>
  <si>
    <t>Café em Sachê Torrado e Moído Drip Coffee Chocolate 3 Corações Rituais 85+ Envelope 12g</t>
  </si>
  <si>
    <t>7896045114344</t>
  </si>
  <si>
    <t>https://www.paodeacucar.com/produto/1631451/cafe-em-sache-torrado-e-moido-drip-coffee-chocolate-3-coracoes-rituais-85 -envelope-12g</t>
  </si>
  <si>
    <t>https://monitor.precifica.com.br/index.php/Produtos?act=edit&amp;id=19099149</t>
  </si>
  <si>
    <t>1408383</t>
  </si>
  <si>
    <t>Cápsula União Amaro 10 unidades</t>
  </si>
  <si>
    <t>7891910030859</t>
  </si>
  <si>
    <t>https://www.paodeacucar.com/produto/1636258/capsula-uniao-amaro-10-unidades</t>
  </si>
  <si>
    <t>https://monitor.precifica.com.br/index.php/Produtos?act=edit&amp;id=19099150</t>
  </si>
  <si>
    <t>1363922</t>
  </si>
  <si>
    <t>Café em Cápsula Torrado e Moído Ristretto Baggio Caixa 50g 10 Unidades</t>
  </si>
  <si>
    <t>7898952174794</t>
  </si>
  <si>
    <t>https://www.paodeacucar.com/produto/1558249/cafe-em-capsula-torrado-e-moido-ristretto-baggio-caixa-50g-10-unidades</t>
  </si>
  <si>
    <t>https://monitor.precifica.com.br/index.php/Produtos?act=edit&amp;id=19099152</t>
  </si>
  <si>
    <t>1376280</t>
  </si>
  <si>
    <t>Café em Cápsula Torrado e Moído Ristretto Intense Nescafé Dolce Gusto Pacote 76g 10 Unidades</t>
  </si>
  <si>
    <t>7891000447499</t>
  </si>
  <si>
    <t>https://www.paodeacucar.com/produto/1606349/cafe-em-capsula-torrado-e-moido-ristretto-intense-nescafe-dolce-gusto-pacote-76g-10-unidades</t>
  </si>
  <si>
    <t>https://monitor.precifica.com.br/index.php/Produtos?act=edit&amp;id=19099154</t>
  </si>
  <si>
    <t>1398972</t>
  </si>
  <si>
    <t>Café Solúvel Liofilizado Qualitá Exclusive Vidro 200g</t>
  </si>
  <si>
    <t>QUALITA</t>
  </si>
  <si>
    <t>7895000533039</t>
  </si>
  <si>
    <t>https://www.paodeacucar.com/produto/1629122/cafe-soluvel-liofilizado-qualita-exclusive-vidro-200g</t>
  </si>
  <si>
    <t>https://monitor.precifica.com.br/index.php/Produtos?act=edit&amp;id=19099155</t>
  </si>
  <si>
    <t>1395333</t>
  </si>
  <si>
    <t>Cafe Torrado em Grãos Acauã Orfeu Varietais Pacote 250g</t>
  </si>
  <si>
    <t>7898665832752</t>
  </si>
  <si>
    <t>https://www.paodeacucar.com/produto/1627237/cafe-torrado-em-graos-acaua-orfeu-varietais-pacote-250g</t>
  </si>
  <si>
    <t>https://monitor.precifica.com.br/index.php/Produtos?act=edit&amp;id=19099153</t>
  </si>
  <si>
    <t>1405512</t>
  </si>
  <si>
    <t>Cafe Capsula Torra Italiana Display Com 10 Unidades</t>
  </si>
  <si>
    <t>7898372620482</t>
  </si>
  <si>
    <t>https://www.paodeacucar.com/produto/1633728/cafe-capsula-torra-italiana-display-com-10-unidades</t>
  </si>
  <si>
    <t>https://monitor.precifica.com.br/index.php/Produtos?act=edit&amp;id=19099156</t>
  </si>
  <si>
    <t>1376125</t>
  </si>
  <si>
    <t>Café em Cápsula Torrado e Moído Orgânico Lungo Cerrado Mineiro Nescafé Dolce Gusto Pacote 60g 10 Unidades</t>
  </si>
  <si>
    <t>7891000364598</t>
  </si>
  <si>
    <t>https://www.paodeacucar.com/produto/1606353/cafe-em-capsula-torrado-e-moido-organico-lungo-cerrado-mineiro-nescafe-dolce-gusto-pacote-60g-10-unidades</t>
  </si>
  <si>
    <t>https://monitor.precifica.com.br/index.php/Produtos?act=edit&amp;id=19099160</t>
  </si>
  <si>
    <t>1343585</t>
  </si>
  <si>
    <t>Café em Cápsula Torrado e Moído Supremo Astro Café Caixa 50g 10 Unidades</t>
  </si>
  <si>
    <t>7896078391620</t>
  </si>
  <si>
    <t>https://www.paodeacucar.com/produto/1376038/cafe-em-capsula-torrado-e-moido-supremo-astro-cafe-caixa-50g-10-unidades</t>
  </si>
  <si>
    <t>https://monitor.precifica.com.br/index.php/Produtos?act=edit&amp;id=19099157</t>
  </si>
  <si>
    <t>1403416</t>
  </si>
  <si>
    <t>8445291156890</t>
  </si>
  <si>
    <t>https://www.paodeacucar.com/produto/1631717/cafe-em-capsula-torrado-e-moido-lungo-brazil-nescafe-farmers-origins-caixa-79,2g-18-unidades</t>
  </si>
  <si>
    <t>https://monitor.precifica.com.br/index.php/Produtos?act=edit&amp;id=19099159</t>
  </si>
  <si>
    <t>1389400</t>
  </si>
  <si>
    <t>Café em Cápsula Torrado e Moído Descafeinado Qualitá Caixa 50g 10 Unidades</t>
  </si>
  <si>
    <t>7895000531684</t>
  </si>
  <si>
    <t>https://www.paodeacucar.com/produto/1625309/cafe-em-capsula-torrado-e-moido-descafeinado-qualita-caixa-50g-10-unidades</t>
  </si>
  <si>
    <t>https://monitor.precifica.com.br/index.php/Produtos?act=edit&amp;id=19099158</t>
  </si>
  <si>
    <t>1354438</t>
  </si>
  <si>
    <t>Café em Cápsula Torrado e Moído Chocolate Qualitá Caixa 50g 10 Unidades</t>
  </si>
  <si>
    <t>7895000524310</t>
  </si>
  <si>
    <t>https://www.paodeacucar.com/produto/1462868/cafe-em-capsula-torrado-e-moido-chocolate-qualita-caixa-50g-10-unidades</t>
  </si>
  <si>
    <t>https://monitor.precifica.com.br/index.php/Produtos?act=edit&amp;id=19099163</t>
  </si>
  <si>
    <t>1370060</t>
  </si>
  <si>
    <t>Café Solúvel Liofilizado Intense Lor Sachê 40g</t>
  </si>
  <si>
    <t>7896089089912</t>
  </si>
  <si>
    <t>https://www.paodeacucar.com/produto/1593278/cafe-soluvel-liofilizado-intense-lor-sache-40g</t>
  </si>
  <si>
    <t>https://monitor.precifica.com.br/index.php/Produtos?act=edit&amp;id=19099164</t>
  </si>
  <si>
    <t>1363096</t>
  </si>
  <si>
    <t>Café Solúvel em Pó Pilão Cafeteria Vidro 70g</t>
  </si>
  <si>
    <t>7896089088472</t>
  </si>
  <si>
    <t>https://www.paodeacucar.com/produto/1515097/cafe-soluvel-em-po-pilao-cafeteria-vidro-70g</t>
  </si>
  <si>
    <t>https://monitor.precifica.com.br/index.php/Produtos?act=edit&amp;id=19099161</t>
  </si>
  <si>
    <t>1352655</t>
  </si>
  <si>
    <t>Café em Cápsula Meninos Soltando Pipas 1947 3 Corações Portinari Caixa 80g 10 Unidades</t>
  </si>
  <si>
    <t>7896045109784</t>
  </si>
  <si>
    <t>https://www.paodeacucar.com/produto/1386622/cafe-em-capsula-meninos-soltando-pipas-1947-3-coracoes-portinari-caixa-80g-10-unidades</t>
  </si>
  <si>
    <t>https://monitor.precifica.com.br/index.php/Produtos?act=edit&amp;id=19099162</t>
  </si>
  <si>
    <t>1340557</t>
  </si>
  <si>
    <t>Café em Cápsula Baunilha Santa Monica Gourmet Caixa 50g 10 Unidades</t>
  </si>
  <si>
    <t>7898372621304</t>
  </si>
  <si>
    <t>https://www.paodeacucar.com/produto/1209629/cafe-em-capsula-baunilha-santa-monica-gourmet-caixa-50g-10-unidades</t>
  </si>
  <si>
    <t>https://monitor.precifica.com.br/index.php/Produtos?act=edit&amp;id=19099166</t>
  </si>
  <si>
    <t>1375956</t>
  </si>
  <si>
    <t>Café em Cápsula Torrado e Moído Americano Starbucks House Blend Nescafé Dolce Gusto Pacote 77g 10 Unidades</t>
  </si>
  <si>
    <t>7891000476376</t>
  </si>
  <si>
    <t>https://www.paodeacucar.com/produto/1606361/cafe-em-capsula-torrado-e-moido-americano-starbucks-house-blend-nescafe-dolce-gusto-pacote-77g-10-unidades</t>
  </si>
  <si>
    <t>https://monitor.precifica.com.br/index.php/Produtos?act=edit&amp;id=19099168</t>
  </si>
  <si>
    <t>1403418</t>
  </si>
  <si>
    <t>Café em Cápsula Torrado e Moído Espresso Colômbia Nescafé Farmers Origins Caixa 79,2g 18 Unidades</t>
  </si>
  <si>
    <t>8445291112995</t>
  </si>
  <si>
    <t>https://www.paodeacucar.com/produto/1631719/cafe-em-capsula-torrado-e-moido-espresso-colombia-nescafe-farmers-origins-caixa-79,2g-18-unidades</t>
  </si>
  <si>
    <t>https://monitor.precifica.com.br/index.php/Produtos?act=edit&amp;id=19099165</t>
  </si>
  <si>
    <t>1379140</t>
  </si>
  <si>
    <t>Café Solúvel Granulado Descafeinado Nescafé Sachê 40g</t>
  </si>
  <si>
    <t>7891000184004</t>
  </si>
  <si>
    <t>https://www.paodeacucar.com/produto/1615320/cafe-soluvel-granulado-descafeinado-nescafe-sache-40g</t>
  </si>
  <si>
    <t>https://monitor.precifica.com.br/index.php/Produtos?act=edit&amp;id=19099167</t>
  </si>
  <si>
    <t>1405994</t>
  </si>
  <si>
    <t>Café em Cápsula Torrado e Moído Espresso Maranello L'or Passione Rossa Caixa 52g 10 Unidades</t>
  </si>
  <si>
    <t>8711000579053</t>
  </si>
  <si>
    <t>https://www.paodeacucar.com/produto/1634102/cafe-em-capsula-torrado-e-moido-espresso-maranello-lor-passione-rossa-caixa-52g-10-unidades</t>
  </si>
  <si>
    <t>https://monitor.precifica.com.br/index.php/Produtos?act=edit&amp;id=19099169</t>
  </si>
  <si>
    <t>1395201</t>
  </si>
  <si>
    <t>Café Torrado em Grãos Arara Orfeu Varietais Pacote 250g</t>
  </si>
  <si>
    <t>7898665832721</t>
  </si>
  <si>
    <t>https://www.paodeacucar.com/produto/1627248/cafe-torrado-em-graos-arara-orfeu-varietais-pacote-250g</t>
  </si>
  <si>
    <t>https://monitor.precifica.com.br/index.php/Produtos?act=edit&amp;id=19099171</t>
  </si>
  <si>
    <t>1399939</t>
  </si>
  <si>
    <t>Café em Cápsula Torrado e Moído Coconut Qualitá Exclusive Caixa 50g 10 Unidades</t>
  </si>
  <si>
    <t>Qualitá Exclusive</t>
  </si>
  <si>
    <t>7895000534494</t>
  </si>
  <si>
    <t>https://www.paodeacucar.com/produto/1629462/cafe-em-capsula-torrado-e-moido-coconut-qualita-exclusive-caixa-50g-10-unidades</t>
  </si>
  <si>
    <t>https://monitor.precifica.com.br/index.php/Produtos?act=edit&amp;id=19099172</t>
  </si>
  <si>
    <t>1402408</t>
  </si>
  <si>
    <t>Café em Cápsula Torrado e Moído Intenso Orfeu Caixa 100g 20 Unidades</t>
  </si>
  <si>
    <t>7898912704276</t>
  </si>
  <si>
    <t>https://www.paodeacucar.com/produto/1630598/cafe-em-capsula-torrado-e-moido-intenso-orfeu-caixa-100g-20-unidades</t>
  </si>
  <si>
    <t>https://monitor.precifica.com.br/index.php/Produtos?act=edit&amp;id=19099170</t>
  </si>
  <si>
    <t>1395394</t>
  </si>
  <si>
    <t>Café Torrado e Moído a Vácuo Extraforte Qualitá Pacote 500g</t>
  </si>
  <si>
    <t>7895000532384</t>
  </si>
  <si>
    <t>https://www.paodeacucar.com/produto/1627311/cafe-torrado-e-moido-a-vacuo-extraforte-qualita-pacote-500g</t>
  </si>
  <si>
    <t>https://monitor.precifica.com.br/index.php/Produtos?act=edit&amp;id=19099174</t>
  </si>
  <si>
    <t>1391063</t>
  </si>
  <si>
    <t>Café em Cápsula Torrado e Moído Espresso Cerrado Mineiro Nescafé Dolce Gusto Caixa 60g 10 Unidades</t>
  </si>
  <si>
    <t>7891000401583</t>
  </si>
  <si>
    <t>https://www.paodeacucar.com/produto/1628287/cafe-em-capsula-torrado-e-moido-espresso-cerrado-mineiro-nescafe-dolce-gusto-caixa-60g-10-unidades</t>
  </si>
  <si>
    <t>https://monitor.precifica.com.br/index.php/Produtos?act=edit&amp;id=19099175</t>
  </si>
  <si>
    <t>1385283</t>
  </si>
  <si>
    <t>Café Solúvel Granulado Tradicional 3 Corações Sachê 40g</t>
  </si>
  <si>
    <t>7896045103003</t>
  </si>
  <si>
    <t>https://www.paodeacucar.com/produto/1619330/cafe-soluvel-granulado-tradicional-3-coracoes-sache-40g</t>
  </si>
  <si>
    <t>https://monitor.precifica.com.br/index.php/Produtos?act=edit&amp;id=19099173</t>
  </si>
  <si>
    <t>1379783</t>
  </si>
  <si>
    <t>Café União Tradicional Pouch 250G</t>
  </si>
  <si>
    <t>Café União Pouch 250g</t>
  </si>
  <si>
    <t>7891910030477</t>
  </si>
  <si>
    <t>https://www.paodeacucar.com/produto/1623451/cafe-uniao-tradicional-pouch-250g</t>
  </si>
  <si>
    <t>https://monitor.precifica.com.br/index.php/Produtos?act=edit&amp;id=19099176</t>
  </si>
  <si>
    <t>1371862</t>
  </si>
  <si>
    <t>Café em Cápsula Torrado e Moído Intenso Qualitá Caixa 50g 10 Unidades</t>
  </si>
  <si>
    <t>7895000527410</t>
  </si>
  <si>
    <t>https://www.paodeacucar.com/produto/1606431/cafe-em-capsula-torrado-e-moido-intenso-qualita-caixa-50g-10-unidades</t>
  </si>
  <si>
    <t>https://monitor.precifica.com.br/index.php/Produtos?act=edit&amp;id=19099180</t>
  </si>
  <si>
    <t>1405988</t>
  </si>
  <si>
    <t>Café em Cápsula Torrado e Moído Espresso Clássico Pilão Cafeteria Especialidades Caixa 52g 10 Unidades</t>
  </si>
  <si>
    <t>7896089088274</t>
  </si>
  <si>
    <t>https://www.paodeacucar.com/produto/1634099/cafe-em-capsula-torrado-e-moido-espresso-classico-pilao-cafeteria-especialidades-caixa-52g-10-unidades</t>
  </si>
  <si>
    <t>https://monitor.precifica.com.br/index.php/Produtos?act=edit&amp;id=19099178</t>
  </si>
  <si>
    <t>1391102</t>
  </si>
  <si>
    <t>Café Torrado e Moído Lor Ultimo Gourmet Pouch 250g</t>
  </si>
  <si>
    <t>7896089060195</t>
  </si>
  <si>
    <t>https://www.paodeacucar.com/produto/1626168/cafe-torrado-e-moido-lor-ultimo-gourmet-pouch-250g</t>
  </si>
  <si>
    <t>https://monitor.precifica.com.br/index.php/Produtos?act=edit&amp;id=19099179</t>
  </si>
  <si>
    <t>1343584</t>
  </si>
  <si>
    <t>Café em Cápsula Torrado e Moído Bourbon Astro Café Caixa 50g 10 Unidades</t>
  </si>
  <si>
    <t>7896078391668</t>
  </si>
  <si>
    <t>https://www.paodeacucar.com/produto/1376039/cafe-em-capsula-torrado-e-moido-bourbon-astro-cafe-caixa-50g-10-unidades</t>
  </si>
  <si>
    <t>https://monitor.precifica.com.br/index.php/Produtos?act=edit&amp;id=19099177</t>
  </si>
  <si>
    <t>1370358</t>
  </si>
  <si>
    <t>Café em Cápsula Torrado e Moído Moderado Qualitá Caixa 50g 10 Unidades</t>
  </si>
  <si>
    <t>7895000527427</t>
  </si>
  <si>
    <t>https://www.paodeacucar.com/produto/1609279/cafe-em-capsula-torrado-e-moido-moderado-qualita-caixa-50g-10-unidades</t>
  </si>
  <si>
    <t>https://monitor.precifica.com.br/index.php/Produtos?act=edit&amp;id=19099183</t>
  </si>
  <si>
    <t>1340558</t>
  </si>
  <si>
    <t>Café em Cápsula Caramelo Santa Monica Gourmet Caixa 50g 10 Unidades</t>
  </si>
  <si>
    <t>7898372621311</t>
  </si>
  <si>
    <t>https://www.paodeacucar.com/produto/1209628/cafe-em-capsula-caramelo-santa-monica-gourmet-caixa-50g-10-unidades</t>
  </si>
  <si>
    <t>https://monitor.precifica.com.br/index.php/Produtos?act=edit&amp;id=19099181</t>
  </si>
  <si>
    <t>1187455</t>
  </si>
  <si>
    <t>Café Torrado e Moído Chocolate com Menta Baggio Pacote 250g</t>
  </si>
  <si>
    <t>7898922711028</t>
  </si>
  <si>
    <t>https://www.paodeacucar.com/produto/438269/cafe-torrado-e-moido-chocolate-com-menta-baggio-pacote-250g</t>
  </si>
  <si>
    <t>https://monitor.precifica.com.br/index.php/Produtos?act=edit&amp;id=19099184</t>
  </si>
  <si>
    <t>1369664</t>
  </si>
  <si>
    <t>Café Torrado e Moído a Vácuo Extraforte União Pacote 500g</t>
  </si>
  <si>
    <t>7891910030385</t>
  </si>
  <si>
    <t>https://www.paodeacucar.com/produto/1602263/cafe-torrado-e-moido-a-vacuo-extraforte-uniao-pacote-500g</t>
  </si>
  <si>
    <t>https://monitor.precifica.com.br/index.php/Produtos?act=edit&amp;id=19099182</t>
  </si>
  <si>
    <t>1403413</t>
  </si>
  <si>
    <t>Café em Cápsula Torrado e Moído Lungo Nescafé Dolce Gusto Caixa 60g 10 Unidades</t>
  </si>
  <si>
    <t>7891000411537</t>
  </si>
  <si>
    <t>https://www.paodeacucar.com/produto/1631716/cafe-em-capsula-torrado-e-moido-lungo-nescafe-dolce-gusto-caixa-60g-10-unidades</t>
  </si>
  <si>
    <t>https://monitor.precifica.com.br/index.php/Produtos?act=edit&amp;id=19099186</t>
  </si>
  <si>
    <t>1410982</t>
  </si>
  <si>
    <t>Café Solúvel Liofilizado Avelã Juan Valdez Vidro 95g</t>
  </si>
  <si>
    <t>Juan Valdez</t>
  </si>
  <si>
    <t>7701362014904</t>
  </si>
  <si>
    <t>https://www.paodeacucar.com/produto/1638698/cafe-soluvel-liofilizado-avela-juan-valdez-vidro-95g</t>
  </si>
  <si>
    <t>https://monitor.precifica.com.br/index.php/Produtos?act=edit&amp;id=19099185</t>
  </si>
  <si>
    <t>1402050</t>
  </si>
  <si>
    <t>Constantino</t>
  </si>
  <si>
    <t>7898994760122</t>
  </si>
  <si>
    <t>https://www.paodeacucar.com/produto/534887/cafe-constantino-grao-250g</t>
  </si>
  <si>
    <t>https://monitor.precifica.com.br/index.php/Produtos?act=edit&amp;id=19099188</t>
  </si>
  <si>
    <t>1395336</t>
  </si>
  <si>
    <t>Café Torrado e Moído Acauã Orfeu Varietais Caixa 250g</t>
  </si>
  <si>
    <t>7898665832769</t>
  </si>
  <si>
    <t>https://www.paodeacucar.com/produto/1627239/cafe-torrado-e-moido-acaua-orfeu-varietais-caixa-250g</t>
  </si>
  <si>
    <t>https://monitor.precifica.com.br/index.php/Produtos?act=edit&amp;id=19099187</t>
  </si>
  <si>
    <t>3420652</t>
  </si>
  <si>
    <t>Café Solúvel Granulado Tradicional 3 Corações Vidro 50g</t>
  </si>
  <si>
    <t>7896005800652</t>
  </si>
  <si>
    <t>https://www.paodeacucar.com/produto/180701/cafe-soluvel-granulado-tradicional-3-coracoes-vidro-50g</t>
  </si>
  <si>
    <t>https://monitor.precifica.com.br/index.php/Produtos?act=edit&amp;id=19099192</t>
  </si>
  <si>
    <t>1407374</t>
  </si>
  <si>
    <t>Café Torrado em Grãos Santa Monica Gourmet Torra Italiana Pacote 1kg</t>
  </si>
  <si>
    <t>7898372621892</t>
  </si>
  <si>
    <t>https://www.paodeacucar.com/produto/1635157/cafe-torrado-em-graos-santa-monica-gourmet-torra-italiana-pacote-1kg</t>
  </si>
  <si>
    <t>https://monitor.precifica.com.br/index.php/Produtos?act=edit&amp;id=19099190</t>
  </si>
  <si>
    <t>1340460</t>
  </si>
  <si>
    <t>Café em Cápsula Torrado e Moído Santa Monica Gourmet Caixa 50g 10 Unidades</t>
  </si>
  <si>
    <t>7898372620406</t>
  </si>
  <si>
    <t>https://www.paodeacucar.com/produto/541135/cafe-em-capsula-torrado-e-moido-santa-monica-gourmet-caixa-50g-10-unidades</t>
  </si>
  <si>
    <t>https://monitor.precifica.com.br/index.php/Produtos?act=edit&amp;id=19099191</t>
  </si>
  <si>
    <t>1363097</t>
  </si>
  <si>
    <t>Café Solúvel em Pó Pilão Cafeteria Sachê 40g</t>
  </si>
  <si>
    <t>7896089088465</t>
  </si>
  <si>
    <t>https://www.paodeacucar.com/produto/1515096/cafe-soluvel-em-po-pilao-cafeteria-sache-40g</t>
  </si>
  <si>
    <t>https://monitor.precifica.com.br/index.php/Produtos?act=edit&amp;id=19099189</t>
  </si>
  <si>
    <t>1413464</t>
  </si>
  <si>
    <t>Café Torrado e Moído Chapada Diamantina Nescafé Origens do Brasil Pacote 250g</t>
  </si>
  <si>
    <t>7891000425626</t>
  </si>
  <si>
    <t>https://www.paodeacucar.com/produto/1639598/cafe-torrado-e-moido-chapada-diamantina-nescafe-origens-do-brasil-pacote-250g</t>
  </si>
  <si>
    <t>https://monitor.precifica.com.br/index.php/Produtos?act=edit&amp;id=19099195</t>
  </si>
  <si>
    <t>1405993</t>
  </si>
  <si>
    <t>Café em Cápsula Torrado e Moído Espresso Brazil L'or Origins Collection Caixa 52g 10 Unidades</t>
  </si>
  <si>
    <t>8711000573426</t>
  </si>
  <si>
    <t>https://www.paodeacucar.com/produto/1634100/cafe-em-capsula-torrado-e-moido-espresso-brazil-lor-origins-collection-caixa-52g-10-unidades</t>
  </si>
  <si>
    <t>https://monitor.precifica.com.br/index.php/Produtos?act=edit&amp;id=19099194</t>
  </si>
  <si>
    <t>1405998</t>
  </si>
  <si>
    <t>7896089088281</t>
  </si>
  <si>
    <t>https://www.paodeacucar.com/produto/1634104/cafe-em-capsula-torrado-e-moido-espresso-intenso-pilao-cafeteria-especialidades-caixa-52g-10-unidades</t>
  </si>
  <si>
    <t>https://monitor.precifica.com.br/index.php/Produtos?act=edit&amp;id=19099196</t>
  </si>
  <si>
    <t>1414869</t>
  </si>
  <si>
    <t>8445291150362</t>
  </si>
  <si>
    <t>https://www.paodeacucar.com/produto/1640597/cafe-em-capsula-torrado-e-moido-espresso-india-nescafe-farmers-origins-caixa-79,2g-18-unidades</t>
  </si>
  <si>
    <t>https://monitor.precifica.com.br/index.php/Produtos?act=edit&amp;id=19099193</t>
  </si>
  <si>
    <t>1415217</t>
  </si>
  <si>
    <t>Café em Cápsula Torrado e Moído Kopenhagen Espresso Nescafé Dolce Gusto Caixa 60g 10 Unidades</t>
  </si>
  <si>
    <t>7891000423431</t>
  </si>
  <si>
    <t>https://www.paodeacucar.com/produto/1641746/cafe-em-capsula-torrado-e-moido-kopenhagen-espresso-nescafe-dolce-gusto-caixa-60g-10-unidades</t>
  </si>
  <si>
    <t>https://monitor.precifica.com.br/index.php/Produtos?act=edit&amp;id=19099198</t>
  </si>
  <si>
    <t>1407892</t>
  </si>
  <si>
    <t>Café Solúvel Granulado Qualitá Caixa 40g</t>
  </si>
  <si>
    <t>7895000535699</t>
  </si>
  <si>
    <t>https://www.paodeacucar.com/produto/1635444/cafe-soluvel-granulado-qualita-caixa-40g</t>
  </si>
  <si>
    <t>https://monitor.precifica.com.br/index.php/Produtos?act=edit&amp;id=19099199</t>
  </si>
  <si>
    <t>1221427</t>
  </si>
  <si>
    <t>Café em Cápsula Torrado e Moído Brasil Qualitá Caixa 50g 10 Unidades</t>
  </si>
  <si>
    <t>7895000498369</t>
  </si>
  <si>
    <t>https://www.paodeacucar.com/produto/457240/cafe-em-capsula-torrado-e-moido-brasil-qualita-caixa-50g-10-unidades</t>
  </si>
  <si>
    <t>https://monitor.precifica.com.br/index.php/Produtos?act=edit&amp;id=19099197</t>
  </si>
  <si>
    <t>1406097</t>
  </si>
  <si>
    <t>7891000416266</t>
  </si>
  <si>
    <t>https://www.paodeacucar.com/produto/1634093/cafe-soluvel-granulado-extraforte-nescafe-original-sache-leve-40g-pague-36g</t>
  </si>
  <si>
    <t>https://monitor.precifica.com.br/index.php/Produtos?act=edit&amp;id=19099200</t>
  </si>
  <si>
    <t>1405395</t>
  </si>
  <si>
    <t>Café Grão Arábica Selection 250g Cerrado Mineiro</t>
  </si>
  <si>
    <t>8003753214887</t>
  </si>
  <si>
    <t>https://www.paodeacucar.com/produto/1633739/cafe-grao-arabica-selection-250g-cerrado-mineiro</t>
  </si>
  <si>
    <t>https://monitor.precifica.com.br/index.php/Produtos?act=edit&amp;id=19099202</t>
  </si>
  <si>
    <t>0573382</t>
  </si>
  <si>
    <t>Café Torrado e Moído a Vácuo Tradicional Café do Ponto Pacote 500g</t>
  </si>
  <si>
    <t>7896089029468</t>
  </si>
  <si>
    <t>https://www.paodeacucar.com/produto/38480/cafe-torrado-e-moido-a-vacuo-tradicional-cafe-do-ponto-pacote-500g</t>
  </si>
  <si>
    <t>https://monitor.precifica.com.br/index.php/Produtos?act=edit&amp;id=19099201</t>
  </si>
  <si>
    <t>1408384</t>
  </si>
  <si>
    <t>Cápsula União Clássico 10 unidades</t>
  </si>
  <si>
    <t>7891910030873</t>
  </si>
  <si>
    <t>https://www.paodeacucar.com/produto/1636262/capsula-uniao-classico-10-unidades</t>
  </si>
  <si>
    <t>https://monitor.precifica.com.br/index.php/Produtos?act=edit&amp;id=19099204</t>
  </si>
  <si>
    <t>1201945</t>
  </si>
  <si>
    <t>Café Torrado e Moído NESCAFÉ Gold Equilibrado 250g</t>
  </si>
  <si>
    <t>7891000283783</t>
  </si>
  <si>
    <t>https://www.paodeacucar.com/produto/447285/cafe-torrado-e-moido-nescafe-gold-equilibrado-250g</t>
  </si>
  <si>
    <t>https://monitor.precifica.com.br/index.php/Produtos?act=edit&amp;id=19099203</t>
  </si>
  <si>
    <t>1343970</t>
  </si>
  <si>
    <t>7896078391682</t>
  </si>
  <si>
    <t>https://www.paodeacucar.com/produto/1376013/cafe-em-capsula-torrado-e-moido-organico-astro-cafe-caixa-50g-10-unidades</t>
  </si>
  <si>
    <t>https://monitor.precifica.com.br/index.php/Produtos?act=edit&amp;id=19099206</t>
  </si>
  <si>
    <t>7757617</t>
  </si>
  <si>
    <t>Café Torrado e Moído Baggio Caffé.com Premium Pacote 250g</t>
  </si>
  <si>
    <t>7898922711448</t>
  </si>
  <si>
    <t>https://www.paodeacucar.com/produto/470052/cafe-torrado-e-moido-baggio-caffe-com-premium-pacote-250g</t>
  </si>
  <si>
    <t>https://monitor.precifica.com.br/index.php/Produtos?act=edit&amp;id=19099208</t>
  </si>
  <si>
    <t>1395200</t>
  </si>
  <si>
    <t>Café Torrado em Grãos Japy Orfeu Varietais Pacote 250g</t>
  </si>
  <si>
    <t>Embafreezer</t>
  </si>
  <si>
    <t>7898665832783</t>
  </si>
  <si>
    <t>https://www.paodeacucar.com/produto/1627247/cafe-torrado-em-graos-japy-orfeu-varietais-pacote-250g</t>
  </si>
  <si>
    <t>https://monitor.precifica.com.br/index.php/Produtos?act=edit&amp;id=19099205</t>
  </si>
  <si>
    <t>1416508</t>
  </si>
  <si>
    <t>Café em Cápsula Torrado e Moído Ristretto Shot Starbucks Caixa 57g 10 Unidades</t>
  </si>
  <si>
    <t>8445291451193</t>
  </si>
  <si>
    <t>https://www.paodeacucar.com/produto/1642865/cafe-em-capsula-torrado-e-moido-ristretto-shot-starbucks-caixa-57g-10-unidades</t>
  </si>
  <si>
    <t>https://monitor.precifica.com.br/index.php/Produtos?act=edit&amp;id=19099207</t>
  </si>
  <si>
    <t>1415652</t>
  </si>
  <si>
    <t>Café Solúvel Sachê Nescafé Ice 40g</t>
  </si>
  <si>
    <t>7891000449608</t>
  </si>
  <si>
    <t>https://www.paodeacucar.com/produto/1642209/cafe-soluvel-sache-nescafe-ice-40g</t>
  </si>
  <si>
    <t>https://monitor.precifica.com.br/index.php/Produtos?act=edit&amp;id=19099211</t>
  </si>
  <si>
    <t>1400710</t>
  </si>
  <si>
    <t>Cápsulas Constantino cx 10 unid.</t>
  </si>
  <si>
    <t>7898976049009</t>
  </si>
  <si>
    <t>https://www.paodeacucar.com/produto/666704/capsulas-constantino-cx-10-unid-</t>
  </si>
  <si>
    <t>https://monitor.precifica.com.br/index.php/Produtos?act=edit&amp;id=19099209</t>
  </si>
  <si>
    <t>1369662</t>
  </si>
  <si>
    <t>Café Torrado e Moído a Vácuo Tradicional União Pacote 500g</t>
  </si>
  <si>
    <t>7891910030378</t>
  </si>
  <si>
    <t>https://www.paodeacucar.com/produto/1602262/cafe-torrado-e-moido-a-vacuo-tradicional-uniao-pacote-500g</t>
  </si>
  <si>
    <t>https://monitor.precifica.com.br/index.php/Produtos?act=edit&amp;id=19099210</t>
  </si>
  <si>
    <t>1386647</t>
  </si>
  <si>
    <t>Café em Cápsula Torrado e Moído Descafeinado Baggio Caixa 50g 10 Unidades</t>
  </si>
  <si>
    <t>7898952174879</t>
  </si>
  <si>
    <t>https://www.paodeacucar.com/produto/1619029/cafe-em-capsula-torrado-e-moido-descafeinado-baggio-caixa-50g-10-unidades</t>
  </si>
  <si>
    <t>https://monitor.precifica.com.br/index.php/Produtos?act=edit&amp;id=19099212</t>
  </si>
  <si>
    <t>1370344</t>
  </si>
  <si>
    <t>Café em Cápsula Torrado e Moído Clássico Qualitá 50g 10 Unidades</t>
  </si>
  <si>
    <t>7895000527434</t>
  </si>
  <si>
    <t>https://www.paodeacucar.com/produto/1606432/cafe-em-capsula-torrado-e-moido-classico-qualita-50g-10-unidades</t>
  </si>
  <si>
    <t>https://monitor.precifica.com.br/index.php/Produtos?act=edit&amp;id=19099214</t>
  </si>
  <si>
    <t>1114292</t>
  </si>
  <si>
    <t>Café em Cápsula Torrado e Moído Orgânico Café Native One Caixa 50g 10 Unidades</t>
  </si>
  <si>
    <t>7898206502342</t>
  </si>
  <si>
    <t>https://www.paodeacucar.com/produto/349848/cafe-em-capsula-torrado-e-moido-organico-cafe-native-one-caixa-50g-10-unidades</t>
  </si>
  <si>
    <t>https://monitor.precifica.com.br/index.php/Produtos?act=edit&amp;id=19099215</t>
  </si>
  <si>
    <t>1408382</t>
  </si>
  <si>
    <t>Cápsula União Ristretto 10 unidades</t>
  </si>
  <si>
    <t>7891910030835</t>
  </si>
  <si>
    <t>https://www.paodeacucar.com/produto/1636259/capsula-uniao-ristretto-10-unidades</t>
  </si>
  <si>
    <t>https://monitor.precifica.com.br/index.php/Produtos?act=edit&amp;id=19099213</t>
  </si>
  <si>
    <t>5757121</t>
  </si>
  <si>
    <t>Café com Leite Solúvel Nescafé Lata 300g</t>
  </si>
  <si>
    <t>7891000006290</t>
  </si>
  <si>
    <t>https://www.paodeacucar.com/produto/85860/cafe-com-leite-soluvel-nescafe-lata-300g</t>
  </si>
  <si>
    <t>https://monitor.precifica.com.br/index.php/Produtos?act=edit&amp;id=19099216</t>
  </si>
  <si>
    <t>1221488</t>
  </si>
  <si>
    <t>Cápsula de Café Avelã QUALITÁ 50g</t>
  </si>
  <si>
    <t>7895000498406</t>
  </si>
  <si>
    <t>https://www.paodeacucar.com/produto/457302/capsula-de-cafe-avela-qualita-50g</t>
  </si>
  <si>
    <t>https://monitor.precifica.com.br/index.php/Produtos?act=edit&amp;id=19099219</t>
  </si>
  <si>
    <t>4867753</t>
  </si>
  <si>
    <t>Café Italiano ILLY GRÃO Lata 250g</t>
  </si>
  <si>
    <t>8003753900520</t>
  </si>
  <si>
    <t>https://www.paodeacucar.com/produto/28730/cafe-italiano-illy-grao-lata-250g</t>
  </si>
  <si>
    <t>https://monitor.precifica.com.br/index.php/Produtos?act=edit&amp;id=19099217</t>
  </si>
  <si>
    <t>1400740</t>
  </si>
  <si>
    <t>Café Constantino moído 500g</t>
  </si>
  <si>
    <t>7898994760146</t>
  </si>
  <si>
    <t>https://www.paodeacucar.com/produto/686787/cafe-constantino-moido-500g</t>
  </si>
  <si>
    <t>https://monitor.precifica.com.br/index.php/Produtos?act=edit&amp;id=19099220</t>
  </si>
  <si>
    <t>1416977</t>
  </si>
  <si>
    <t>8003753902630</t>
  </si>
  <si>
    <t>https://www.paodeacucar.com/produto/1643764/cafe-tm-illy-250g</t>
  </si>
  <si>
    <t>https://monitor.precifica.com.br/index.php/Produtos?act=edit&amp;id=19099218</t>
  </si>
  <si>
    <t>1446982</t>
  </si>
  <si>
    <t>Café Torrado e Moído Superior Prima Qualità Mister Pacote 500g</t>
  </si>
  <si>
    <t>Prima Qualitá</t>
  </si>
  <si>
    <t>7896046900113</t>
  </si>
  <si>
    <t>https://www.paodeacucar.com/produto/171782/cafe-torrado-e-moido-superior-prima-qualita-mister-pacote-500g</t>
  </si>
  <si>
    <t>https://monitor.precifica.com.br/index.php/Produtos?act=edit&amp;id=19099221</t>
  </si>
  <si>
    <t>1238014</t>
  </si>
  <si>
    <t>7707211631469</t>
  </si>
  <si>
    <t>https://www.paodeacucar.com/produto/545935/cafe-soluvel-liofilizado-classico-juan-valdez-vidro-95g</t>
  </si>
  <si>
    <t>https://monitor.precifica.com.br/index.php/Produtos?act=edit&amp;id=19099222</t>
  </si>
  <si>
    <t>1340461</t>
  </si>
  <si>
    <t>7898372620048</t>
  </si>
  <si>
    <t>https://www.paodeacucar.com/produto/566666/cafe-intenso-em-capsulas--display-com-10-unidades-</t>
  </si>
  <si>
    <t>https://monitor.precifica.com.br/index.php/Produtos?act=edit&amp;id=19099224</t>
  </si>
  <si>
    <t>1201947</t>
  </si>
  <si>
    <t>Café Torrado e Moído Intenso Nescafé Gold Pacote 250g</t>
  </si>
  <si>
    <t>7891000283745</t>
  </si>
  <si>
    <t>https://www.paodeacucar.com/produto/447284/cafe-torrado-e-moido-intenso-nescafe-gold-pacote-250g</t>
  </si>
  <si>
    <t>https://monitor.precifica.com.br/index.php/Produtos?act=edit&amp;id=19099223</t>
  </si>
  <si>
    <t>1275436</t>
  </si>
  <si>
    <t>7896089013894</t>
  </si>
  <si>
    <t>https://www.paodeacucar.com/produto/596304/cafe-torrado-e-moido-a-vacuo-italiano-pilao-cafeteria-pacote-500g</t>
  </si>
  <si>
    <t>https://monitor.precifica.com.br/index.php/Produtos?act=edit&amp;id=19099226</t>
  </si>
  <si>
    <t>1415221</t>
  </si>
  <si>
    <t>Café Solúvel Liofilizado Intensidade 7 Nescafé Gold Sachê 40g</t>
  </si>
  <si>
    <t>7891000435946</t>
  </si>
  <si>
    <t>https://www.paodeacucar.com/produto/1641743/cafe-soluvel-liofilizado-intensidade-7-nescafe-gold-sache-40g</t>
  </si>
  <si>
    <t>https://monitor.precifica.com.br/index.php/Produtos?act=edit&amp;id=19099225</t>
  </si>
  <si>
    <t>1405510</t>
  </si>
  <si>
    <t>Café Santa Monica Orgânico em cápsulas 10 unidades Café Santa Mônica | Orgânico - 10 unid. Compatível Nespresso</t>
  </si>
  <si>
    <t>7898372620109</t>
  </si>
  <si>
    <t>https://www.paodeacucar.com/produto/542855/cafe-santa-monica-organico-em-capsulas-10-unidades-cafe-santa-monica-|-organico---10-unid--compativel-nespresso</t>
  </si>
  <si>
    <t>https://monitor.precifica.com.br/index.php/Produtos?act=edit&amp;id=19099227</t>
  </si>
  <si>
    <t>1181973</t>
  </si>
  <si>
    <t>Café em Grãos Intenso Qualitá Gourmet Pacote 250g</t>
  </si>
  <si>
    <t>7895000483532</t>
  </si>
  <si>
    <t>https://www.paodeacucar.com/produto/433028/cafe-em-graos-intenso-qualita-gourmet-pacote-250g</t>
  </si>
  <si>
    <t>https://monitor.precifica.com.br/index.php/Produtos?act=edit&amp;id=19099228</t>
  </si>
  <si>
    <t>1406103</t>
  </si>
  <si>
    <t>Café Solúvel Liofilizado Imola Intenso L'or Passione Rossa Vidro 84g</t>
  </si>
  <si>
    <t>7896089015010</t>
  </si>
  <si>
    <t>https://www.paodeacucar.com/produto/1634119/cafe-soluvel-liofilizado-imola-intenso-lor-passione-rossa-vidro-84g</t>
  </si>
  <si>
    <t>https://monitor.precifica.com.br/index.php/Produtos?act=edit&amp;id=19099231</t>
  </si>
  <si>
    <t>1406098</t>
  </si>
  <si>
    <t>Café Solúvel Granulado Suave Nescafé Matinal Sachê Leve 40g Pague 36g</t>
  </si>
  <si>
    <t>7891000418871</t>
  </si>
  <si>
    <t>https://www.paodeacucar.com/produto/1634092/cafe-soluvel-granulado-suave-nescafe-matinal-sache-leve-40g-pague-36g</t>
  </si>
  <si>
    <t>https://monitor.precifica.com.br/index.php/Produtos?act=edit&amp;id=19099232</t>
  </si>
  <si>
    <t>1402405</t>
  </si>
  <si>
    <t>7898665830505</t>
  </si>
  <si>
    <t>https://www.paodeacucar.com/produto/584098/cafe-orfeu-bourbon-amarelo-em-capsulas-20-unidades-cafe-orfeu-bourbon-amarelo-capsulas-de-20unidades</t>
  </si>
  <si>
    <t>https://monitor.precifica.com.br/index.php/Produtos?act=edit&amp;id=19099229</t>
  </si>
  <si>
    <t>1202011</t>
  </si>
  <si>
    <t>Café Solúvel NESCAFÉ Gold 100g</t>
  </si>
  <si>
    <t>7613037064643</t>
  </si>
  <si>
    <t>https://www.paodeacucar.com/produto/447308/cafe-soluvel-nescafe-gold-100g</t>
  </si>
  <si>
    <t>https://monitor.precifica.com.br/index.php/Produtos?act=edit&amp;id=19099230</t>
  </si>
  <si>
    <t>1406166</t>
  </si>
  <si>
    <t>Café Solúvel Liofilizado L'or Ultimo Sachê 40g</t>
  </si>
  <si>
    <t>7896089060218</t>
  </si>
  <si>
    <t>https://www.paodeacucar.com/produto/1634113/cafe-soluvel-liofilizado-lor-ultimo-sache-40g</t>
  </si>
  <si>
    <t>https://monitor.precifica.com.br/index.php/Produtos?act=edit&amp;id=19099234</t>
  </si>
  <si>
    <t>1596441</t>
  </si>
  <si>
    <t>Café Torrado e Moído a Vácuo Extraforte 3 Corações Pacote 250g</t>
  </si>
  <si>
    <t>7896005801819</t>
  </si>
  <si>
    <t>https://www.paodeacucar.com/produto/85398/cafe-torrado-e-moido-a-vacuo-extraforte-3-coracoes-pacote-250g</t>
  </si>
  <si>
    <t>https://monitor.precifica.com.br/index.php/Produtos?act=edit&amp;id=19099236</t>
  </si>
  <si>
    <t>1379650</t>
  </si>
  <si>
    <t>Café UNIÃO Extraforte Pouch 250g</t>
  </si>
  <si>
    <t>7891910030484</t>
  </si>
  <si>
    <t>https://www.paodeacucar.com/produto/1623452/cafe-uniao-extraforte-pouch-250g</t>
  </si>
  <si>
    <t>https://monitor.precifica.com.br/index.php/Produtos?act=edit&amp;id=19099235</t>
  </si>
  <si>
    <t>1003731</t>
  </si>
  <si>
    <t>Café Torrado e Moído Extraforte Qualitá Pacote 500g</t>
  </si>
  <si>
    <t>7895000375110</t>
  </si>
  <si>
    <t>https://www.paodeacucar.com/produto/245203/cafe-torrado-e-moido-extraforte-qualita-pacote-500g</t>
  </si>
  <si>
    <t>https://monitor.precifica.com.br/index.php/Produtos?act=edit&amp;id=19099233</t>
  </si>
  <si>
    <t>1415107</t>
  </si>
  <si>
    <t>Café Torrado e Moído Dandara do Quilombo Pacote 250g</t>
  </si>
  <si>
    <t>7898972425005</t>
  </si>
  <si>
    <t>https://www.paodeacucar.com/produto/1640727/cafe-torrado-e-moido-dandara-do-quilombo-pacote-250g</t>
  </si>
  <si>
    <t>https://monitor.precifica.com.br/index.php/Produtos?act=edit&amp;id=19099238</t>
  </si>
  <si>
    <t>1311339</t>
  </si>
  <si>
    <t>Café Torrado e Moído Bravo Café Tenor Pacote 250g</t>
  </si>
  <si>
    <t>7898204020626</t>
  </si>
  <si>
    <t>https://www.paodeacucar.com/produto/807928/cafe-torrado-e-moido-bravo-cafe-tenor-pacote-250g</t>
  </si>
  <si>
    <t>https://monitor.precifica.com.br/index.php/Produtos?act=edit&amp;id=19099239</t>
  </si>
  <si>
    <t>1408387</t>
  </si>
  <si>
    <t>Café Seleto Tradicional a Vácuo 500g</t>
  </si>
  <si>
    <t>7896053600112</t>
  </si>
  <si>
    <t>https://www.paodeacucar.com/produto/1636237/cafe-seleto-tradicional-a-vacuo-500g</t>
  </si>
  <si>
    <t>https://monitor.precifica.com.br/index.php/Produtos?act=edit&amp;id=19099237</t>
  </si>
  <si>
    <t>1415222</t>
  </si>
  <si>
    <t>Café Solúvel Liofilizado Intensidade 5 Nescafé Gold Sachê 40g</t>
  </si>
  <si>
    <t>7891000436349</t>
  </si>
  <si>
    <t>https://www.paodeacucar.com/produto/1641744/cafe-soluvel-liofilizado-intensidade-5-nescafe-gold-sache-40g</t>
  </si>
  <si>
    <t>https://monitor.precifica.com.br/index.php/Produtos?act=edit&amp;id=19099240</t>
  </si>
  <si>
    <t>1213674</t>
  </si>
  <si>
    <t>Café Solúvel Granulado Qualitá Sachê 100g</t>
  </si>
  <si>
    <t>7895000489619</t>
  </si>
  <si>
    <t>https://www.paodeacucar.com/produto/454666/cafe-soluvel-granulado-qualita-sache-100g</t>
  </si>
  <si>
    <t>https://monitor.precifica.com.br/index.php/Produtos?act=edit&amp;id=19099241</t>
  </si>
  <si>
    <t>1403417</t>
  </si>
  <si>
    <t>Café em Cápsula Torrado e Moído Ristretto Áfricas Nescafé Farmers Origins Caixa 79,2g 18 Unidades</t>
  </si>
  <si>
    <t>8445291146686</t>
  </si>
  <si>
    <t>https://www.paodeacucar.com/produto/1631720/cafe-em-capsula-torrado-e-moido-ristretto-africas-nescafe-farmers-origins-caixa-79,2g-18-unidades</t>
  </si>
  <si>
    <t>https://monitor.precifica.com.br/index.php/Produtos?act=edit&amp;id=19099243</t>
  </si>
  <si>
    <t>1405995</t>
  </si>
  <si>
    <t>Café em Cápsula Torrado e Moído Espresso Avelã L'or Flavours Collection Caixa 52g 10 Unidades</t>
  </si>
  <si>
    <t>8711000712580</t>
  </si>
  <si>
    <t>https://www.paodeacucar.com/produto/1634103/cafe-em-capsula-torrado-e-moido-espresso-avela-lor-flavours-collection-caixa-52g-10-unidades</t>
  </si>
  <si>
    <t>https://monitor.precifica.com.br/index.php/Produtos?act=edit&amp;id=19099242</t>
  </si>
  <si>
    <t>1409245</t>
  </si>
  <si>
    <t>Café Em Cápsula Torrado E Moído Nuts Glaceadas Qualitá Nutty Bavarian Caixa 50G</t>
  </si>
  <si>
    <t>7895000533077</t>
  </si>
  <si>
    <t>https://www.paodeacucar.com/produto/1637369/cafe-em-capsula-torrado-e-moido-nuts-glaceadas-qualita-nutty-bavarian-caixa-50g</t>
  </si>
  <si>
    <t>https://monitor.precifica.com.br/index.php/Produtos?act=edit&amp;id=19099244</t>
  </si>
  <si>
    <t>1395787</t>
  </si>
  <si>
    <t>Café em Cápsula Torrado e Moído Gingerbread Qualitá Exclusive 50g 10 Unidades</t>
  </si>
  <si>
    <t>7895000533046</t>
  </si>
  <si>
    <t>https://www.paodeacucar.com/produto/1627507/cafe-em-capsula-torrado-e-moido-gingerbread-qualita-exclusive-50g-10-unidades</t>
  </si>
  <si>
    <t>https://monitor.precifica.com.br/index.php/Produtos?act=edit&amp;id=19099248</t>
  </si>
  <si>
    <t>1221484</t>
  </si>
  <si>
    <t>Café em Cápsula Torrado e Moído Colômbia Qualitá Gourmet Caixa 50g 10 Unidades</t>
  </si>
  <si>
    <t>7895000498376</t>
  </si>
  <si>
    <t>https://www.paodeacucar.com/produto/457241/cafe-em-capsula-torrado-e-moido-colombia-qualita-gourmet-caixa-50g-10-unidades</t>
  </si>
  <si>
    <t>https://monitor.precifica.com.br/index.php/Produtos?act=edit&amp;id=19099245</t>
  </si>
  <si>
    <t>1352654</t>
  </si>
  <si>
    <t>Café em Cápsula Peneirando Café 1957 3 Corações Portinari Caixa 80g 10 Unidades</t>
  </si>
  <si>
    <t>7896045109647</t>
  </si>
  <si>
    <t>https://www.paodeacucar.com/produto/1386621/cafe-em-capsula-peneirando-cafe-1957-3-coracoes-portinari-caixa-80g-10-unidades</t>
  </si>
  <si>
    <t>https://monitor.precifica.com.br/index.php/Produtos?act=edit&amp;id=19099247</t>
  </si>
  <si>
    <t>1415109</t>
  </si>
  <si>
    <t>Café Torrado em Grãos Anastácia do Quilombo 250g</t>
  </si>
  <si>
    <t>7898972425029</t>
  </si>
  <si>
    <t>https://www.paodeacucar.com/produto/1640728/cafe-torrado-em-graos-anastacia-do-quilombo-250g</t>
  </si>
  <si>
    <t>https://monitor.precifica.com.br/index.php/Produtos?act=edit&amp;id=19099246</t>
  </si>
  <si>
    <t>1406568</t>
  </si>
  <si>
    <t>Café em Cápsula Torrado e Moído Nescafé Dolce Gusto Gold Caixa 80g 10 Unidades</t>
  </si>
  <si>
    <t>7891000418659</t>
  </si>
  <si>
    <t>https://www.paodeacucar.com/produto/1634638/cafe-em-capsula-torrado-e-moido-nescafe-dolce-gusto-gold-caixa-80g-10-unidades</t>
  </si>
  <si>
    <t>https://monitor.precifica.com.br/index.php/Produtos?act=edit&amp;id=19099251</t>
  </si>
  <si>
    <t>1064416</t>
  </si>
  <si>
    <t>Café Torrado e Moído Mogiana Café do Centro Gourmet Pacote 250g</t>
  </si>
  <si>
    <t>Café do Centro</t>
  </si>
  <si>
    <t>7896078301896</t>
  </si>
  <si>
    <t>https://www.paodeacucar.com/produto/313260/cafe-torrado-e-moido-mogiana-cafe-do-centro-gourmet-pacote-250g</t>
  </si>
  <si>
    <t>https://monitor.precifica.com.br/index.php/Produtos?act=edit&amp;id=19099249</t>
  </si>
  <si>
    <t>1363398</t>
  </si>
  <si>
    <t>Café Torrado e Moído Orgânico Astro Café Pacote 250g</t>
  </si>
  <si>
    <t>7898251100241</t>
  </si>
  <si>
    <t>https://www.paodeacucar.com/produto/1515081/cafe-torrado-e-moido-organico-astro-cafe-pacote-250g</t>
  </si>
  <si>
    <t>https://monitor.precifica.com.br/index.php/Produtos?act=edit&amp;id=19099252</t>
  </si>
  <si>
    <t>1144651</t>
  </si>
  <si>
    <t>Café em Cápsula Torrado e Moído Descafeinado Orfeu Caixa 50g 10 Unidades</t>
  </si>
  <si>
    <t>7898912704108</t>
  </si>
  <si>
    <t>https://www.paodeacucar.com/produto/407459/cafe-em-capsula-torrado-e-moido-descafeinado-orfeu-caixa-50g-10-unidades</t>
  </si>
  <si>
    <t>https://monitor.precifica.com.br/index.php/Produtos?act=edit&amp;id=19099250</t>
  </si>
  <si>
    <t>1343886</t>
  </si>
  <si>
    <t>Café Torrado e Moído Bravo Premium 500g</t>
  </si>
  <si>
    <t>Bravo</t>
  </si>
  <si>
    <t>7898204020633</t>
  </si>
  <si>
    <t>https://www.paodeacucar.com/produto/1376536/cafe-torrado-e-moido-bravo-premium-500g</t>
  </si>
  <si>
    <t>https://monitor.precifica.com.br/index.php/Produtos?act=edit&amp;id=19099256</t>
  </si>
  <si>
    <t>1395332</t>
  </si>
  <si>
    <t>Café Torrado e Moído Arara Orfeu Varietais Caixa 250g</t>
  </si>
  <si>
    <t>7898665832738</t>
  </si>
  <si>
    <t>https://www.paodeacucar.com/produto/1627236/cafe-torrado-e-moido-arara-orfeu-varietais-caixa-250g</t>
  </si>
  <si>
    <t>https://monitor.precifica.com.br/index.php/Produtos?act=edit&amp;id=19099254</t>
  </si>
  <si>
    <t>1395337</t>
  </si>
  <si>
    <t>Café Torrado e Moído Japy Orfeu Varietais Caixa 250g</t>
  </si>
  <si>
    <t>7898665832790</t>
  </si>
  <si>
    <t>https://www.paodeacucar.com/produto/1627240/cafe-torrado-e-moido-japy-orfeu-varietais-caixa-250g</t>
  </si>
  <si>
    <t>https://monitor.precifica.com.br/index.php/Produtos?act=edit&amp;id=19099255</t>
  </si>
  <si>
    <t>1194409</t>
  </si>
  <si>
    <t>Café Torrado e Moído Starbucks House Blend Pacote 250g</t>
  </si>
  <si>
    <t>762111364364</t>
  </si>
  <si>
    <t>https://www.paodeacucar.com/produto/441606/cafe-torrado-e-moido-starbucks-house-blend-pacote-250g</t>
  </si>
  <si>
    <t>https://monitor.precifica.com.br/index.php/Produtos?act=edit&amp;id=19099253</t>
  </si>
  <si>
    <t>1403334</t>
  </si>
  <si>
    <t>Café em Sachê Torrado e Moído Drip Coffee Exótico 3 Corações Rituais 85+ Envelope 12g</t>
  </si>
  <si>
    <t>7896045114368</t>
  </si>
  <si>
    <t>https://www.paodeacucar.com/produto/1631453/cafe-em-sache-torrado-e-moido-drip-coffee-exotico-3-coracoes-rituais-85 -envelope-12g</t>
  </si>
  <si>
    <t>https://monitor.precifica.com.br/index.php/Produtos?act=edit&amp;id=19099259</t>
  </si>
  <si>
    <t>1395814</t>
  </si>
  <si>
    <t>Café Solúvel Granulado Descafeinado 3 Corações Sachê 40g</t>
  </si>
  <si>
    <t>7896045113293</t>
  </si>
  <si>
    <t>https://www.paodeacucar.com/produto/1629018/cafe-soluvel-granulado-descafeinado-3-coracoes-sache-40g</t>
  </si>
  <si>
    <t>https://monitor.precifica.com.br/index.php/Produtos?act=edit&amp;id=19099260</t>
  </si>
  <si>
    <t>1181910</t>
  </si>
  <si>
    <t>Café Torrado e Moído Orgânico Taeq Caixa 250g</t>
  </si>
  <si>
    <t>Taeq</t>
  </si>
  <si>
    <t>7895000483549</t>
  </si>
  <si>
    <t>https://www.paodeacucar.com/produto/433026/cafe-torrado-e-moido-organico-taeq-caixa-250g</t>
  </si>
  <si>
    <t>https://monitor.precifica.com.br/index.php/Produtos?act=edit&amp;id=19099257</t>
  </si>
  <si>
    <t>1391740</t>
  </si>
  <si>
    <t>Café Torrado e Moído Mogiana Lor Gourmet Pouch 250g</t>
  </si>
  <si>
    <t>7896089060164</t>
  </si>
  <si>
    <t>https://www.paodeacucar.com/produto/1626179/cafe-torrado-e-moido-mogiana-lor-gourmet-pouch-250g</t>
  </si>
  <si>
    <t>https://monitor.precifica.com.br/index.php/Produtos?act=edit&amp;id=19099258</t>
  </si>
  <si>
    <t>1189929</t>
  </si>
  <si>
    <t>Café em Cápsula Torrado e Moído Espresso Colômbia Tres Regiões do Mundo Caixa 80g 10 Unidades</t>
  </si>
  <si>
    <t>7896005807767</t>
  </si>
  <si>
    <t>https://www.paodeacucar.com/produto/439624/cafe-em-capsula-torrado-e-moido-espresso-colombia-tres-regioes-do-mundo-caixa-80g-10-unidades</t>
  </si>
  <si>
    <t>https://monitor.precifica.com.br/index.php/Produtos?act=edit&amp;id=19099262</t>
  </si>
  <si>
    <t>1400001</t>
  </si>
  <si>
    <t>Café Constantino grão 500g</t>
  </si>
  <si>
    <t>7898994760139</t>
  </si>
  <si>
    <t>https://www.paodeacucar.com/produto/535117/cafe-constantino-grao-500g</t>
  </si>
  <si>
    <t>https://monitor.precifica.com.br/index.php/Produtos?act=edit&amp;id=19099261</t>
  </si>
  <si>
    <t>6014858</t>
  </si>
  <si>
    <t>CaféTorrado e Moído Tradicional Qualitá Pacote 250g</t>
  </si>
  <si>
    <t>7895000320516</t>
  </si>
  <si>
    <t>https://www.paodeacucar.com/produto/62533/cafetorrado-e-moido-tradicional-qualita-pacote-250g</t>
  </si>
  <si>
    <t>https://monitor.precifica.com.br/index.php/Produtos?act=edit&amp;id=19099264</t>
  </si>
  <si>
    <t>1412997</t>
  </si>
  <si>
    <t>Café em Cápsula Torrado e Moído Pilão Cafeteria Brasil Caixa 52g 10 Unidades</t>
  </si>
  <si>
    <t>7896089015058</t>
  </si>
  <si>
    <t>https://www.paodeacucar.com/produto/1639197/cafe-em-capsula-torrado-e-moido-pilao-cafeteria-brasil-caixa-52g-10-unidades</t>
  </si>
  <si>
    <t>https://monitor.precifica.com.br/index.php/Produtos?act=edit&amp;id=19099263</t>
  </si>
  <si>
    <t>7641688</t>
  </si>
  <si>
    <t>Café Torrado e Moído Pilão 252 Graus Pouch 500g</t>
  </si>
  <si>
    <t>7896089013856</t>
  </si>
  <si>
    <t>https://www.paodeacucar.com/produto/446736/cafe-torrado-e-moido-pilao-252-graus-pouch-500g</t>
  </si>
  <si>
    <t>https://monitor.precifica.com.br/index.php/Produtos?act=edit&amp;id=19099266</t>
  </si>
  <si>
    <t>1181911</t>
  </si>
  <si>
    <t>Café em Grãos Clássico Qualitá Gourmet Pacote 250g</t>
  </si>
  <si>
    <t>7895000483525</t>
  </si>
  <si>
    <t>https://www.paodeacucar.com/produto/433027/cafe-em-graos-classico-qualita-gourmet-pacote-250g</t>
  </si>
  <si>
    <t>https://monitor.precifica.com.br/index.php/Produtos?act=edit&amp;id=19099267</t>
  </si>
  <si>
    <t>4876182</t>
  </si>
  <si>
    <t>Café Pó Moído 125g Descafeinado</t>
  </si>
  <si>
    <t>8003753900759</t>
  </si>
  <si>
    <t>https://www.paodeacucar.com/produto/7215/cafe-po-moido-125g-descafeinado</t>
  </si>
  <si>
    <t>https://monitor.precifica.com.br/index.php/Produtos?act=edit&amp;id=19099268</t>
  </si>
  <si>
    <t>1405397</t>
  </si>
  <si>
    <t>Café Orgânico GRÃO - 250g</t>
  </si>
  <si>
    <t>7898372620451</t>
  </si>
  <si>
    <t>https://www.paodeacucar.com/produto/594207/cafe-organico-grao---250g</t>
  </si>
  <si>
    <t>https://monitor.precifica.com.br/index.php/Produtos?act=edit&amp;id=19099265</t>
  </si>
  <si>
    <t>1402404</t>
  </si>
  <si>
    <t>Café Orfeu Clássico em cápsulas 20 unidades Orfeu Cápsula Clássico - 20 Unid</t>
  </si>
  <si>
    <t>7898912704115</t>
  </si>
  <si>
    <t>https://www.paodeacucar.com/produto/534900/cafe-orfeu-classico-em-capsulas-20-unidades-orfeu-capsula-classico---20-unid</t>
  </si>
  <si>
    <t>https://monitor.precifica.com.br/index.php/Produtos?act=edit&amp;id=19099271</t>
  </si>
  <si>
    <t>6014810</t>
  </si>
  <si>
    <t>Café Torrado e Moído Tradicional Qualitá Pacote 500g</t>
  </si>
  <si>
    <t>7895000320509</t>
  </si>
  <si>
    <t>https://www.paodeacucar.com/produto/62780/cafe-torrado-e-moido-tradicional-qualita-pacote-500g</t>
  </si>
  <si>
    <t>https://monitor.precifica.com.br/index.php/Produtos?act=edit&amp;id=19099270</t>
  </si>
  <si>
    <t>1406805</t>
  </si>
  <si>
    <t>Café em Cápsula Torrado e Moído Nescafé Dolce Gusto Gold Caixa 60g 10 Unidades</t>
  </si>
  <si>
    <t>7891000420782</t>
  </si>
  <si>
    <t>https://www.paodeacucar.com/produto/1634637/cafe-em-capsula-torrado-e-moido-nescafe-dolce-gusto-gold-caixa-60g-10-unidades</t>
  </si>
  <si>
    <t>https://monitor.precifica.com.br/index.php/Produtos?act=edit&amp;id=19099272</t>
  </si>
  <si>
    <t>1405661</t>
  </si>
  <si>
    <t>Café Illy moído Colômbia 125g</t>
  </si>
  <si>
    <t>8003753972701</t>
  </si>
  <si>
    <t>https://www.paodeacucar.com/produto/537188/cafe-illy-moido-colombia-125g</t>
  </si>
  <si>
    <t>https://monitor.precifica.com.br/index.php/Produtos?act=edit&amp;id=19099269</t>
  </si>
  <si>
    <t>1386480</t>
  </si>
  <si>
    <t>Café em Cápsula Torrado e Moído Espresso Mestre Yoda Star Wars 3 Corações Caixa 10 Unidades 8g Cada</t>
  </si>
  <si>
    <t>7896045112661</t>
  </si>
  <si>
    <t>https://www.paodeacucar.com/produto/1624704/cafe-em-capsula-torrado-e-moido-espresso-mestre-yoda-star-wars-3-coracoes-caixa-10-unidades-8g-cada</t>
  </si>
  <si>
    <t>https://monitor.precifica.com.br/index.php/Produtos?act=edit&amp;id=19099275</t>
  </si>
  <si>
    <t>4685319</t>
  </si>
  <si>
    <t>7898206500102</t>
  </si>
  <si>
    <t>https://www.paodeacucar.com/produto/132945/cafe-torrado-em-graos-organico-espresso-native-pacote-500g</t>
  </si>
  <si>
    <t>https://monitor.precifica.com.br/index.php/Produtos?act=edit&amp;id=19099274</t>
  </si>
  <si>
    <t>6014827</t>
  </si>
  <si>
    <t>Café Torrado e Moído a Vácuo Tradicional Qualitá Pacote 250g</t>
  </si>
  <si>
    <t>7895000320530</t>
  </si>
  <si>
    <t>https://www.paodeacucar.com/produto/62442/cafe-torrado-e-moido-a-vacuo-tradicional-qualita-pacote-250g</t>
  </si>
  <si>
    <t>https://monitor.precifica.com.br/index.php/Produtos?act=edit&amp;id=19099276</t>
  </si>
  <si>
    <t>1275329</t>
  </si>
  <si>
    <t>Café Torrado e Moído Intenso Lor Torras Gourmet Sachê 250g</t>
  </si>
  <si>
    <t>7896089060157</t>
  </si>
  <si>
    <t>https://www.paodeacucar.com/produto/596298/cafe-torrado-e-moido-intenso-lor-torras-gourmet-sache-250g</t>
  </si>
  <si>
    <t>https://monitor.precifica.com.br/index.php/Produtos?act=edit&amp;id=19099273</t>
  </si>
  <si>
    <t>1258434</t>
  </si>
  <si>
    <t>Café Torrado e Moído Prima Qualità Gourmet Pacote 250g</t>
  </si>
  <si>
    <t>C Annata</t>
  </si>
  <si>
    <t>7896046900625</t>
  </si>
  <si>
    <t>https://www.paodeacucar.com/produto/1628937/cafe-torrado-e-moido-prima-qualita-gourmet-pacote-250g</t>
  </si>
  <si>
    <t>https://monitor.precifica.com.br/index.php/Produtos?act=edit&amp;id=19099278</t>
  </si>
  <si>
    <t>1410940</t>
  </si>
  <si>
    <t>Café Torrado e Moído Juan Valdez Colina Pouch 250g</t>
  </si>
  <si>
    <t>7709764337560</t>
  </si>
  <si>
    <t>https://www.paodeacucar.com/produto/1638703/cafe-torrado-e-moido-juan-valdez-colina-pouch-250g</t>
  </si>
  <si>
    <t>https://monitor.precifica.com.br/index.php/Produtos?act=edit&amp;id=19099279</t>
  </si>
  <si>
    <t>1416907</t>
  </si>
  <si>
    <t>Café em Cápsula Torrado e Moído Starbucks Espresso Roast Caixa 55g 10 Unidades</t>
  </si>
  <si>
    <t>8445291367272</t>
  </si>
  <si>
    <t>https://www.paodeacucar.com/produto/1643680/cafe-em-capsula-torrado-e-moido-starbucks-espresso-roast-caixa-55g-10-unidades</t>
  </si>
  <si>
    <t>https://monitor.precifica.com.br/index.php/Produtos?act=edit&amp;id=19099280</t>
  </si>
  <si>
    <t>1221575</t>
  </si>
  <si>
    <t>Café em Cápsula Torrado e Moído Caramelo Qualitá Caixa 50g 10 Unidades</t>
  </si>
  <si>
    <t>7895000498383</t>
  </si>
  <si>
    <t>https://www.paodeacucar.com/produto/457287/cafe-em-capsula-torrado-e-moido-caramelo-qualita-caixa-50g-10-unidades</t>
  </si>
  <si>
    <t>https://monitor.precifica.com.br/index.php/Produtos?act=edit&amp;id=19099277</t>
  </si>
  <si>
    <t>1446975</t>
  </si>
  <si>
    <t>Café Torrado em Grãos Prima Qualità Gourmet Pacote 1kg</t>
  </si>
  <si>
    <t>7896046900267</t>
  </si>
  <si>
    <t>https://www.paodeacucar.com/produto/171610/cafe-torrado-em-graos-prima-qualita-gourmet-pacote-1kg</t>
  </si>
  <si>
    <t>https://monitor.precifica.com.br/index.php/Produtos?act=edit&amp;id=19099282</t>
  </si>
  <si>
    <t>1415113</t>
  </si>
  <si>
    <t>Café Torrado em Capsulas Tereza do Quilombo 50g</t>
  </si>
  <si>
    <t>7898972425074</t>
  </si>
  <si>
    <t>https://www.paodeacucar.com/produto/1640735/cafe-torrado-em-capsulas-tereza-do-quilombo-50g</t>
  </si>
  <si>
    <t>https://monitor.precifica.com.br/index.php/Produtos?act=edit&amp;id=19099283</t>
  </si>
  <si>
    <t>1403837</t>
  </si>
  <si>
    <t>Café Illy moído Guatemala 125g</t>
  </si>
  <si>
    <t>8003753939940</t>
  </si>
  <si>
    <t>https://www.paodeacucar.com/produto/534843/cafe-illy-moido-guatemala-125g</t>
  </si>
  <si>
    <t>https://monitor.precifica.com.br/index.php/Produtos?act=edit&amp;id=19099284</t>
  </si>
  <si>
    <t>8322463</t>
  </si>
  <si>
    <t>Café com Leite Solúvel Clássico Melitta Lata 200g</t>
  </si>
  <si>
    <t>7891021007573</t>
  </si>
  <si>
    <t>https://www.paodeacucar.com/produto/75674/cafe-com-leite-soluvel-classico-melitta-lata-200g</t>
  </si>
  <si>
    <t>https://monitor.precifica.com.br/index.php/Produtos?act=edit&amp;id=19099281</t>
  </si>
  <si>
    <t>1410981</t>
  </si>
  <si>
    <t>Café Solúvel Liofilizado Baunilha e Canela Juan Valdez Vidro 95g</t>
  </si>
  <si>
    <t>7707211632169</t>
  </si>
  <si>
    <t>https://www.paodeacucar.com/produto/1638697/cafe-soluvel-liofilizado-baunilha-e-canela-juan-valdez-vidro-95g</t>
  </si>
  <si>
    <t>https://monitor.precifica.com.br/index.php/Produtos?act=edit&amp;id=19099287</t>
  </si>
  <si>
    <t>3877272</t>
  </si>
  <si>
    <t>Café Torrado e Moído Bravo Café Pacote 500g</t>
  </si>
  <si>
    <t>7898204020015</t>
  </si>
  <si>
    <t>https://www.paodeacucar.com/produto/77519/cafe-torrado-e-moido-bravo-cafe-pacote-500g</t>
  </si>
  <si>
    <t>https://monitor.precifica.com.br/index.php/Produtos?act=edit&amp;id=19099285</t>
  </si>
  <si>
    <t>1398973</t>
  </si>
  <si>
    <t>Café Solúvel Liofilizado Qualitá Exclusive Vidro 100g</t>
  </si>
  <si>
    <t>7895000533022</t>
  </si>
  <si>
    <t>https://www.paodeacucar.com/produto/1629120/cafe-soluvel-liofilizado-qualita-exclusive-vidro-100g</t>
  </si>
  <si>
    <t>https://monitor.precifica.com.br/index.php/Produtos?act=edit&amp;id=19099288</t>
  </si>
  <si>
    <t>1408385</t>
  </si>
  <si>
    <t>Cápsula União Velluto 10 unidades</t>
  </si>
  <si>
    <t>7891910030897</t>
  </si>
  <si>
    <t>https://www.paodeacucar.com/produto/1636261/capsula-uniao-velluto-10-unidades</t>
  </si>
  <si>
    <t>https://monitor.precifica.com.br/index.php/Produtos?act=edit&amp;id=19099286</t>
  </si>
  <si>
    <t>6836832</t>
  </si>
  <si>
    <t>Café Torrado e Moído Extraforte Café Brasileiro Pacote 500g</t>
  </si>
  <si>
    <t>7891018001393</t>
  </si>
  <si>
    <t>https://www.paodeacucar.com/produto/174077/cafe-torrado-e-moido-extraforte-cafe-brasileiro-pacote-500g</t>
  </si>
  <si>
    <t>https://monitor.precifica.com.br/index.php/Produtos?act=edit&amp;id=19099289</t>
  </si>
  <si>
    <t>1064390</t>
  </si>
  <si>
    <t>Café Torrado e Moído Sul de Minas Café do Centro Gourmet Pacote 250g</t>
  </si>
  <si>
    <t>7896078301902</t>
  </si>
  <si>
    <t>https://www.paodeacucar.com/produto/313262/cafe-torrado-e-moido-sul-de-minas-cafe-do-centro-gourmet-pacote-250g</t>
  </si>
  <si>
    <t>https://monitor.precifica.com.br/index.php/Produtos?act=edit&amp;id=19099292</t>
  </si>
  <si>
    <t>1405999</t>
  </si>
  <si>
    <t>Café em Cápsula Torrado e Moído Ristretto Espresso Imola L'or Passione Rossa Caixa 52g 10 Unidades</t>
  </si>
  <si>
    <t>8711000579176</t>
  </si>
  <si>
    <t>https://www.paodeacucar.com/produto/1634105/cafe-em-capsula-torrado-e-moido-ristretto-espresso-imola-lor-passione-rossa-caixa-52g-10-unidades</t>
  </si>
  <si>
    <t>https://monitor.precifica.com.br/index.php/Produtos?act=edit&amp;id=19099290</t>
  </si>
  <si>
    <t>1368588</t>
  </si>
  <si>
    <t>Café Constantino moído 250g</t>
  </si>
  <si>
    <t>7898994760153</t>
  </si>
  <si>
    <t>https://www.paodeacucar.com/produto/534726/cafe-constantino-moido-250g</t>
  </si>
  <si>
    <t>https://monitor.precifica.com.br/index.php/Produtos?act=edit&amp;id=19099291</t>
  </si>
  <si>
    <t>1415224</t>
  </si>
  <si>
    <t>Café Solúvel Liofilizado Intenso Nescafé Gold Vidro 100g</t>
  </si>
  <si>
    <t>8445291748590</t>
  </si>
  <si>
    <t>https://www.paodeacucar.com/produto/1641745/cafe-soluvel-liofilizado-intenso-nescafe-gold-vidro-100g</t>
  </si>
  <si>
    <t>https://monitor.precifica.com.br/index.php/Produtos?act=edit&amp;id=19099295</t>
  </si>
  <si>
    <t>1410941</t>
  </si>
  <si>
    <t>Café em Cápsula Torrado e Moído Espresso Juan Valdez Mujeres Cafeteras Caixa 45g 8 Unidades</t>
  </si>
  <si>
    <t>7701362003496</t>
  </si>
  <si>
    <t>https://www.paodeacucar.com/produto/1638702/cafe-em-capsula-torrado-e-moido-espresso-juan-valdez-mujeres-cafeteras-caixa-45g-8-unidades</t>
  </si>
  <si>
    <t>https://monitor.precifica.com.br/index.php/Produtos?act=edit&amp;id=19099296</t>
  </si>
  <si>
    <t>1403836</t>
  </si>
  <si>
    <t>Café Illy moído Etiópia 125 g</t>
  </si>
  <si>
    <t>8003753939964</t>
  </si>
  <si>
    <t>https://www.paodeacucar.com/produto/534889/cafe-illy-moido-etiopia-125-g</t>
  </si>
  <si>
    <t>https://monitor.precifica.com.br/index.php/Produtos?act=edit&amp;id=19099293</t>
  </si>
  <si>
    <t>1233731</t>
  </si>
  <si>
    <t>Drip Coffee - Qualitá Premium 100g</t>
  </si>
  <si>
    <t>7895000503520</t>
  </si>
  <si>
    <t>https://www.paodeacucar.com/produto/464715/drip-coffee---qualita-premium-100g</t>
  </si>
  <si>
    <t>https://monitor.precifica.com.br/index.php/Produtos?act=edit&amp;id=19099294</t>
  </si>
  <si>
    <t>1351082</t>
  </si>
  <si>
    <t>Café Solúvel em Pó Tradicional 3 Corações Lata 160g</t>
  </si>
  <si>
    <t>7896005809488</t>
  </si>
  <si>
    <t>https://www.paodeacucar.com/produto/1615095/cafe-soluvel-em-po-tradicional-3-coracoes-lata-160g</t>
  </si>
  <si>
    <t>https://monitor.precifica.com.br/index.php/Produtos?act=edit&amp;id=19099297</t>
  </si>
  <si>
    <t>Marcas Target</t>
  </si>
  <si>
    <t>Amostras na base</t>
  </si>
  <si>
    <t>SANTA MONICA</t>
  </si>
  <si>
    <t>ASTRO CAFE</t>
  </si>
  <si>
    <t>BAGGIO</t>
  </si>
  <si>
    <t>CAFÉ DO CENTRO</t>
  </si>
  <si>
    <t>BRAVO</t>
  </si>
  <si>
    <t>CAFÉ TOLEDO</t>
  </si>
  <si>
    <t>TRES CORACOES</t>
  </si>
  <si>
    <t>CONSTANTINO</t>
  </si>
  <si>
    <t>ZARO CAFÉ</t>
  </si>
  <si>
    <t>COSTA RICA</t>
  </si>
  <si>
    <t>LAVAZZA</t>
  </si>
  <si>
    <t>SKU</t>
  </si>
  <si>
    <t>Titulo</t>
  </si>
  <si>
    <t>Fabricante</t>
  </si>
  <si>
    <t>Tipo Produto</t>
  </si>
  <si>
    <t>Categoria</t>
  </si>
  <si>
    <t>Sub Categoria</t>
  </si>
  <si>
    <t>GTIN</t>
  </si>
  <si>
    <t>Modelo</t>
  </si>
  <si>
    <t>Bytes</t>
  </si>
  <si>
    <t>Litros</t>
  </si>
  <si>
    <t>Tamanho</t>
  </si>
  <si>
    <t>Qtde. Pacote</t>
  </si>
  <si>
    <t>Cor</t>
  </si>
  <si>
    <t>Peso</t>
  </si>
  <si>
    <t>Genero</t>
  </si>
  <si>
    <t>Volume</t>
  </si>
  <si>
    <t>Voltagem</t>
  </si>
  <si>
    <t>Disponibilidade</t>
  </si>
  <si>
    <t>Preco</t>
  </si>
  <si>
    <t>Preço Oferta</t>
  </si>
  <si>
    <t>Vendedor</t>
  </si>
  <si>
    <t>Descricao</t>
  </si>
  <si>
    <t>Descricao_1</t>
  </si>
  <si>
    <t>URL</t>
  </si>
  <si>
    <t>URL Imagem</t>
  </si>
  <si>
    <t>URL Imagem_2</t>
  </si>
  <si>
    <t>Column1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</si>
  <si>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</si>
  <si>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</si>
  <si>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</si>
  <si>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</si>
  <si>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</si>
  <si>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</si>
  <si>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</si>
  <si>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</si>
  <si>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</si>
  <si>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CLUSTER PAO</t>
  </si>
  <si>
    <t>2532</t>
  </si>
  <si>
    <t>Café Torrado e Moído Superior Aviação 500g</t>
  </si>
  <si>
    <t>Aviação</t>
  </si>
  <si>
    <t>Mambo</t>
  </si>
  <si>
    <t>Mercearia</t>
  </si>
  <si>
    <t>7896331100648</t>
  </si>
  <si>
    <t>500</t>
  </si>
  <si>
    <t>Disponivel</t>
  </si>
  <si>
    <t>54.98</t>
  </si>
  <si>
    <t>SUPERMERCADOS MAMBO - BR</t>
  </si>
  <si>
    <t>https://www.mambo.com.br/cafe-superior-moido-aviacao-500g/p</t>
  </si>
  <si>
    <t>https://mambodelivery.vteximg.com.br/arquivos/ids/225965/_--15-.jpg?v=638726318458270000</t>
  </si>
  <si>
    <t>2533</t>
  </si>
  <si>
    <t>Café Torrado e Moído 252 Graus a Vácuo Pilão 500g</t>
  </si>
  <si>
    <t>7896089013849</t>
  </si>
  <si>
    <t>252</t>
  </si>
  <si>
    <t>43.49</t>
  </si>
  <si>
    <t>https://www.mambo.com.br/cafe-torrado-e-moido-252-graus-a-vacuo-pilao-500g/p</t>
  </si>
  <si>
    <t>https://mambodelivery.vteximg.com.br/arquivos/ids/232952/7896089013849.jpg?v=638844758945970000</t>
  </si>
  <si>
    <t>2534</t>
  </si>
  <si>
    <t>Café Torrado e Moído 252° Graus Abre &amp; Fecha Pilão Sachê 500g</t>
  </si>
  <si>
    <t>https://www.mambo.com.br/cafe-torrado-e-moido-252--graus-abre---fecha-pilao-sache-500g/p</t>
  </si>
  <si>
    <t>https://mambodelivery.vteximg.com.br/arquivos/ids/232953/7896089013856_01.jpg?v=638844761397800000</t>
  </si>
  <si>
    <t>https://mambodelivery.vteximg.com.br/arquivos/ids/232954/7896089013856_02.jpg?v=638844761398100000</t>
  </si>
  <si>
    <t>https://mambodelivery.vteximg.com.br/arquivos/ids/232955/7896089013856_03.jpg?v=638844761398100000</t>
  </si>
  <si>
    <t>2536</t>
  </si>
  <si>
    <t>7896045102440</t>
  </si>
  <si>
    <t>27.99</t>
  </si>
  <si>
    <t>https://www.mambo.com.br/cafe-torrado-e-moido-a-vacuo-tradicional-3-coracoes-pacote-500g/p</t>
  </si>
  <si>
    <t>https://mambodelivery.vteximg.com.br/arquivos/ids/159910/cafe-a-vacuo-tradicional-3-coracoes-500g_1.jpg?v=637883137229130000</t>
  </si>
  <si>
    <t>https://mambodelivery.vteximg.com.br/arquivos/ids/159909/cafe-a-vacuo-tradicional-3-coracoes-500g.jpg?v=637883137219130000</t>
  </si>
  <si>
    <t>https://mambodelivery.vteximg.com.br/arquivos/ids/159911/cafe-a-vacuo-tradicional-3-coracoes-500g_2.jpg?v=637883137237900000</t>
  </si>
  <si>
    <t>https://mambodelivery.vteximg.com.br/arquivos/ids/159912/cafe-a-vacuo-tradicional-3-coracoes-500g_3.jpg?v=637883137247770000</t>
  </si>
  <si>
    <t>https://mambodelivery.vteximg.com.br/arquivos/ids/159913/cafe-a-vacuo-tradicional-3-coracoes-500g_4.jpg?v=637883137256070000</t>
  </si>
  <si>
    <t>https://mambodelivery.vteximg.com.br/arquivos/ids/159914/cafe-a-vacuo-tradicional-3-coracoes-500g_5.jpg?v=637883137266830000</t>
  </si>
  <si>
    <t>https://mambodelivery.vteximg.com.br/arquivos/ids/159915/cafe-a-vacuo-tradicional-3-coracoes-500g_6.jpg?v=637883137274030000</t>
  </si>
  <si>
    <t>2537</t>
  </si>
  <si>
    <t>Cápsula de Café Aqtivus 8 Delta 55g com 10 Unidades</t>
  </si>
  <si>
    <t>Delta Q</t>
  </si>
  <si>
    <t>5601082038537</t>
  </si>
  <si>
    <t>10</t>
  </si>
  <si>
    <t>55</t>
  </si>
  <si>
    <t>28.49</t>
  </si>
  <si>
    <t>https://www.mambo.com.br/cafe-aqtivus-8-delta-55g-com-10-capsulas/p</t>
  </si>
  <si>
    <t>https://mambodelivery.vteximg.com.br/arquivos/ids/159916/cafe-aqtivus-8-delta-55g-com-10-capsulas.jpg?v=637883137287030000</t>
  </si>
  <si>
    <t>2538</t>
  </si>
  <si>
    <t>Café Torrado e Moído Aromatizado Amêndoas Torradas Floresta 100g</t>
  </si>
  <si>
    <t>Floresta</t>
  </si>
  <si>
    <t>7896393800029</t>
  </si>
  <si>
    <t>100</t>
  </si>
  <si>
    <t>19.98</t>
  </si>
  <si>
    <t>https://www.mambo.com.br/cafe-aromatizado-amendoas-torradas-floresta-100g/p</t>
  </si>
  <si>
    <t>https://mambodelivery.vteximg.com.br/arquivos/ids/159917/cafe-aromatizado-amendoas-torradas-floresta-100g.jpg?v=637883137303130000</t>
  </si>
  <si>
    <t>2539</t>
  </si>
  <si>
    <t>Café Torrado e Moído Aromatizado Baunilha com Nozes Floresta 100g</t>
  </si>
  <si>
    <t>7896393800050</t>
  </si>
  <si>
    <t>https://www.mambo.com.br/cafe-aromatizado-baunilha-com-nozes-floresta-100g/p</t>
  </si>
  <si>
    <t>https://mambodelivery.vteximg.com.br/arquivos/ids/159918/cafe-aromatizado-baunilha-com-nozes-floresta-100g.jpg?v=637883137318300000</t>
  </si>
  <si>
    <t>2541</t>
  </si>
  <si>
    <t>Café Torrado e Moído Aromatizado Crème Brulée Floresta 100g</t>
  </si>
  <si>
    <t>7896393800067</t>
  </si>
  <si>
    <t>https://www.mambo.com.br/cafe-aromatizado-creme-brulee-floresta-100g/p</t>
  </si>
  <si>
    <t>https://mambodelivery.vteximg.com.br/arquivos/ids/241367/209268.jpg?v=639010679039500000</t>
  </si>
  <si>
    <t>2542</t>
  </si>
  <si>
    <t>Café Torrado e Moído Aromatizado Trufas com Chocolate Floresta 100g</t>
  </si>
  <si>
    <t>7896393800074</t>
  </si>
  <si>
    <t>https://www.mambo.com.br/cafe-aromatizado-trufas-com-chocolate-floresta-100g/p</t>
  </si>
  <si>
    <t>https://mambodelivery.vteximg.com.br/arquivos/ids/159921/cafe-aromatizado-trufas-com-chocolate-floresta-100g.jpg?v=637883137363370000</t>
  </si>
  <si>
    <t>2543</t>
  </si>
  <si>
    <t>Cápsula de Café Barítono Bravo 50g com 10 Unidades</t>
  </si>
  <si>
    <t>Bravo Café</t>
  </si>
  <si>
    <t>7898204020329</t>
  </si>
  <si>
    <t>50</t>
  </si>
  <si>
    <t>23.98</t>
  </si>
  <si>
    <t>https://www.mambo.com.br/cafe-baritono-bravo-50g-com-10-capsulas/p</t>
  </si>
  <si>
    <t>https://mambodelivery.vteximg.com.br/arquivos/ids/231793/226322.jpg.jpg?v=638822109508970000</t>
  </si>
  <si>
    <t>2545</t>
  </si>
  <si>
    <t>Cápsula de Café Blonde Espresso Roast Starbucks &amp; Nespresso com 10 Unidades</t>
  </si>
  <si>
    <t>32.98</t>
  </si>
  <si>
    <t>https://www.mambo.com.br/cafe-blonde-espresso-roast-starbucks-by-nespresso-com-10-capsulas/p</t>
  </si>
  <si>
    <t>https://mambodelivery.vteximg.com.br/arquivos/ids/223502/7613036961004-CafeemCapsulaStarbucks%C3%82%C2%AEBlondeEspressoRoastbyNespresso%C3%82%C2%AE-10capsulas-1.jpg?v=638664166610400000</t>
  </si>
  <si>
    <t>https://mambodelivery.vteximg.com.br/arquivos/ids/223503/image-to-upload-1.jpg?v=638664166614930000</t>
  </si>
  <si>
    <t>https://mambodelivery.vteximg.com.br/arquivos/ids/223504/7613036961004-CafeemCapsulaStarbucks%C3%82%C2%AEBlondeEspressoRoastbyNespresso%C3%82%C2%AE-10capsulas-1.jpg?v=638664166618700000</t>
  </si>
  <si>
    <t>https://mambodelivery.vteximg.com.br/arquivos/ids/223505/7613036961004-CafeemCapsulaStarbucks%C3%82%C2%AEBlondeEspressoRoastbyNespresso%C3%82%C2%AE-10capsulas-3.jpg?v=638664166622130000</t>
  </si>
  <si>
    <t>https://mambodelivery.vteximg.com.br/arquivos/ids/223506/7613036961004-CafeemCapsulaStarbucks%C3%82%C2%AEBlondeEspressoRoastbyNespresso%C3%82%C2%AE-10capsulas-4.jpg?v=638664166625070000</t>
  </si>
  <si>
    <t>https://mambodelivery.vteximg.com.br/arquivos/ids/223507/7613036961004-CafeemCapsulaStarbucks%C3%82%C2%AEBlondeEspressoRoastbyNespresso%C3%82%C2%AE-10capsulas-5.jpg?v=638664166627730000</t>
  </si>
  <si>
    <t>2546</t>
  </si>
  <si>
    <t>Café Torrado e Moído Bourbon Amarelo Varietais Orfeu 250g</t>
  </si>
  <si>
    <t>250</t>
  </si>
  <si>
    <t>42.49</t>
  </si>
  <si>
    <t>https://www.mambo.com.br/cafe-torrado-e-moido-bourbon-amarelo-varietais-orfeu-250g/p</t>
  </si>
  <si>
    <t>https://mambodelivery.vteximg.com.br/arquivos/ids/230121/270757.jpg.jpg?v=638792182938900000</t>
  </si>
  <si>
    <t>2547</t>
  </si>
  <si>
    <t>Cápsula de Café Bourbon Amarelo Orfeu 50g com 10 Unidades</t>
  </si>
  <si>
    <t>26.99</t>
  </si>
  <si>
    <t>https://www.mambo.com.br/cafe-bourbon-amarelo-orfeu-50g-com-10-capsulas/p</t>
  </si>
  <si>
    <t>https://mambodelivery.vteximg.com.br/arquivos/ids/159939/cafe-bourbon-amarelo-orfeu-50g-com-10-capsulas.jpg?v=637883137569100000</t>
  </si>
  <si>
    <t>2555</t>
  </si>
  <si>
    <t>Cápsula de Café Clássico Orfeu 50g com 10 Unidades</t>
  </si>
  <si>
    <t>https://www.mambo.com.br/cafe-classico-orfeu-50g-com-10-capsulas/p</t>
  </si>
  <si>
    <t>https://mambodelivery.vteximg.com.br/arquivos/ids/159955/cafe-classico-orfeu-50g-com-10-capsulas.jpg?v=637883137770670000</t>
  </si>
  <si>
    <t>2556</t>
  </si>
  <si>
    <t>Cápsula de Café Single-Origin Colombia Nespresso Starbucks 57g com 10 Unidades</t>
  </si>
  <si>
    <t>7613036961448</t>
  </si>
  <si>
    <t>57</t>
  </si>
  <si>
    <t>https://www.mambo.com.br/capsula-de-cafe-single-origin-colombia-nespresso-starbucks-57g-com-10-unidades/p</t>
  </si>
  <si>
    <t>https://mambodelivery.vteximg.com.br/arquivos/ids/230887/7613036961448-CafeemCapsulaStarbucks%C3%82%C2%AESingle-OriginColombiabyNespresso%C3%82%C2%AE-10capsulas-1.jpg?v=638803142930800000</t>
  </si>
  <si>
    <t>https://mambodelivery.vteximg.com.br/arquivos/ids/230888/7613036961448-CafeemCapsulaStarbucks%C3%82%C2%AESingle-OriginColombiabyNespresso%C3%82%C2%AE-10capsulas-3.jpg?v=638803144120670000</t>
  </si>
  <si>
    <t>https://mambodelivery.vteximg.com.br/arquivos/ids/230889/7613036961448-CafeemCapsulaStarbucks%C3%82%C2%AESingle-OriginColombiabyNespresso%C3%82%C2%AE-10capsulas-4.jpg?v=638803144120670000</t>
  </si>
  <si>
    <t>https://mambodelivery.vteximg.com.br/arquivos/ids/230890/7613036961448-CafeemCapsulaStarbucks%C3%82%C2%AESingle-OriginColombiabyNespresso%C3%82%C2%AE-10capsulas-5.jpg?v=638803144120670000</t>
  </si>
  <si>
    <t>https://mambodelivery.vteximg.com.br/arquivos/ids/230891/7613036961448-CafeemCapsulaStarbucks%C3%82%C2%AESingle-OriginColombiabyNespresso%C3%82%C2%AE-10capsulas-6.jpg?v=638803144120670000</t>
  </si>
  <si>
    <t>https://mambodelivery.vteximg.com.br/arquivos/ids/230892/7613036961448-CafeemCapsulaStarbucks%C3%82%C2%AESingle-OriginColombiabyNespresso%C3%82%C2%AE-10capsulas-7.jpg?v=638803144120800000</t>
  </si>
  <si>
    <t>https://mambodelivery.vteximg.com.br/arquivos/ids/230893/7613036961448-CafeemCapsulaStarbucks%C3%82%C2%AESingle-OriginColombiabyNespresso%C3%82%C2%AE-10capsulas-8.jpg?v=638803144120800000</t>
  </si>
  <si>
    <t>https://mambodelivery.vteximg.com.br/arquivos/ids/230894/7613036961448-CafeemCapsulaStarbucks%C3%82%C2%AESingle-OriginColombiabyNespresso%C3%82%C2%AE-10capsulas-9.jpg?v=638803144120800000</t>
  </si>
  <si>
    <t>2557</t>
  </si>
  <si>
    <t>Cápsula de Café com Cacau Italle 25g com 10 Unidades</t>
  </si>
  <si>
    <t>Italle</t>
  </si>
  <si>
    <t>7898994748762</t>
  </si>
  <si>
    <t>25</t>
  </si>
  <si>
    <t>18.99</t>
  </si>
  <si>
    <t>https://www.mambo.com.br/cafe-com-cacau-italle-25g-10-capsulas/p</t>
  </si>
  <si>
    <t>https://mambodelivery.vteximg.com.br/arquivos/ids/159966/cafc3a9-com-cacau-italle-25g-10-cc3a1psulas.jpg?v=637883137892930000</t>
  </si>
  <si>
    <t>2559</t>
  </si>
  <si>
    <t>Cápsula de Café Com Leite Tres 3 Corações 90g com 10 Unidades</t>
  </si>
  <si>
    <t>90</t>
  </si>
  <si>
    <t>17.98</t>
  </si>
  <si>
    <t>https://www.mambo.com.br/capsula-de-cafe-com-leite-tres-3-coracoes-90g-com-10-unidades/p</t>
  </si>
  <si>
    <t>https://mambodelivery.vteximg.com.br/arquivos/ids/211423/7896005805121-Capsula-de-Cafe-com-Leite-3-Coracoes-10-unid-01.jpg?v=638531991024200000</t>
  </si>
  <si>
    <t>https://mambodelivery.vteximg.com.br/arquivos/ids/211424/7896005805121-Capsula-de-Cafe-com-Leite-3-Coracoes-10-unid-02.jpg?v=638755917606600000</t>
  </si>
  <si>
    <t>https://mambodelivery.vteximg.com.br/arquivos/ids/211425/7896005805121-Capsula-de-Cafe-com-Leite-3-Coracoes-10-unid-03.jpg?v=638755917606600000</t>
  </si>
  <si>
    <t>https://mambodelivery.vteximg.com.br/arquivos/ids/211426/7896005805121-Capsula-de-Cafe-com-Leite-3-Coracoes-10-unid-04.jpg?v=638755917606600000</t>
  </si>
  <si>
    <t>2561</t>
  </si>
  <si>
    <t>Cápsula de Café Baileys Supremo Macchiato Tres 3 Corações 110g com 10 Unidades</t>
  </si>
  <si>
    <t>110</t>
  </si>
  <si>
    <t>https://www.mambo.com.br/capsula-baileys-supremo-macchiato-3-coracoes-10-unid/p</t>
  </si>
  <si>
    <t>https://mambodelivery.vteximg.com.br/arquivos/ids/227641/7896045104871---Cafe-com-Leite-em-Capsula-Supremo-Macchiato-3-Coracoes-Baileys-Caixa-110g-10-Unidades---1.jpg?v=638762701443930000</t>
  </si>
  <si>
    <t>https://mambodelivery.vteximg.com.br/arquivos/ids/227642/7896045104871---Cafe-com-Leite-em-Capsula-Supremo-Macchiato-3-Coracoes-Baileys-Caixa-110g-10-Unidades---1.jpg?v=638762701444100000</t>
  </si>
  <si>
    <t>https://mambodelivery.vteximg.com.br/arquivos/ids/227643/7896045104871---Cafe-com-Leite-em-Capsula-Supremo-Macchiato-3-Coracoes-Baileys-Caixa-110g-10-Unidades---2.jpg?v=638762701444100000</t>
  </si>
  <si>
    <t>https://mambodelivery.vteximg.com.br/arquivos/ids/227644/7896045104871---Cafe-com-Leite-em-Capsula-Supremo-Macchiato-3-Coracoes-Baileys-Caixa-110g-10-Unidades---3.jpg?v=638762701444100000</t>
  </si>
  <si>
    <t>2568</t>
  </si>
  <si>
    <t>Cápsula de Café Espresso Forza Tres 3 Corações 80g com 10 Unidades</t>
  </si>
  <si>
    <t>80</t>
  </si>
  <si>
    <t>https://www.mambo.com.br/capsula-de-cafe-espresso-forza-tres-3-coracoes-80g-com-10-unidades/p</t>
  </si>
  <si>
    <t>https://mambodelivery.vteximg.com.br/arquivos/ids/227653/265764-Cafe-Capsula-Forza-Tres-8g-10-Capsulas.jpg?v=638762701820000000</t>
  </si>
  <si>
    <t>https://mambodelivery.vteximg.com.br/arquivos/ids/227654/265764-Cafe-Capsula-Forza-Tres-8g-10-Capsulas.jpg?v=638762701820330000</t>
  </si>
  <si>
    <t>https://mambodelivery.vteximg.com.br/arquivos/ids/227655/265764-Cafe-Capsula-Forza-Tres-8g-10-Capsulas.jpg?v=638762701820330000</t>
  </si>
  <si>
    <t>https://mambodelivery.vteximg.com.br/arquivos/ids/227656/265764-Cafe-Capsula-Forza-Tres-8g-10-Capsulas.jpg?v=638762701820330000</t>
  </si>
  <si>
    <t>2572</t>
  </si>
  <si>
    <t>Café Torrado e Moído Descafeinado a Vácuo 3 Corações 250g</t>
  </si>
  <si>
    <t>40.98</t>
  </si>
  <si>
    <t>https://www.mambo.com.br/cafe-torrado-e-moido-descafeinado-a-vacuo-3-coracoes-250g/p</t>
  </si>
  <si>
    <t>https://mambodelivery.vteximg.com.br/arquivos/ids/227182/cafe-descafeinado-a-vacuo-3-coracoes-250g_1.jpg?v=638760218489770000</t>
  </si>
  <si>
    <t>https://mambodelivery.vteximg.com.br/arquivos/ids/227183/cafe-descafeinado-a-vacuo-3-coracoes-250g.jpg?v=638760218489930000</t>
  </si>
  <si>
    <t>https://mambodelivery.vteximg.com.br/arquivos/ids/227184/cafe-descafeinado-a-vacuo-3-coracoes-250g_2.jpg?v=638760218490100000</t>
  </si>
  <si>
    <t>https://mambodelivery.vteximg.com.br/arquivos/ids/227185/cafe-descafeinado-a-vacuo-3-coracoes-250g_3.jpg?v=638760218490100000</t>
  </si>
  <si>
    <t>https://mambodelivery.vteximg.com.br/arquivos/ids/227186/cafe-descafeinado-a-vacuo-3-coracoes-250g_4.jpg?v=638760218490100000</t>
  </si>
  <si>
    <t>https://mambodelivery.vteximg.com.br/arquivos/ids/227187/cafe-descafeinado-a-vacuo-3-coracoes-250g_5.jpg?v=638760218490230000</t>
  </si>
  <si>
    <t>https://mambodelivery.vteximg.com.br/arquivos/ids/227188/cafe-descafeinado-a-vacuo-3-coracoes-250g_6.jpg?v=638760218490230000</t>
  </si>
  <si>
    <t>2573</t>
  </si>
  <si>
    <t>Café Torrado e Moído Descafeinado Melitta 250g</t>
  </si>
  <si>
    <t>7891021006309</t>
  </si>
  <si>
    <t>https://www.mambo.com.br/cafe-torrado-e-moido-descafeinado-melitta-250g/p</t>
  </si>
  <si>
    <t>https://mambodelivery.vteximg.com.br/arquivos/ids/227280/cafe-descafeinado-melitta-250g_1.jpg?v=638761902420200000</t>
  </si>
  <si>
    <t>https://mambodelivery.vteximg.com.br/arquivos/ids/227281/cafe-descafeinado-melitta-250g.jpg?v=638761902420370000</t>
  </si>
  <si>
    <t>https://mambodelivery.vteximg.com.br/arquivos/ids/227282/cafe-descafeinado-melitta-250g_2.jpg?v=638761902420500000</t>
  </si>
  <si>
    <t>https://mambodelivery.vteximg.com.br/arquivos/ids/227283/cafe-descafeinado-melitta-250g_3.jpg?v=638761902420500000</t>
  </si>
  <si>
    <t>2575</t>
  </si>
  <si>
    <t>Café Torrado e Moído Descafeínado a Vácuo Pilão 250g</t>
  </si>
  <si>
    <t>https://www.mambo.com.br/cafe-torrado-e-moido-descafeinado-a-vacuo-pilao-250g/p</t>
  </si>
  <si>
    <t>https://mambodelivery.vteximg.com.br/arquivos/ids/232900/7896089012118_03.jpg?v=638844663495870000</t>
  </si>
  <si>
    <t>https://mambodelivery.vteximg.com.br/arquivos/ids/232901/7896089012118_02.jpg?v=638844663495870000</t>
  </si>
  <si>
    <t>https://mambodelivery.vteximg.com.br/arquivos/ids/232902/7896089012118_01.jpg?v=638844663496030000</t>
  </si>
  <si>
    <t>2577</t>
  </si>
  <si>
    <t>Cápsula de Café Orgânico Santa Mônica 50g com 10 Unidades</t>
  </si>
  <si>
    <t>Santa Mônica</t>
  </si>
  <si>
    <t>Indisponivel</t>
  </si>
  <si>
    <t>0</t>
  </si>
  <si>
    <t>https://www.mambo.com.br/capsula-de-cafe-organico-santa-monica-50g-10-unidades/p</t>
  </si>
  <si>
    <t>https://mambodelivery.vteximg.com.br/arquivos/ids/160026/cafe-em-capsula-organico-santa-monica-50g-10-unidades.jpg?v=637883138574500000</t>
  </si>
  <si>
    <t>2578</t>
  </si>
  <si>
    <t>7898665831298</t>
  </si>
  <si>
    <t>29.99</t>
  </si>
  <si>
    <t>https://www.mambo.com.br/capsula-de-cafe-bourbon-amarelo-orfeu-50g-10-unidades/p</t>
  </si>
  <si>
    <t>https://mambodelivery.vteximg.com.br/arquivos/ids/160027/cafe-em-capsula-bourbon-amarelo-orfeu-10-unidades.jpg?v=637883138588600000</t>
  </si>
  <si>
    <t>2579</t>
  </si>
  <si>
    <t>Cápsula de Café Clássico Orfeu 90g com 10 Unidades</t>
  </si>
  <si>
    <t>7898665831274</t>
  </si>
  <si>
    <t>https://www.mambo.com.br/capsula-de-cafe-classico-orfeu-90g-10-unidades/p</t>
  </si>
  <si>
    <t>https://mambodelivery.vteximg.com.br/arquivos/ids/160028/cafe-em-capsula-classico-orfeu-10-unidades.jpg?v=637883138603130000</t>
  </si>
  <si>
    <t>2582</t>
  </si>
  <si>
    <t>Cápsula de Café Intenso Orfeu 90g com 10 Unidades</t>
  </si>
  <si>
    <t>7898665831281</t>
  </si>
  <si>
    <t>https://www.mambo.com.br/capsula-de-cafe-intenso-orfeu-90g-10-unidades/p</t>
  </si>
  <si>
    <t>https://mambodelivery.vteximg.com.br/arquivos/ids/160031/cafe-em-capsula-intenso-orfeu-10-unidades.png?v=637883138643800000</t>
  </si>
  <si>
    <t>2583</t>
  </si>
  <si>
    <t>Cápsula de Café Orgânico Orfeu 90g com 10 Unidades</t>
  </si>
  <si>
    <t>7898665831304</t>
  </si>
  <si>
    <t>36.98</t>
  </si>
  <si>
    <t>https://www.mambo.com.br/capsula-de-cafe-organico-orfeu-90g-10-unidades/p</t>
  </si>
  <si>
    <t>https://mambodelivery.vteximg.com.br/arquivos/ids/160032/cafe-em-capsula-organico-orfeu-10-unidades.jpg?v=637883138658200000</t>
  </si>
  <si>
    <t>2585</t>
  </si>
  <si>
    <t>Cápsula de Café Torrado e Moído Clássico Espresso Illy Caixa 57g com 10 Unidades</t>
  </si>
  <si>
    <t>24.99</t>
  </si>
  <si>
    <t>https://www.mambo.com.br/capsula-de-cafe-torrado-e-moido-classico-espresso-illy-57g-10-unidades/p</t>
  </si>
  <si>
    <t>https://mambodelivery.vteximg.com.br/arquivos/ids/160034/cafe-em-capsula-torrado-e-moido-classico-espresso-illy-caixa-57g-10-unidades.jpg?v=637883138690130000</t>
  </si>
  <si>
    <t>https://mambodelivery.vteximg.com.br/arquivos/ids/160035/cafe-em-capsula-torrado-e-moido-classico-espresso-illy-caixa-57g-10-unidades_1.jpg?v=637883138702330000</t>
  </si>
  <si>
    <t>https://mambodelivery.vteximg.com.br/arquivos/ids/160036/cafe-em-capsula-torrado-e-moido-classico-espresso-illy-caixa-57g-10-unidades_2.jpg?v=637883138714200000</t>
  </si>
  <si>
    <t>2587</t>
  </si>
  <si>
    <t>Cápsula de Café Forte Espresso Illy Caixa 57g com 10 Unidades</t>
  </si>
  <si>
    <t>https://www.mambo.com.br/capsula-de-cafe-forte-espresso-illy-57g-10-unidades/p</t>
  </si>
  <si>
    <t>https://mambodelivery.vteximg.com.br/arquivos/ids/160041/cafe-em-capsula-torrado-e-moido-forte-espresso-illy-caixa-57g-10-unidades.jpg?v=637883138768170000</t>
  </si>
  <si>
    <t>https://mambodelivery.vteximg.com.br/arquivos/ids/160042/cafe-em-capsula-torrado-e-moido-forte-espresso-illy-caixa-57g-10-unidades_1.jpg?v=637883138779400000</t>
  </si>
  <si>
    <t>https://mambodelivery.vteximg.com.br/arquivos/ids/160043/cafe-em-capsula-torrado-e-moido-forte-espresso-illy-caixa-57g-10-unidades_2.jpg?v=637883138788800000</t>
  </si>
  <si>
    <t>2589</t>
  </si>
  <si>
    <t>Cápsula de Café Intenso Espresso Illy Caixa 57g com 10 Unidades</t>
  </si>
  <si>
    <t>https://www.mambo.com.br/capsula-de-cafe-intenso-espresso-illy-57g-10-unidades/p</t>
  </si>
  <si>
    <t>https://mambodelivery.vteximg.com.br/arquivos/ids/160045/cafe-em-capsula-torrado-e-moido-intenso-espresso-illy-caixa-57g-10-unidades.jpg?v=637883138819000000</t>
  </si>
  <si>
    <t>https://mambodelivery.vteximg.com.br/arquivos/ids/160046/cafe-em-capsula-torrado-e-moido-intenso-espresso-illy-caixa-57g-10-unidades_1.jpg?v=637883138826970000</t>
  </si>
  <si>
    <t>https://mambodelivery.vteximg.com.br/arquivos/ids/160047/cafe-em-capsula-torrado-e-moido-intenso-espresso-illy-caixa-57g-10-unidades_2.jpg?v=637883138837770000</t>
  </si>
  <si>
    <t>2595</t>
  </si>
  <si>
    <t>Café em Grãos Classico Illy Blend 250g</t>
  </si>
  <si>
    <t>48.98</t>
  </si>
  <si>
    <t>https://www.mambo.com.br/cafe-em-graos-torra-media-illy-250g/p</t>
  </si>
  <si>
    <t>https://mambodelivery.vteximg.com.br/arquivos/ids/234211/230378.jpg?v=638863838396630000</t>
  </si>
  <si>
    <t>2596</t>
  </si>
  <si>
    <t>Cápsula de Café Epiq Intensidade 14 Delta Q 55g com 10 Unidades</t>
  </si>
  <si>
    <t>5601082041162</t>
  </si>
  <si>
    <t>https://www.mambo.com.br/cafe-epiq-intensidade-14-delta-q-55g-com-10-capsulas/p</t>
  </si>
  <si>
    <t>https://mambodelivery.vteximg.com.br/arquivos/ids/160058/cafe-epiq-intensidade-14-delta-q-55g-com-10-capsulas.jpg?v=637883138997670000</t>
  </si>
  <si>
    <t>2597</t>
  </si>
  <si>
    <t>Café Torrado e Moído Especial a Vácuo Melitta 500g</t>
  </si>
  <si>
    <t>7891021006866</t>
  </si>
  <si>
    <t>56.98</t>
  </si>
  <si>
    <t>https://www.mambo.com.br/cafe-torrado-e-moido-especial-a-vacuo-melitta-500g/p</t>
  </si>
  <si>
    <t>https://mambodelivery.vteximg.com.br/arquivos/ids/227189/cafe-especial-a-vacuo-melitta-500g_2.jpg?v=638760220451770000</t>
  </si>
  <si>
    <t>https://mambodelivery.vteximg.com.br/arquivos/ids/227190/cafe-especial-a-vacuo-melitta-500g_1.jpg?v=638760220452000000</t>
  </si>
  <si>
    <t>https://mambodelivery.vteximg.com.br/arquivos/ids/227191/cafe-especial-a-vacuo-melitta-500g.jpg?v=638760220452170000</t>
  </si>
  <si>
    <t>https://mambodelivery.vteximg.com.br/arquivos/ids/227192/cafe-especial-a-vacuo-melitta-500g_3.jpg?v=638760220452200000</t>
  </si>
  <si>
    <t>2598</t>
  </si>
  <si>
    <t>Café em Cápsulas de Torrado e moído Pilão Fortíssimo 10 - 52g com 10 Cápsulas</t>
  </si>
  <si>
    <t>52</t>
  </si>
  <si>
    <t>25.49</t>
  </si>
  <si>
    <t>https://www.mambo.com.br/cafe-em-capsulas-de-torrado-e-moido-pilao-fortissimo-10---52g-com-10-capsulas/p</t>
  </si>
  <si>
    <t>https://mambodelivery.vteximg.com.br/arquivos/ids/232913/7896089088410_01.jpg?v=638844672358530000</t>
  </si>
  <si>
    <t>https://mambodelivery.vteximg.com.br/arquivos/ids/232914/7896089088410_02.jpg?v=638844672358530000</t>
  </si>
  <si>
    <t>https://mambodelivery.vteximg.com.br/arquivos/ids/232915/7896089088410_03.jpg?v=638844672358530000</t>
  </si>
  <si>
    <t>https://mambodelivery.vteximg.com.br/arquivos/ids/232916/7896089088410_04.jpg?v=638844672358700000</t>
  </si>
  <si>
    <t>https://mambodelivery.vteximg.com.br/arquivos/ids/232917/7896089088410_05.jpg?v=638844672358700000</t>
  </si>
  <si>
    <t>2599</t>
  </si>
  <si>
    <t>https://www.mambo.com.br/cafe-em-capsula-torrado-e-moido-espresso-extraforte-pilao-caixa-52g-10-unidades/p</t>
  </si>
  <si>
    <t>https://mambodelivery.vteximg.com.br/arquivos/ids/232895/7896089088427_01.jpg?v=638844661510430000</t>
  </si>
  <si>
    <t>https://mambodelivery.vteximg.com.br/arquivos/ids/232896/7896089088427_02.jpg?v=638844661510570000</t>
  </si>
  <si>
    <t>https://mambodelivery.vteximg.com.br/arquivos/ids/232897/7896089088427_03.jpg?v=638844661510730000</t>
  </si>
  <si>
    <t>https://mambodelivery.vteximg.com.br/arquivos/ids/232898/7896089088427_04.jpg?v=638844661510730000</t>
  </si>
  <si>
    <t>https://mambodelivery.vteximg.com.br/arquivos/ids/232899/7896089088427_05.jpg?v=638844661510730000</t>
  </si>
  <si>
    <t>2600</t>
  </si>
  <si>
    <t xml:space="preserve">Café em Cápsulas de Torrado e moído Pilão Tradicional 07 52g com 10 Cápsulas </t>
  </si>
  <si>
    <t>https://www.mambo.com.br/capsula-de-cafe-espresso-07-pilao-52g-com-10-unidade/p</t>
  </si>
  <si>
    <t>https://mambodelivery.vteximg.com.br/arquivos/ids/232922/7896089088403_01.jpg?v=638844678136370000</t>
  </si>
  <si>
    <t>https://mambodelivery.vteximg.com.br/arquivos/ids/232923/7896089088403_02.jpg?v=638844678136530000</t>
  </si>
  <si>
    <t>https://mambodelivery.vteximg.com.br/arquivos/ids/232924/7896089088403_03.jpg?v=638844678136530000</t>
  </si>
  <si>
    <t>https://mambodelivery.vteximg.com.br/arquivos/ids/232925/7896089088403_04.jpg?v=638844678136530000</t>
  </si>
  <si>
    <t>https://mambodelivery.vteximg.com.br/arquivos/ids/232926/7896089088403_05.jpg?v=638844678136530000</t>
  </si>
  <si>
    <t>2601</t>
  </si>
  <si>
    <t>Cápsula de Café Espresso Ameno Tres 3 Corações 80g com 10 Unidades</t>
  </si>
  <si>
    <t>7896005805701</t>
  </si>
  <si>
    <t>https://www.mambo.com.br/capsula-de-cafe-espresso-ameno-tres-3-coracoes-80g-com-10-unidades/p</t>
  </si>
  <si>
    <t>https://mambodelivery.vteximg.com.br/arquivos/ids/211394/7896005805701-Capsula-de-Cafe-Espresso-Ameno-3-Coracoes-10-unid.jpg?v=638531968474630000</t>
  </si>
  <si>
    <t>https://mambodelivery.vteximg.com.br/arquivos/ids/211396/7896005805701-Capsula-de-Cafe-Espresso-Ameno-3-Coracoes-10-unid--1-.jpg?v=638760993237100000</t>
  </si>
  <si>
    <t>https://mambodelivery.vteximg.com.br/arquivos/ids/211397/7896005805701-Capsula-de-Cafe-Espresso-Ameno-3-Coracoes-10-unid--2-.jpg?v=638760993237100000</t>
  </si>
  <si>
    <t>https://mambodelivery.vteximg.com.br/arquivos/ids/211398/7896005805701-Capsula-de-Cafe-Espresso-Ameno-3-Coracoes-10-unid--3-.jpg?v=638760993237100000</t>
  </si>
  <si>
    <t>2602</t>
  </si>
  <si>
    <t>Cápsula de Café Espresso Atento Tres 3 Corações 80g com 10 Unidades</t>
  </si>
  <si>
    <t>7896005805718</t>
  </si>
  <si>
    <t>https://www.mambo.com.br/capsula-de-cafe-espresso-atento-tres-3-coracoes-80g-com-10-unidades/p</t>
  </si>
  <si>
    <t>https://mambodelivery.vteximg.com.br/arquivos/ids/227645/251087-Cafe-Espresso-Atento-Tres-3-Coracoes-8g-com-10-Capsulas.jpg?v=638762701569200000</t>
  </si>
  <si>
    <t>https://mambodelivery.vteximg.com.br/arquivos/ids/227646/251087-Cafe-Espresso-Atento-Tres-3-Coracoes-8g-com-10-Capsulas.jpg?v=638762701569370000</t>
  </si>
  <si>
    <t>https://mambodelivery.vteximg.com.br/arquivos/ids/227647/251087-Cafe-Espresso-Atento-Tres-3-Coracoes-8g-com-10-Capsulas.jpg?v=638762701569370000</t>
  </si>
  <si>
    <t>https://mambodelivery.vteximg.com.br/arquivos/ids/227648/251087-Cafe-Espresso-Atento-Tres-3-Coracoes-8g-com-10-Capsulas.jpg?v=638762701569370000</t>
  </si>
  <si>
    <t>2604</t>
  </si>
  <si>
    <t>Cápsula de Café Espresso Colombia L'or 52g com 10 Unidades</t>
  </si>
  <si>
    <t>Lor</t>
  </si>
  <si>
    <t>30.98</t>
  </si>
  <si>
    <t>https://www.mambo.com.br/cafe-espresso-colombia-lor-52g-com-10-capsulas/p</t>
  </si>
  <si>
    <t>https://mambodelivery.vteximg.com.br/arquivos/ids/232870/8711000362679-CafeemCapsulaEspressoColombiaL-orCaixa52g10Unidades-1.jpg?v=638844627661670000</t>
  </si>
  <si>
    <t>https://mambodelivery.vteximg.com.br/arquivos/ids/232871/image-to-upload-1.jpg?v=638844627665570000</t>
  </si>
  <si>
    <t>https://mambodelivery.vteximg.com.br/arquivos/ids/232872/8711000362679-CafeemCapsulaEspressoColombiaL-orCaixa52g10Unidades-1.jpg?v=638844627668370000</t>
  </si>
  <si>
    <t>https://mambodelivery.vteximg.com.br/arquivos/ids/232873/8711000362679-CafeemCapsulaEspressoColombiaL-orCaixa52g10Unidades-2.jpg?v=638844627671030000</t>
  </si>
  <si>
    <t>2605</t>
  </si>
  <si>
    <t>Cápsula de Café Descafeinado Tres 3 Corações 80g com 10 Unidades</t>
  </si>
  <si>
    <t>https://www.mambo.com.br/capsula-de-cafe-descafeinado-tres-3-coracoes-80g-com-10-unidades/p</t>
  </si>
  <si>
    <t>https://mambodelivery.vteximg.com.br/arquivos/ids/227649/190549-Cafe-Espresso-Descafeinado-Tres-3-Coracoe-10-Capsulas-de-8g-cada.jpg?v=638762701704300000</t>
  </si>
  <si>
    <t>https://mambodelivery.vteximg.com.br/arquivos/ids/227650/190549-Cafe-Espresso-Descafeinado-Tres-3-Coracoe-10-Capsulas-de-8g-cada.jpg?v=638762701704630000</t>
  </si>
  <si>
    <t>https://mambodelivery.vteximg.com.br/arquivos/ids/227651/190549-Cafe-Espresso-Descafeinado-Tres-3-Coracoe-10-Capsulas-de-8g-cada.jpg?v=638762701704630000</t>
  </si>
  <si>
    <t>https://mambodelivery.vteximg.com.br/arquivos/ids/227652/190549-Cafe-Espresso-Descafeinado-Tres-3-Coracoe-10-Capsulas-de-8g-cada.jpg?v=638762701704800000</t>
  </si>
  <si>
    <t>2606</t>
  </si>
  <si>
    <t>Cápsula de Café Espresso Forza L'or 52 com 10 Unidades</t>
  </si>
  <si>
    <t>https://www.mambo.com.br/cafe-espresso-forza-lor-52-com-10-capsulas/p</t>
  </si>
  <si>
    <t>https://mambodelivery.vteximg.com.br/arquivos/ids/160086/cafe-espresso-forza-lor-52-com-10-capsulas.jpg?v=637883139317870000</t>
  </si>
  <si>
    <t>2607</t>
  </si>
  <si>
    <t>Café em Grãos Espresso Gourmet Ituano 1kg</t>
  </si>
  <si>
    <t>Ituano</t>
  </si>
  <si>
    <t>7896038022526</t>
  </si>
  <si>
    <t>1</t>
  </si>
  <si>
    <t>119.98</t>
  </si>
  <si>
    <t>https://www.mambo.com.br/cafe-em-graos-espresso-gourmet-ituano-1kg/p</t>
  </si>
  <si>
    <t>https://mambodelivery.vteximg.com.br/arquivos/ids/233847/163828.jpg?v=638857541561570000</t>
  </si>
  <si>
    <t>2608</t>
  </si>
  <si>
    <t>Café em Grãos Espresso Intenso Evolutto 1kg</t>
  </si>
  <si>
    <t>Evolutto</t>
  </si>
  <si>
    <t>7896046900175</t>
  </si>
  <si>
    <t>132.98</t>
  </si>
  <si>
    <t>https://www.mambo.com.br/cafe-em-graos-espresso-intenso-evolutto-1kg/p</t>
  </si>
  <si>
    <t>https://mambodelivery.vteximg.com.br/arquivos/ids/232130/191224.jpg.jpg?v=638827543266600000</t>
  </si>
  <si>
    <t>2609</t>
  </si>
  <si>
    <t>Cápsula de Café Espresso Lungo Estremo L'or 52g com 10 Unidades</t>
  </si>
  <si>
    <t>https://www.mambo.com.br/cafe-espresso-lungo-estremo-lor-52g-com-10-capsulas/p</t>
  </si>
  <si>
    <t>https://mambodelivery.vteximg.com.br/arquivos/ids/232839/7896089088335-CafeemCapsulaTorradoeMoidoLungoEspressoL-orCaixa52g10Unidades-1.jpg?v=638842069201270000</t>
  </si>
  <si>
    <t>https://mambodelivery.vteximg.com.br/arquivos/ids/232840/image-to-upload-1.jpg?v=638842069209000000</t>
  </si>
  <si>
    <t>https://mambodelivery.vteximg.com.br/arquivos/ids/232841/7896089088335-CafeemCapsulaTorradoeMoidoLungoEspressoL-orCaixa52g10Unidades-1.jpg?v=638842069213830000</t>
  </si>
  <si>
    <t>https://mambodelivery.vteximg.com.br/arquivos/ids/232842/7896089088335-CafeemCapsulaTorradoeMoidoLungoEspressoL-orCaixa52g10Unidades-2.jpg?v=638842069216630000</t>
  </si>
  <si>
    <t>2611</t>
  </si>
  <si>
    <t>Cápsula de Café Espresso Onyx L'or 52g com 10 Unidades</t>
  </si>
  <si>
    <t>https://www.mambo.com.br/cafe-espresso-onyx-lor-52g-com-10-capsulas-de-aluminio/p</t>
  </si>
  <si>
    <t>https://mambodelivery.vteximg.com.br/arquivos/ids/235292/8711000362631_01.jpg?v=638895780133970000</t>
  </si>
  <si>
    <t>https://mambodelivery.vteximg.com.br/arquivos/ids/235293/8711000362631_03.jpg?v=638895780134530000</t>
  </si>
  <si>
    <t>https://mambodelivery.vteximg.com.br/arquivos/ids/235294/8711000362631_02.jpg?v=638895780134700000</t>
  </si>
  <si>
    <t>2612</t>
  </si>
  <si>
    <t>Cápsula de Café Espresso PapuaCafé Espresso Papua L'or 52g com 10 Unidades</t>
  </si>
  <si>
    <t>8711000362693</t>
  </si>
  <si>
    <t>https://www.mambo.com.br/cafe-espresso-papuacafe-espresso-papua-lor-52g-com-10-capsulas-de-aluminio-52g-com-10-capsulas-de-aluminio/p</t>
  </si>
  <si>
    <t>https://mambodelivery.vteximg.com.br/arquivos/ids/160093/cafe-espresso-papuacafe-espresso-papua-lor-52g-com-10-capsulas-de-aluminio-52g-com-10-capsulas-de-aluminio.jpg?v=637883139419530000</t>
  </si>
  <si>
    <t>2613</t>
  </si>
  <si>
    <t>Cápsula de Café Espresso Pleno Tres 3 Corações 80g com 10 Unidades</t>
  </si>
  <si>
    <t>https://www.mambo.com.br/capsula-de-cafe-espresso-pleno-tres-3-coracoes-80g-com-10-unidades/p</t>
  </si>
  <si>
    <t>https://mambodelivery.vteximg.com.br/arquivos/ids/211402/7896005804995-Capsula-de-Cafe-Espresso-Pleno-3-Coracoes-10-unid-01.jpg?v=638531972294370000</t>
  </si>
  <si>
    <t>https://mambodelivery.vteximg.com.br/arquivos/ids/211403/7896005804995-Capsula-de-Cafe-Espresso-Pleno-3-Coracoes-10-unid-02.jpg?v=638760995454330000</t>
  </si>
  <si>
    <t>https://mambodelivery.vteximg.com.br/arquivos/ids/211404/7896005804995-Capsula-de-Cafe-Espresso-Pleno-3-Coracoes-10-unid-03.jpg?v=638760995454500000</t>
  </si>
  <si>
    <t>https://mambodelivery.vteximg.com.br/arquivos/ids/211405/7896005804995-Capsula-de-Cafe-Espresso-Pleno-3-Coracoes-10-unid-04.jpg?v=638760995454500000</t>
  </si>
  <si>
    <t>2614</t>
  </si>
  <si>
    <t>Cápsula de Café Espresso Ristretto Descafeinado L'or 52g com 10 Unidades</t>
  </si>
  <si>
    <t>https://www.mambo.com.br/cafe-espresso-ristretto-descafeinado-lor-52g-com-10-capsulas-de-aluminio/p</t>
  </si>
  <si>
    <t>https://mambodelivery.vteximg.com.br/arquivos/ids/232965/8711000397466.jpg?v=638844773637530000</t>
  </si>
  <si>
    <t>https://mambodelivery.vteximg.com.br/arquivos/ids/232966/8711000397466_2.jpg?v=638844773638000000</t>
  </si>
  <si>
    <t>https://mambodelivery.vteximg.com.br/arquivos/ids/232967/8711000397466_3.jpg?v=638844773638170000</t>
  </si>
  <si>
    <t>2616</t>
  </si>
  <si>
    <t>Cápsula de Café Espresso Ristretto L'or 52g com 10 Unidades</t>
  </si>
  <si>
    <t>https://www.mambo.com.br/cafe-espresso-ristretto-lor-52g-com-10-capsulas/p</t>
  </si>
  <si>
    <t>https://mambodelivery.vteximg.com.br/arquivos/ids/232843/8711000362747-CafeemCapsulaRistrettoEspressoL-orCaixa52g10Unidades-1.jpg?v=638842070871800000</t>
  </si>
  <si>
    <t>https://mambodelivery.vteximg.com.br/arquivos/ids/232844/image-to-upload-1.jpg?v=638842070872900000</t>
  </si>
  <si>
    <t>https://mambodelivery.vteximg.com.br/arquivos/ids/232845/8711000362747-CafeemCapsulaRistrettoEspressoL-orCaixa52g10Unidades-1.jpg?v=638842070873030000</t>
  </si>
  <si>
    <t>https://mambodelivery.vteximg.com.br/arquivos/ids/232846/8711000362747-CafeemCapsulaRistrettoEspressoL-orCaixa52g10Unidades-2.jpg?v=638842070873200000</t>
  </si>
  <si>
    <t>https://mambodelivery.vteximg.com.br/arquivos/ids/232847/8711000362747-CafeemCapsulaRistrettoEspressoL-orCaixa52g10Unidades-3.jpg?v=638842070873970000</t>
  </si>
  <si>
    <t>https://mambodelivery.vteximg.com.br/arquivos/ids/232848/8711000362747-CafeemCapsulaRistrettoEspressoL-orCaixa52g10Unidades-4.jpg?v=638842070873970000</t>
  </si>
  <si>
    <t>2618</t>
  </si>
  <si>
    <t>Cápsula de Café Espresso Roast by Starbucks Nespresso 57g com 10 Unidades Cápsula de Café Espresso Roast by Nespresso Starbucks 57g com 10 Unidades</t>
  </si>
  <si>
    <t>https://www.mambo.com.br/capsula-de-cafe-espresso-roast-by-starbucks-nespresso-57g-com-10-unidades/p</t>
  </si>
  <si>
    <t>https://mambodelivery.vteximg.com.br/arquivos/ids/231225/7613036961028-CafeemCapsulaStarbucks%C3%82%C2%AEEspressoRoastbyNespresso%C3%82%C2%AE-10capsulas-1.jpg?v=638804039796700000</t>
  </si>
  <si>
    <t>https://mambodelivery.vteximg.com.br/arquivos/ids/231226/7613036961028-CafeemCapsulaStarbucks%C3%82%C2%AEEspressoRoastbyNespresso%C3%82%C2%AE-10capsulas-1.jpg?v=638804041063200000</t>
  </si>
  <si>
    <t>https://mambodelivery.vteximg.com.br/arquivos/ids/231227/7613036961028-CafeemCapsulaStarbucks%C3%82%C2%AEEspressoRoastbyNespresso%C3%82%C2%AE-10capsulas-3.jpg?v=638804041063200000</t>
  </si>
  <si>
    <t>https://mambodelivery.vteximg.com.br/arquivos/ids/231228/7613036961028-CafeemCapsulaStarbucks%C3%82%C2%AEEspressoRoastbyNespresso%C3%82%C2%AE-10capsulas-4.jpg?v=638804041063330000</t>
  </si>
  <si>
    <t>https://mambodelivery.vteximg.com.br/arquivos/ids/231229/7613036961028-CafeemCapsulaStarbucks%C3%82%C2%AEEspressoRoastbyNespresso%C3%82%C2%AE-10capsulas-5.jpg?v=638804041063330000</t>
  </si>
  <si>
    <t>https://mambodelivery.vteximg.com.br/arquivos/ids/231230/7613036961028-CafeemCapsulaStarbucks%C3%82%C2%AEEspressoRoastbyNespresso%C3%82%C2%AE-10capsulas-6.jpg?v=638804041063330000</t>
  </si>
  <si>
    <t>https://mambodelivery.vteximg.com.br/arquivos/ids/231231/7613036961028-CafeemCapsulaStarbucks%C3%82%C2%AEEspressoRoastbyNespresso%C3%82%C2%AE-10capsulas-7.jpg?v=638804041063330000</t>
  </si>
  <si>
    <t>https://mambodelivery.vteximg.com.br/arquivos/ids/231232/7613036961028-CafeemCapsulaStarbucks%C3%82%C2%AEEspressoRoastbyNespresso%C3%82%C2%AE-10capsulas-8.jpg?v=638804041063330000</t>
  </si>
  <si>
    <t>https://mambodelivery.vteximg.com.br/arquivos/ids/231233/7613036961028-CafeemCapsulaStarbucks%C3%82%C2%AEEspressoRoastbyNespresso%C3%82%C2%AE-10capsulas-9.jpg?v=638804041063330000</t>
  </si>
  <si>
    <t>2619</t>
  </si>
  <si>
    <t>Cápsula de Café Espresso Select Orgânico Native 50g com 10 Unidades</t>
  </si>
  <si>
    <t>7898206502915</t>
  </si>
  <si>
    <t>29.98</t>
  </si>
  <si>
    <t>https://www.mambo.com.br/capsula-de-cafe-espresso-select-organico-native-50g-com-10-unidades/p</t>
  </si>
  <si>
    <t>https://mambodelivery.vteximg.com.br/arquivos/ids/160117/cafe-espresso-select-organico-native-50g-com-10-capsulas.jpg?v=637883139723100000</t>
  </si>
  <si>
    <t>2620</t>
  </si>
  <si>
    <t>Cápsula de Café Espresso Sontuoso L'or 52g com 10 Unidades</t>
  </si>
  <si>
    <t>https://www.mambo.com.br/cafe-espresso-sontuoso-lor-52g-com-10-capsulas-de-aluminio/p</t>
  </si>
  <si>
    <t>https://mambodelivery.vteximg.com.br/arquivos/ids/235287/8711000362556_01.jpg?v=638895772185430000</t>
  </si>
  <si>
    <t>https://mambodelivery.vteximg.com.br/arquivos/ids/235288/8711000362556_02.jpg?v=638895772185600000</t>
  </si>
  <si>
    <t>https://mambodelivery.vteximg.com.br/arquivos/ids/235289/8711000362556_03.jpg?v=638895772185600000</t>
  </si>
  <si>
    <t>https://mambodelivery.vteximg.com.br/arquivos/ids/235290/8711000362556_04.jpg?v=638895772185770000</t>
  </si>
  <si>
    <t>https://mambodelivery.vteximg.com.br/arquivos/ids/235291/8711000362556_05.jpg?v=638895772185770000</t>
  </si>
  <si>
    <t>2622</t>
  </si>
  <si>
    <t>Café em Grãos Espresso Superior Ituano 1kg</t>
  </si>
  <si>
    <t>7896038000029</t>
  </si>
  <si>
    <t>115.98</t>
  </si>
  <si>
    <t>https://www.mambo.com.br/cafe-em-graos-espresso-superior-ituano-1kg/p</t>
  </si>
  <si>
    <t>https://mambodelivery.vteximg.com.br/arquivos/ids/233849/163827.jpg?v=638857542960930000</t>
  </si>
  <si>
    <t>2623</t>
  </si>
  <si>
    <t>Cápsula de Café Espresso Supremo Tres 3 Corações 80g com 10 Unidades</t>
  </si>
  <si>
    <t>https://www.mambo.com.br/capsula-de-cafe-espresso-supremo-tres-3-coracoes-80g-com-10-unidades/p</t>
  </si>
  <si>
    <t>https://mambodelivery.vteximg.com.br/arquivos/ids/227657/190693-Cafe-Espresso-Supremo-Tres-3-Coracoes-com-10-Capsulas-de-7g.jpg?v=638762701962230000</t>
  </si>
  <si>
    <t>https://mambodelivery.vteximg.com.br/arquivos/ids/227658/190693-Cafe-Espresso-Supremo-Tres-3-Coracoes-com-10-Capsulas-de-7g.jpg?v=638762701962400000</t>
  </si>
  <si>
    <t>https://mambodelivery.vteximg.com.br/arquivos/ids/227659/190693-Cafe-Espresso-Supremo-Tres-3-Coracoes-com-10-Capsulas-de-7g.jpg?v=638762701962400000</t>
  </si>
  <si>
    <t>https://mambodelivery.vteximg.com.br/arquivos/ids/227660/190693-Cafe-Espresso-Supremo-Tres-3-Coracoes-com-10-Capsulas-de-7g.jpg?v=638762701962400000</t>
  </si>
  <si>
    <t>2625</t>
  </si>
  <si>
    <t>Cápsula de Café Espresso Vibrante Tres 3 Corações 80g com 10 Unidades</t>
  </si>
  <si>
    <t>https://www.mambo.com.br/capsula-de-cafe-espresso-vibrante-tres-3-coracoes-80g-com-10-unidades/p</t>
  </si>
  <si>
    <t>https://mambodelivery.vteximg.com.br/arquivos/ids/214384/190546-Cafe-Espresso-Vibrante-Tres-3-Coracoes-10-Capsulas-de-8g-cada.jpg?v=638549268675430000</t>
  </si>
  <si>
    <t>https://mambodelivery.vteximg.com.br/arquivos/ids/214385/190546-Cafe-Espresso-Vibrante-Tres-3-Coracoes-10-Capsulas-de-8g-cada--2-.jpg?v=638755871495600000</t>
  </si>
  <si>
    <t>https://mambodelivery.vteximg.com.br/arquivos/ids/214386/190546-Cafe-Espresso-Vibrante-Tres-3-Coracoes-10-Capsulas-de-8g-cada--3-.jpg?v=638755871495730000</t>
  </si>
  <si>
    <t>https://mambodelivery.vteximg.com.br/arquivos/ids/214387/190546-Cafe-Espresso-Vibrante-Tres-3-Coracoes-10-Capsulas-de-8g-cada--4-.jpg?v=638755871495730000</t>
  </si>
  <si>
    <t>2631</t>
  </si>
  <si>
    <t>Cápsula de Café Expresso em Cápsula Guatemala L'or 52g com 10 Unidades</t>
  </si>
  <si>
    <t>https://www.mambo.com.br/cafe-expresso-em-capsula-guatemala-lor-52g-10-unidades/p</t>
  </si>
  <si>
    <t>https://mambodelivery.vteximg.com.br/arquivos/ids/238615/cafe-expresso-em-capsula-guatemala-lor-52g-10-unidades_1.jpg?v=638948348400700000</t>
  </si>
  <si>
    <t>https://mambodelivery.vteximg.com.br/arquivos/ids/238616/cafe-expresso-em-capsula-guatemala-lor-52g-10-unidades.jpg?v=638948348401000000</t>
  </si>
  <si>
    <t>https://mambodelivery.vteximg.com.br/arquivos/ids/238617/cafe-expresso-em-capsula-guatemala-lor-52g-10-unidades_2.jpg?v=638948348401000000</t>
  </si>
  <si>
    <t>https://mambodelivery.vteximg.com.br/arquivos/ids/238618/cafe-expresso-em-capsula-guatemala-lor-52g-10-unidades_3.jpg?v=638948348401170000</t>
  </si>
  <si>
    <t>2633</t>
  </si>
  <si>
    <t>Cápsula de Café Expresso Índia L'or 52g com 10 Unidades</t>
  </si>
  <si>
    <t>https://www.mambo.com.br/cafe-expresso-em-capsula-india-lor-52g-10-unidades/p</t>
  </si>
  <si>
    <t>https://mambodelivery.vteximg.com.br/arquivos/ids/232780/8711000431108_1_1_1200_72_SRGB.jpg?v=638841306839900000</t>
  </si>
  <si>
    <t>https://mambodelivery.vteximg.com.br/arquivos/ids/232781/image-to-upload-1.jpg?v=638841307923700000</t>
  </si>
  <si>
    <t>https://mambodelivery.vteximg.com.br/arquivos/ids/232782/8711000431108_1_1_1200_72_SRGB.jpg?v=638841307923830000</t>
  </si>
  <si>
    <t>2638</t>
  </si>
  <si>
    <t>Café Torrado e Moído Extra Forte a Vácuo 3 Corações 250g</t>
  </si>
  <si>
    <t>25.98</t>
  </si>
  <si>
    <t>https://www.mambo.com.br/cafe-torrado-e-moido-extra-forte-a-vacuo-3-coracoes-250g/p</t>
  </si>
  <si>
    <t>https://mambodelivery.vteximg.com.br/arquivos/ids/227311/cafe-extra-forte-a-vacuo-3-coracoes-250g_1.jpg?v=638761938742300000</t>
  </si>
  <si>
    <t>https://mambodelivery.vteximg.com.br/arquivos/ids/227312/cafe-extra-forte-a-vacuo-3-coracoes-250g.jpg?v=638761938742600000</t>
  </si>
  <si>
    <t>https://mambodelivery.vteximg.com.br/arquivos/ids/227313/cafe-extra-forte-a-vacuo-3-coracoes-250g_2.jpg?v=638761938742600000</t>
  </si>
  <si>
    <t>https://mambodelivery.vteximg.com.br/arquivos/ids/227314/cafe-extra-forte-a-vacuo-3-coracoes-250g_3.jpg?v=638761938742600000</t>
  </si>
  <si>
    <t>https://mambodelivery.vteximg.com.br/arquivos/ids/227315/cafe-extra-forte-a-vacuo-3-coracoes-250g_4.jpg?v=638761938742770000</t>
  </si>
  <si>
    <t>https://mambodelivery.vteximg.com.br/arquivos/ids/227316/cafe-extra-forte-a-vacuo-3-coracoes-250g_5.jpg?v=638761938742770000</t>
  </si>
  <si>
    <t>https://mambodelivery.vteximg.com.br/arquivos/ids/227317/cafe-extra-forte-a-vacuo-3-coracoes-250g_6.jpg?v=638761938742770000</t>
  </si>
  <si>
    <t>2640</t>
  </si>
  <si>
    <t>Café Torrado e Moído Extra Forte a Vácuo Melitta 500g</t>
  </si>
  <si>
    <t>31.99</t>
  </si>
  <si>
    <t>https://www.mambo.com.br/cafe-torrado-e-moido-extra-forte-a-vacuo-melitta-500g/p</t>
  </si>
  <si>
    <t>https://mambodelivery.vteximg.com.br/arquivos/ids/227180/cafe-extra-forte-a-vacuo-melitta-500g_1.jpg?v=638760217760570000</t>
  </si>
  <si>
    <t>https://mambodelivery.vteximg.com.br/arquivos/ids/227181/cafe-extra-forte-a-vacuo-melitta-500g.jpg?v=638760217760870000</t>
  </si>
  <si>
    <t>2641</t>
  </si>
  <si>
    <t>Café Torrado e Moído Extra Forte a Vácuo Pilão 500g</t>
  </si>
  <si>
    <t>https://www.mambo.com.br/cafe-torrado-e-moido-extra-forte-a-vacuo-pilao-500g/p</t>
  </si>
  <si>
    <t>https://mambodelivery.vteximg.com.br/arquivos/ids/232930/7896089013405_01.jpg?v=638844682630100000</t>
  </si>
  <si>
    <t>https://mambodelivery.vteximg.com.br/arquivos/ids/232931/7896089013405_02.jpg?v=638844682630230000</t>
  </si>
  <si>
    <t>https://mambodelivery.vteximg.com.br/arquivos/ids/232932/7896089013405_03.jpg?v=638844682630400000</t>
  </si>
  <si>
    <t>2643</t>
  </si>
  <si>
    <t>https://www.mambo.com.br/cafe-torrado-e-moido-extraforte-3-coracoes-pacote-250g/p</t>
  </si>
  <si>
    <t>https://mambodelivery.vteximg.com.br/arquivos/ids/227148/cafe-extra-forte-almofada-3-coracoes-250g_1.jpg?v=638760129380070000</t>
  </si>
  <si>
    <t>https://mambodelivery.vteximg.com.br/arquivos/ids/227149/cafe-extra-forte-almofada-3-coracoes-250g.jpg?v=638760129380230000</t>
  </si>
  <si>
    <t>https://mambodelivery.vteximg.com.br/arquivos/ids/227150/cafe-extra-forte-almofada-3-coracoes-250g_2.jpg?v=638760129380400000</t>
  </si>
  <si>
    <t>https://mambodelivery.vteximg.com.br/arquivos/ids/227151/cafe-extra-forte-almofada-3-coracoes-250g_3.jpg?v=638760129380400000</t>
  </si>
  <si>
    <t>https://mambodelivery.vteximg.com.br/arquivos/ids/227152/cafe-extra-forte-almofada-3-coracoes-250g_4.jpg?v=638760129380400000</t>
  </si>
  <si>
    <t>https://mambodelivery.vteximg.com.br/arquivos/ids/227153/cafe-extra-forte-almofada-3-coracoes-250g_5.jpg?v=638760129380530000</t>
  </si>
  <si>
    <t>https://mambodelivery.vteximg.com.br/arquivos/ids/227154/cafe-extra-forte-almofada-3-coracoes-250g_6.jpg?v=638760129380530000</t>
  </si>
  <si>
    <t>2644</t>
  </si>
  <si>
    <t>Café Torrado e Moído Extra Forte 3 Corações 500g</t>
  </si>
  <si>
    <t>https://www.mambo.com.br/cafe-torrado-e-moido-extra-forte-3-coracoes-500g/p</t>
  </si>
  <si>
    <t>https://mambodelivery.vteximg.com.br/arquivos/ids/214409/7896005801529Cafe-Extra-Forte-Almofada-3-Coracoes-500g--3-.png?v=638549382047300000</t>
  </si>
  <si>
    <t>https://mambodelivery.vteximg.com.br/arquivos/ids/214410/7896005801529Cafe-Extra-Forte-Almofada-3-Coracoes-500g--2-.png?v=638549382297030000</t>
  </si>
  <si>
    <t>https://mambodelivery.vteximg.com.br/arquivos/ids/214411/7896005801529Cafe-Extra-Forte-Almofada-3-Coracoes-500g--4-.png?v=638549382412430000</t>
  </si>
  <si>
    <t>https://mambodelivery.vteximg.com.br/arquivos/ids/214412/7896005801529Cafe-Extra-Forte-Almofada-3-Coracoes-500g--6-.png?v=638549382527230000</t>
  </si>
  <si>
    <t>https://mambodelivery.vteximg.com.br/arquivos/ids/214413/7896005801529Cafe-Extra-Forte-Almofada-3-Coracoes-500g--5-.png?v=638549382617870000</t>
  </si>
  <si>
    <t>2647</t>
  </si>
  <si>
    <t>Café Torrado e Moído Extra Forte Floresta 500g</t>
  </si>
  <si>
    <t>Cafe Floresta</t>
  </si>
  <si>
    <t>7896393801224</t>
  </si>
  <si>
    <t>34.98</t>
  </si>
  <si>
    <t>https://www.mambo.com.br/cafe-extra-forte-almofada-floresta-500g/p</t>
  </si>
  <si>
    <t>https://mambodelivery.vteximg.com.br/arquivos/ids/160185/cafe-extra-forte-almofada-floresta-500g.jpg?v=637883140560470000</t>
  </si>
  <si>
    <t>2648</t>
  </si>
  <si>
    <t>Café Torrado e Moído Extra Forte Café Pelé 500g</t>
  </si>
  <si>
    <t>Café Pelé</t>
  </si>
  <si>
    <t>7892222310509</t>
  </si>
  <si>
    <t>https://www.mambo.com.br/cafe-torrado-e-moido-extra-forte-cafe-pele-500g/p</t>
  </si>
  <si>
    <t>https://mambodelivery.vteximg.com.br/arquivos/ids/160186/cafe-extra-forte-almofada-pele-500g.jpg?v=637883140574570000</t>
  </si>
  <si>
    <t>2649</t>
  </si>
  <si>
    <t>Café Torrado e Moído Extra Forte Pilão 500g</t>
  </si>
  <si>
    <t>https://www.mambo.com.br/cafe-torrado-e-moido-extra-forte-pilao-500g/p</t>
  </si>
  <si>
    <t>https://mambodelivery.vteximg.com.br/arquivos/ids/232836/7896089013399_1_1_1200_72_SRGB.jpg?v=638842067761170000</t>
  </si>
  <si>
    <t>https://mambodelivery.vteximg.com.br/arquivos/ids/232837/image-to-upload-1.jpg?v=638842067761630000</t>
  </si>
  <si>
    <t>https://mambodelivery.vteximg.com.br/arquivos/ids/232838/7896089013399_1_1_1200_72_SRGB.jpg?v=638842067761630000</t>
  </si>
  <si>
    <t>2650</t>
  </si>
  <si>
    <t>Café Torrado e Moído Extra Forte Aviação 500g</t>
  </si>
  <si>
    <t>7896331100853</t>
  </si>
  <si>
    <t>https://www.mambo.com.br/cafe-extra-forte-aviacao-500g/p</t>
  </si>
  <si>
    <t>https://mambodelivery.vteximg.com.br/arquivos/ids/160188/cafe-extra-forte-aviacao-500g.jpg?v=637883140600700000</t>
  </si>
  <si>
    <t>2654</t>
  </si>
  <si>
    <t>Cápsula de Café Filtrado Clássico Drip Coffee Orfeu 100g com 10 Unidades</t>
  </si>
  <si>
    <t>7898665831823</t>
  </si>
  <si>
    <t>40.49</t>
  </si>
  <si>
    <t>https://www.mambo.com.br/cafe-filtrado-classico-drip-coffee-orfeu-100g-10-capsulas/p</t>
  </si>
  <si>
    <t>https://mambodelivery.vteximg.com.br/arquivos/ids/237261/270761.jpg?v=638931080691830000</t>
  </si>
  <si>
    <t>2655</t>
  </si>
  <si>
    <t>Cápsula de Café Filtrado Tradicional Tres 3 Corações 80g com 10 Unidades</t>
  </si>
  <si>
    <t>https://www.mambo.com.br/capsula-de-cafe-filtrado-tradicional-tres-3-coracoes-80g-com-10-unidades/p</t>
  </si>
  <si>
    <t>https://mambodelivery.vteximg.com.br/arquivos/ids/211414/7896005805107-Capsula-de-Cafe-Filtrado-Tradicional-3-Coracoes-10-unid-01.jpg?v=638531989688430000</t>
  </si>
  <si>
    <t>https://mambodelivery.vteximg.com.br/arquivos/ids/211416/7896005805107-Capsula-de-Cafe-Filtrado-Tradicional-3-Coracoes-10-unid-02.jpg?v=638760997632470000</t>
  </si>
  <si>
    <t>https://mambodelivery.vteximg.com.br/arquivos/ids/211418/7896005805107-Capsula-de-Cafe-Filtrado-Tradicional-3-Coracoes-10-unid-04.jpg?v=638760997632470000</t>
  </si>
  <si>
    <t>https://mambodelivery.vteximg.com.br/arquivos/ids/211420/7896005805107-Capsula-de-Cafe-Filtrado-Tradicional-3-Coracoes-10-unid-05.jpg?v=638760997632470000</t>
  </si>
  <si>
    <t>2656</t>
  </si>
  <si>
    <t>Cápsula de Café Filtrado Gourmet Tres 3 Corações 75g com 10 Unidades</t>
  </si>
  <si>
    <t>75</t>
  </si>
  <si>
    <t>https://www.mambo.com.br/capsula-de-cafe-filtrado-gourmet-tres-3-coracoes-75g-com-10-unidades/p</t>
  </si>
  <si>
    <t>https://mambodelivery.vteximg.com.br/arquivos/ids/211410/7896005805114-Capsula-de-Cafe-Filtrado-Gourmet-3-Coracoes-10-unid-01.jpg?v=638531975053430000</t>
  </si>
  <si>
    <t>https://mambodelivery.vteximg.com.br/arquivos/ids/211411/7896005805114-Capsula-de-Cafe-Filtrado-Gourmet-3-Coracoes-10-unid-02.jpg?v=638760997337970000</t>
  </si>
  <si>
    <t>https://mambodelivery.vteximg.com.br/arquivos/ids/211412/7896005805114-Capsula-de-Cafe-Filtrado-Gourmet-3-Coracoes-10-unid-03.jpg?v=638760997337970000</t>
  </si>
  <si>
    <t>https://mambodelivery.vteximg.com.br/arquivos/ids/211413/7896005805114-Capsula-de-Cafe-Filtrado-Gourmet-3-Coracoes-10-unid-04.jpg?v=638760997337970000</t>
  </si>
  <si>
    <t>2657</t>
  </si>
  <si>
    <t>Cápsula de Café Filtrado Intenso Drip Coffee Orfeu 100g com 10 Unidades</t>
  </si>
  <si>
    <t>7898912704191</t>
  </si>
  <si>
    <t>https://www.mambo.com.br/cafe-filtrado-intenso-drip-coffee-orfeu-100g-10-capsulas/p</t>
  </si>
  <si>
    <t>https://mambodelivery.vteximg.com.br/arquivos/ids/160206/cafc3a9-filtrado-intenso-drip-coffee-orfeu-100g-10-cc3a1psulas.jpg?v=637883140839330000</t>
  </si>
  <si>
    <t>https://mambodelivery.vteximg.com.br/arquivos/ids/160207/cafc3a9-filtrado-intenso-drip-coffee-orfeu-100g-10-cc3a1psulas_1.jpg?v=637883140850930000</t>
  </si>
  <si>
    <t>https://mambodelivery.vteximg.com.br/arquivos/ids/160208/cafc3a9-filtrado-intenso-drip-coffee-orfeu-100g-10-cc3a1psulas_2.jpg?v=637883140861270000</t>
  </si>
  <si>
    <t>2659</t>
  </si>
  <si>
    <t>Café Torrado e Moído Gold Equilibrado Nescafé 250g</t>
  </si>
  <si>
    <t>38.98</t>
  </si>
  <si>
    <t>https://www.mambo.com.br/cafe-gold-equilibrado-nescafe-250g/p</t>
  </si>
  <si>
    <t>https://mambodelivery.vteximg.com.br/arquivos/ids/239894/7891000283783---Cafe-Torrado-e-Moido-NESCAFE-Gold-250g---1.jpg?v=638978762213700000</t>
  </si>
  <si>
    <t>https://mambodelivery.vteximg.com.br/arquivos/ids/239895/7891000283783---Cafe-Torrado-e-Moido-NESCAFE-Gold-250g---1.jpg?v=638978762214170000</t>
  </si>
  <si>
    <t>https://mambodelivery.vteximg.com.br/arquivos/ids/239896/7891000283783---Cafe-Torrado-e-Moido-NESCAFE-Gold-250g---2.jpg?v=638978762214330000</t>
  </si>
  <si>
    <t>https://mambodelivery.vteximg.com.br/arquivos/ids/239897/7891000283783---Cafe-Torrado-e-Moido-NESCAFE-Gold-250g---3.jpg?v=638978762214630000</t>
  </si>
  <si>
    <t>https://mambodelivery.vteximg.com.br/arquivos/ids/239898/7891000283783---Cafe-Torrado-e-Moido-NESCAFE-Gold-250g---4.jpg?v=638978762214800000</t>
  </si>
  <si>
    <t>https://mambodelivery.vteximg.com.br/arquivos/ids/239899/7891000283783---Cafe-Torrado-e-Moido-NESCAFE-Gold-250g---5.jpg?v=638978762214970000</t>
  </si>
  <si>
    <t>https://mambodelivery.vteximg.com.br/arquivos/ids/239900/7891000283783---Cafe-Torrado-e-Moido-NESCAFE-Gold-250g---6.jpg?v=638978762215270000</t>
  </si>
  <si>
    <t>2663</t>
  </si>
  <si>
    <t>Café Torrado e Moído Gourmet Cerrado Mineiro 3 Corações 250g</t>
  </si>
  <si>
    <t>25.99</t>
  </si>
  <si>
    <t>https://www.mambo.com.br/cafe-torrado-e-moido-gourmet-cerrado-mineiro-3-coracoes-250g/p</t>
  </si>
  <si>
    <t>https://mambodelivery.vteximg.com.br/arquivos/ids/214433/7896045101658Cafe-Gourmet-Cerrado-Mineiro-3-Coracoes-250g.png?v=638549407652700000</t>
  </si>
  <si>
    <t>https://mambodelivery.vteximg.com.br/arquivos/ids/214434/7896045101658Cafe-Gourmet-Cerrado-Mineiro-3-Coracoes-250g02.png?v=638549407812300000</t>
  </si>
  <si>
    <t>https://mambodelivery.vteximg.com.br/arquivos/ids/214435/7896045101658Cafe-Gourmet-Cerrado-Mineiro-3-Coracoes-250g03.png?v=638549408032270000</t>
  </si>
  <si>
    <t>https://mambodelivery.vteximg.com.br/arquivos/ids/214436/7896045101658Cafe-Gourmet-Cerrado-Mineiro-3-Coracoes-250g04.png?v=638549408145230000</t>
  </si>
  <si>
    <t>https://mambodelivery.vteximg.com.br/arquivos/ids/214437/7896045101658Cafe-Gourmet-Cerrado-Mineiro-3-Coracoes-250g05.png?v=638549408319200000</t>
  </si>
  <si>
    <t>2665</t>
  </si>
  <si>
    <t>Café em Grãos Gourmet Toledo 500g</t>
  </si>
  <si>
    <t>Café Toledo</t>
  </si>
  <si>
    <t>7898376450177</t>
  </si>
  <si>
    <t>65.99</t>
  </si>
  <si>
    <t>https://www.mambo.com.br/cafe-gourmet-em-grao-toledo-500g/p</t>
  </si>
  <si>
    <t>https://mambodelivery.vteximg.com.br/arquivos/ids/160241/cafe-gourmet-em-grao-toledo-500g.jpg?v=637883141239700000</t>
  </si>
  <si>
    <t>https://mambodelivery.vteximg.com.br/arquivos/ids/160242/cafe-gourmet-em-grao-toledo-500g_1.jpg?v=637883141249300000</t>
  </si>
  <si>
    <t>https://mambodelivery.vteximg.com.br/arquivos/ids/160243/cafe-gourmet-em-grao-toledo-500g_2.jpg?v=637883141265230000</t>
  </si>
  <si>
    <t>2666</t>
  </si>
  <si>
    <t>Café em Grãos Gourmet Santa Mônica 250g</t>
  </si>
  <si>
    <t>https://www.mambo.com.br/cafe-gourmet-graos-santa-monica-250g/p</t>
  </si>
  <si>
    <t>https://mambodelivery.vteximg.com.br/arquivos/ids/160244/cafe-gourmet-graos-santa-monica-250g.jpg?v=637883141279030000</t>
  </si>
  <si>
    <t>2667</t>
  </si>
  <si>
    <t>Café Torrado e Moído Gourmet Mogiana Paulista 3 Corações 250g</t>
  </si>
  <si>
    <t>https://www.mambo.com.br/cafe-torrado-e-moido-gourmet-mogiana-paulista-3-coracoes-250g/p</t>
  </si>
  <si>
    <t>https://mambodelivery.vteximg.com.br/arquivos/ids/214428/7896045101641Cafe-Gourmet-Mogiana-Paulista-3-Coracoes-250g01.png?v=638549405050800000</t>
  </si>
  <si>
    <t>https://mambodelivery.vteximg.com.br/arquivos/ids/214429/7896045101641Cafe-Gourmet-Mogiana-Paulista-3-Coracoes-250g02.png?v=638549405206430000</t>
  </si>
  <si>
    <t>https://mambodelivery.vteximg.com.br/arquivos/ids/214430/7896045101641Cafe-Gourmet-Mogiana-Paulista-3-Coracoes-250g03.png?v=638549405293170000</t>
  </si>
  <si>
    <t>https://mambodelivery.vteximg.com.br/arquivos/ids/214431/7896045101641Cafe-Gourmet-Mogiana-Paulista-3-Coracoes-250g04.png?v=638549405389270000</t>
  </si>
  <si>
    <t>https://mambodelivery.vteximg.com.br/arquivos/ids/214432/7896045101641Cafe-Gourmet-Mogiana-Paulista-3-Coracoes-250g05.png?v=638549405571630000</t>
  </si>
  <si>
    <t>2669</t>
  </si>
  <si>
    <t>Café Torrado e Moído Gourmet Regiões Brasileiras Cerrado Melitta 250g</t>
  </si>
  <si>
    <t>7891021005609</t>
  </si>
  <si>
    <t>https://www.mambo.com.br/cafe-gourmet-regioes-brasileiras-cerrado-melitta-250g/p</t>
  </si>
  <si>
    <t>https://mambodelivery.vteximg.com.br/arquivos/ids/227236/cafc3a9-gourmet-regic3b5es-brasileiras-cerrado-melitta-250g_1.jpg?v=638760991626230000</t>
  </si>
  <si>
    <t>https://mambodelivery.vteximg.com.br/arquivos/ids/227237/cafc3a9-gourmet-regic3b5es-brasileiras-cerrado-melitta-250g.jpg?v=638760991626330000</t>
  </si>
  <si>
    <t>https://mambodelivery.vteximg.com.br/arquivos/ids/227238/cafc3a9-gourmet-regic3b5es-brasileiras-cerrado-melitta-250g_2.jpg?v=638760991626500000</t>
  </si>
  <si>
    <t>https://mambodelivery.vteximg.com.br/arquivos/ids/227239/cafc3a9-gourmet-regic3b5es-brasileiras-cerrado-melitta-250g_3.jpg?v=638760991626500000</t>
  </si>
  <si>
    <t>https://mambodelivery.vteximg.com.br/arquivos/ids/227240/cafc3a9-gourmet-regic3b5es-brasileiras-cerrado-melitta-250g_4.jpg?v=638760991626500000</t>
  </si>
  <si>
    <t>2670</t>
  </si>
  <si>
    <t>Cápsula de Café Gourmet Santa Mônica 50g com 12 Unidades</t>
  </si>
  <si>
    <t>12</t>
  </si>
  <si>
    <t>31.98</t>
  </si>
  <si>
    <t>https://www.mambo.com.br/cafe-gourmet-santa-monica-50g-com-12-capsulas/p</t>
  </si>
  <si>
    <t>https://mambodelivery.vteximg.com.br/arquivos/ids/219574/227613-Cafe-Gourmet-Santa-Monica-50g-com-12-Capsulas.jpg?v=638593342253330000</t>
  </si>
  <si>
    <t>2671</t>
  </si>
  <si>
    <t>Café Torrado e Moído Gourmet Santa Mônica 250g</t>
  </si>
  <si>
    <t>43.98</t>
  </si>
  <si>
    <t>https://www.mambo.com.br/cafe-gourmet-torrado-e-moido-santa-monica-250g/p</t>
  </si>
  <si>
    <t>https://mambodelivery.vteximg.com.br/arquivos/ids/160260/cafe-gourmet-torrado-e-moido-santa-monica-250g.jpg?v=637883141485100000</t>
  </si>
  <si>
    <t>2673</t>
  </si>
  <si>
    <t>Café em Grãos Gourmet Torrado Santa Mônica 1Kg</t>
  </si>
  <si>
    <t>7898372620017</t>
  </si>
  <si>
    <t>https://www.mambo.com.br/cafe-em-graos-gourmet-torrado-santa-monica-1kg/p</t>
  </si>
  <si>
    <t>https://mambodelivery.vteximg.com.br/arquivos/ids/160262/cafe-graos-gourmet-torrado-santa-monica-1kg.jpg?v=637883141517200000</t>
  </si>
  <si>
    <t>2675</t>
  </si>
  <si>
    <t>Cápsula de Café House Blend by Starbucks Nespresso 57g com 10 Unidades</t>
  </si>
  <si>
    <t>https://www.mambo.com.br/capsula-de-cafe-house-blend-by-starbucks-nespresso-57g-com-10-unidades/p</t>
  </si>
  <si>
    <t>https://mambodelivery.vteximg.com.br/arquivos/ids/231216/7613036957069-CafeemCapsulaStarbucks%C3%82%C2%AEHouseBlendbyNespresso%C3%82%C2%AE-10capsulas-1.jpg?v=638804037119230000</t>
  </si>
  <si>
    <t>https://mambodelivery.vteximg.com.br/arquivos/ids/231217/7613036957069-CafeemCapsulaStarbucks%C3%82%C2%AEHouseBlendbyNespresso%C3%82%C2%AE-10capsulas-1.jpg?v=638804041340130000</t>
  </si>
  <si>
    <t>https://mambodelivery.vteximg.com.br/arquivos/ids/231218/7613036957069-CafeemCapsulaStarbucks%C3%82%C2%AEHouseBlendbyNespresso%C3%82%C2%AE-10capsulas-2.jpg?v=638804041340300000</t>
  </si>
  <si>
    <t>https://mambodelivery.vteximg.com.br/arquivos/ids/231219/7613036957069-CafeemCapsulaStarbucks%C3%82%C2%AEHouseBlendbyNespresso%C3%82%C2%AE-10capsulas-3.jpg?v=638804041340300000</t>
  </si>
  <si>
    <t>https://mambodelivery.vteximg.com.br/arquivos/ids/231220/7613036957069-CafeemCapsulaStarbucks%C3%82%C2%AEHouseBlendbyNespresso%C3%82%C2%AE-10capsulas-4.jpg?v=638804041340300000</t>
  </si>
  <si>
    <t>https://mambodelivery.vteximg.com.br/arquivos/ids/231221/7613036957069-CafeemCapsulaStarbucks%C3%82%C2%AEHouseBlendbyNespresso%C3%82%C2%AE-10capsulas-5.jpg?v=638804041340300000</t>
  </si>
  <si>
    <t>https://mambodelivery.vteximg.com.br/arquivos/ids/231222/7613036957069-CafeemCapsulaStarbucks%C3%82%C2%AEHouseBlendbyNespresso%C3%82%C2%AE-10capsulas-6.jpg?v=638804041340300000</t>
  </si>
  <si>
    <t>https://mambodelivery.vteximg.com.br/arquivos/ids/231223/7613036957069-CafeemCapsulaStarbucks%C3%82%C2%AEHouseBlendbyNespresso%C3%82%C2%AE-10capsulas-7.jpg?v=638804041340300000</t>
  </si>
  <si>
    <t>2677</t>
  </si>
  <si>
    <t>Café Torrado e Moído Intenso a Vácuo Pilão 500g</t>
  </si>
  <si>
    <t>7896089012880</t>
  </si>
  <si>
    <t>https://www.mambo.com.br/cafe-torrado-e-moido-intenso-a-vacuo-pilao-500g/p</t>
  </si>
  <si>
    <t>https://mambodelivery.vteximg.com.br/arquivos/ids/232938/7896089012880_01.jpg?v=638844695997900000</t>
  </si>
  <si>
    <t>https://mambodelivery.vteximg.com.br/arquivos/ids/232939/7896089012880_02.jpg?v=638844695998030000</t>
  </si>
  <si>
    <t>https://mambodelivery.vteximg.com.br/arquivos/ids/232940/7896089012880_03.jpg?v=638844695998030000</t>
  </si>
  <si>
    <t>2678</t>
  </si>
  <si>
    <t>Café Torrado e Moído Intenso Pilão 500g</t>
  </si>
  <si>
    <t>https://www.mambo.com.br/cafe-torrado-e-moido-intenso-pilao-500g/p</t>
  </si>
  <si>
    <t>https://mambodelivery.vteximg.com.br/arquivos/ids/232935/7896089012927_01.jpg?v=638844684695600000</t>
  </si>
  <si>
    <t>https://mambodelivery.vteximg.com.br/arquivos/ids/232936/7896089012927_02.jpg?v=638844684695770000</t>
  </si>
  <si>
    <t>https://mambodelivery.vteximg.com.br/arquivos/ids/232937/7896089012927_03.jpg?v=638844684695770000</t>
  </si>
  <si>
    <t>2679</t>
  </si>
  <si>
    <t>Cápsula de Café Intenso Orfeu 50g com 10 Unidades</t>
  </si>
  <si>
    <t>https://www.mambo.com.br/cafe-intenso-orfeu-50g-com-10-capsulas/p</t>
  </si>
  <si>
    <t>https://mambodelivery.vteximg.com.br/arquivos/ids/160280/cafe-intenso-orfeu-50g-com-10-capsulas.png?v=637883141736500000</t>
  </si>
  <si>
    <t>2680</t>
  </si>
  <si>
    <t>Cápsula de Café Intenso Santa Mônica 50g com 12 Unidades</t>
  </si>
  <si>
    <t>https://www.mambo.com.br/cafe-intenso-santa-monica-50g-com-12-capsulas/p</t>
  </si>
  <si>
    <t>https://mambodelivery.vteximg.com.br/arquivos/ids/190338/227614-CAFE-SANTA-MONICA-CAPSULAS-50G-INTENSO.jpg?v=638127499288500000</t>
  </si>
  <si>
    <t>2683</t>
  </si>
  <si>
    <t>https://www.mambo.com.br/cafe-em-capsula-torrado-e-moido-lungo-intenso-pilao-caixa-52g-10-unidades/p</t>
  </si>
  <si>
    <t>https://mambodelivery.vteximg.com.br/arquivos/ids/232903/7896089088380-01.jpg?v=638844665781730000</t>
  </si>
  <si>
    <t>https://mambodelivery.vteximg.com.br/arquivos/ids/232904/7896089088380_02.jpg?v=638844665781900000</t>
  </si>
  <si>
    <t>https://mambodelivery.vteximg.com.br/arquivos/ids/232905/7896089088380_03.jpg?v=638844665781900000</t>
  </si>
  <si>
    <t>https://mambodelivery.vteximg.com.br/arquivos/ids/232906/7896089088380_04.jpg?v=638844665781900000</t>
  </si>
  <si>
    <t>https://mambodelivery.vteximg.com.br/arquivos/ids/232907/7896089088380_05.jpg?v=638844665782030000</t>
  </si>
  <si>
    <t>2684</t>
  </si>
  <si>
    <t>Cápsula de Café Milão Italle 50g com 10 Unidades</t>
  </si>
  <si>
    <t>7898994826200</t>
  </si>
  <si>
    <t>13.99</t>
  </si>
  <si>
    <t>https://www.mambo.com.br/cafe-milao-italle-50g-10-capsulas/p</t>
  </si>
  <si>
    <t>https://mambodelivery.vteximg.com.br/arquivos/ids/220895/269437-Cafe-Milao-Italle-50g-10-Capsulas.jpg?v=638622659935030000</t>
  </si>
  <si>
    <t>2685</t>
  </si>
  <si>
    <t>Café Torrado e Moído Aromas Caramelo Baggio 250g</t>
  </si>
  <si>
    <t>46.49</t>
  </si>
  <si>
    <t>https://www.mambo.com.br/cafe-moido-aromatizado-caramelo-baggio-250g/p</t>
  </si>
  <si>
    <t>https://mambodelivery.vteximg.com.br/arquivos/ids/233830/267421.jpg?v=638854268668700000</t>
  </si>
  <si>
    <t>2686</t>
  </si>
  <si>
    <t>Café Torrado e Moído Orgânico a Vácuo Cia Orgânica 250g</t>
  </si>
  <si>
    <t>Cia Organica</t>
  </si>
  <si>
    <t>7898901043027</t>
  </si>
  <si>
    <t>https://www.mambo.com.br/cafe-torrado-e-moido-organico-a-vacuo-cia-organica-250g/p</t>
  </si>
  <si>
    <t>https://mambodelivery.vteximg.com.br/arquivos/ids/160287/cafe-organico-a-vacuo-cia-organica-250g.jpg?v=637883141851530000</t>
  </si>
  <si>
    <t>2687</t>
  </si>
  <si>
    <t>Cápsula de Café Orgânico Biodinâmico Cia Orgânica 50g com 10 Unidades</t>
  </si>
  <si>
    <t>7898901043195</t>
  </si>
  <si>
    <t>51.98</t>
  </si>
  <si>
    <t>https://www.mambo.com.br/cafe-organico-biodinamico-cia-organica-50g-com-10-capsulas/p</t>
  </si>
  <si>
    <t>https://mambodelivery.vteximg.com.br/arquivos/ids/160288/cafe-organico-bio-cia-organica-50g-com-10-capsulas.jpg?v=637883141869200000</t>
  </si>
  <si>
    <t>2689</t>
  </si>
  <si>
    <t>Cápsula de Café Orgânico Cia Orgânica 50g com 10 Unidades</t>
  </si>
  <si>
    <t>7898901043171</t>
  </si>
  <si>
    <t>47.49</t>
  </si>
  <si>
    <t>https://www.mambo.com.br/cafe-organico-cia-organica-50g-com-10-capsulas/p</t>
  </si>
  <si>
    <t>https://mambodelivery.vteximg.com.br/arquivos/ids/160290/cafe-organico-cia-organica-50g-com-10-capsulas.jpg?v=637883141895400000</t>
  </si>
  <si>
    <t>2690</t>
  </si>
  <si>
    <t>Café em Grãos Orgânico Cia Orgânica 250g</t>
  </si>
  <si>
    <t>7898901043010</t>
  </si>
  <si>
    <t>47.98</t>
  </si>
  <si>
    <t>https://www.mambo.com.br/cafe-organico-em-graos-cia-organica-250g-1/p</t>
  </si>
  <si>
    <t>https://mambodelivery.vteximg.com.br/arquivos/ids/227279/220920.png.png?v=638761885320030000</t>
  </si>
  <si>
    <t>2691</t>
  </si>
  <si>
    <t>Cápsula de Café Orgânico Orfeu 50g com 10 Unidades</t>
  </si>
  <si>
    <t>https://www.mambo.com.br/cafe-organico-orfeu-50g-com-10-capsulas/p</t>
  </si>
  <si>
    <t>https://mambodelivery.vteximg.com.br/arquivos/ids/160292/cafe-organico-orfeu-50g-com-10-capsulas.jpg?v=637883141924630000</t>
  </si>
  <si>
    <t>2692</t>
  </si>
  <si>
    <t>Cápsula de Café Orgânico Original Native 50g com 10 Unidades</t>
  </si>
  <si>
    <t>7898206502328</t>
  </si>
  <si>
    <t>https://www.mambo.com.br/capsula-de-cafe-organico-original-native-50g-com-10-unidades-/p</t>
  </si>
  <si>
    <t>https://mambodelivery.vteximg.com.br/arquivos/ids/160293/cafe-organico-original-native-50g-com-10-capsulas.jpg?v=637883141939200000</t>
  </si>
  <si>
    <t>2693</t>
  </si>
  <si>
    <t>Café em Grãos Orgânico Rituais 3 Corações 250g</t>
  </si>
  <si>
    <t>7896005807729</t>
  </si>
  <si>
    <t>33.99</t>
  </si>
  <si>
    <t>https://www.mambo.com.br/cafe-em-graos-organico-rituais-3-coracoes-250g/p</t>
  </si>
  <si>
    <t>https://mambodelivery.vteximg.com.br/arquivos/ids/235456/270358.jpg?v=638900802631000000</t>
  </si>
  <si>
    <t>2695</t>
  </si>
  <si>
    <t>Café Torrado e Moído Orgânico Santa Mônica 250g</t>
  </si>
  <si>
    <t>https://www.mambo.com.br/cafe-torrado-e-moido-organico-santa-monica-250g/p</t>
  </si>
  <si>
    <t>https://mambodelivery.vteximg.com.br/arquivos/ids/160297/cafe-organico-torrado-e-moido-santa-monica-250g.jpg?v=637883141999630000</t>
  </si>
  <si>
    <t>2696</t>
  </si>
  <si>
    <t>Café Torrado e Moído Pike Place Roast Starbucks &amp; Nescafé 250g</t>
  </si>
  <si>
    <t>762111364388</t>
  </si>
  <si>
    <t>https://www.mambo.com.br/cafe-pike-place-roast-starbucks-by-nescafe-250g/p</t>
  </si>
  <si>
    <t>https://mambodelivery.vteximg.com.br/arquivos/ids/226751/762111364388-CafeStarbucks%C3%82%C2%AEPikePlace%C3%82%C2%AERoastTorradoeMoido250g-1.jpg?v=638751838980870000</t>
  </si>
  <si>
    <t>https://mambodelivery.vteximg.com.br/arquivos/ids/226752/762111364388-CafeStarbucks%C3%82%C2%AEPikePlace%C3%82%C2%AERoastTorradoeMoido250g-1.jpg?v=638751838984130000</t>
  </si>
  <si>
    <t>https://mambodelivery.vteximg.com.br/arquivos/ids/226753/762111364388-CafeStarbucks%C3%82%C2%AEPikePlace%C3%82%C2%AERoastTorradoeMoido250g-2.jpg?v=638751838987000000</t>
  </si>
  <si>
    <t>2697</t>
  </si>
  <si>
    <t>Cápsula de Café Pike Place Roast Starbucks &amp; Nespresso com 10 Unidades</t>
  </si>
  <si>
    <t>https://www.mambo.com.br/cafe-pike-place-roast-starbucks-by-nespresso-com-10-capsulas/p</t>
  </si>
  <si>
    <t>https://mambodelivery.vteximg.com.br/arquivos/ids/223146/7613036961745-CafeemCapsulaStarbucks%C3%82%C2%AEPikePlacebyNespresso%C3%82%C2%AE-10capsulas-1.jpg?v=638658268316400000</t>
  </si>
  <si>
    <t>https://mambodelivery.vteximg.com.br/arquivos/ids/223147/image-to-upload-1.jpg?v=638658268320300000</t>
  </si>
  <si>
    <t>https://mambodelivery.vteximg.com.br/arquivos/ids/223148/7613036961745-CafeemCapsulaStarbucks%C3%82%C2%AEPikePlacebyNespresso%C3%82%C2%AE-10capsulas-3.jpg?v=638658268324030000</t>
  </si>
  <si>
    <t>https://mambodelivery.vteximg.com.br/arquivos/ids/223149/7613036961745-CafeemCapsulaStarbucks%C3%82%C2%AEPikePlacebyNespresso%C3%82%C2%AE-10capsulas-4.jpg?v=638658268326830000</t>
  </si>
  <si>
    <t>https://mambodelivery.vteximg.com.br/arquivos/ids/223150/7613036961745-CafeemCapsulaStarbucks%C3%82%C2%AEPikePlacebyNespresso%C3%82%C2%AE-10capsulas-5.jpg?v=638658268329670000</t>
  </si>
  <si>
    <t>https://mambodelivery.vteximg.com.br/arquivos/ids/223151/7613036961745-CafeemCapsulaStarbucks%C3%82%C2%AEPikePlacebyNespresso%C3%82%C2%AE-10capsulas-6.jpg?v=638658268332900000</t>
  </si>
  <si>
    <t>https://mambodelivery.vteximg.com.br/arquivos/ids/223152/7613036961745-CafeemCapsulaStarbucks%C3%82%C2%AEPikePlacebyNespresso%C3%82%C2%AE-10capsulas-7.jpg?v=638658268336170000</t>
  </si>
  <si>
    <t>https://mambodelivery.vteximg.com.br/arquivos/ids/223153/7613036961745-CafeemCapsulaStarbucks%C3%82%C2%AEPikePlacebyNespresso%C3%82%C2%AE-10capsulas-8.jpg?v=638658268338830000</t>
  </si>
  <si>
    <t>https://mambodelivery.vteximg.com.br/arquivos/ids/223154/7613036961745-CafeemCapsulaStarbucks%C3%82%C2%AEPikePlacebyNespresso%C3%82%C2%AE-10capsulas-9.jpg?v=638658268342630000</t>
  </si>
  <si>
    <t>2698</t>
  </si>
  <si>
    <t>Café Torrado e Moído Estrada Real Vácuo 500g</t>
  </si>
  <si>
    <t>7896045102402</t>
  </si>
  <si>
    <t>https://www.mambo.com.br/cafe-torrado-e-moido-estrada-real-vacuo-500g/p</t>
  </si>
  <si>
    <t>https://mambodelivery.vteximg.com.br/arquivos/ids/214444/7896045102402Cafe-Premium-a-Vacuo-3-Coracoes-500g.png?v=638549413335800000</t>
  </si>
  <si>
    <t>https://mambodelivery.vteximg.com.br/arquivos/ids/214445/7896045102402Cafe-Premium-a-Vacuo-3-Coracoes-500g02.png?v=638549413491700000</t>
  </si>
  <si>
    <t>https://mambodelivery.vteximg.com.br/arquivos/ids/214446/7896045102402Cafe-Premium-a-Vacuo-3-Coracoes-500g04.png?v=638549413607870000</t>
  </si>
  <si>
    <t>https://mambodelivery.vteximg.com.br/arquivos/ids/214447/7896045102402Cafe-Premium-a-Vacuo-3-Coracoes-500g05.png?v=638549413730230000</t>
  </si>
  <si>
    <t>https://mambodelivery.vteximg.com.br/arquivos/ids/214448/7896045102402Cafe-Premium-a-Vacuo-3-Coracoes-500g03.png?v=638549413816770000</t>
  </si>
  <si>
    <t>2699</t>
  </si>
  <si>
    <t>Cápsula de Café Qalidus Delta 55g com 10 Unidades</t>
  </si>
  <si>
    <t>5601082038513</t>
  </si>
  <si>
    <t>https://www.mambo.com.br/cafe-qalidus-delta-55g-com-10-capsulas/p</t>
  </si>
  <si>
    <t>https://mambodelivery.vteximg.com.br/arquivos/ids/160317/cafe-qalidus-delta-55g-com-10-capsulas.jpg?v=637883142221470000</t>
  </si>
  <si>
    <t>2700</t>
  </si>
  <si>
    <t>Cápsula de Café Qharacter 9 Delta 55g com 10 Unidades</t>
  </si>
  <si>
    <t>5601082038520</t>
  </si>
  <si>
    <t>https://www.mambo.com.br/cafe-qharacter-9-delta-55g-com-10-capsulas/p</t>
  </si>
  <si>
    <t>https://mambodelivery.vteximg.com.br/arquivos/ids/160318/cafe-qharacter-9-delta-55g-com-10-capsulas.jpg?v=637883142243970000</t>
  </si>
  <si>
    <t>2701</t>
  </si>
  <si>
    <t>Cápsula de Café Qharisma Delta Q 55g com 10 Unidades</t>
  </si>
  <si>
    <t>5601082041032</t>
  </si>
  <si>
    <t>https://www.mambo.com.br/cafe-qharisma-delta-q-55g-com-10-capsulas/p</t>
  </si>
  <si>
    <t>https://mambodelivery.vteximg.com.br/arquivos/ids/160319/cafe-qharisma-delta-q-55g-com-10-capsulas.jpg?v=637883142257900000</t>
  </si>
  <si>
    <t>2702</t>
  </si>
  <si>
    <t>Cápsula de Café Qonvictus 5 Delta 55g com 10 Unidades</t>
  </si>
  <si>
    <t>5601082038544</t>
  </si>
  <si>
    <t>https://www.mambo.com.br/cafe-qonvictus-5-delta-55g-com-10-capsulas/p</t>
  </si>
  <si>
    <t>https://mambodelivery.vteximg.com.br/arquivos/ids/160320/cafe-qonvictus-5-delta-55g-com-10-capsulas.jpg?v=637883142276970000</t>
  </si>
  <si>
    <t>2703</t>
  </si>
  <si>
    <t>Café Torrado e Moído Regiões Brasileiras Mogiana Melitta 250g</t>
  </si>
  <si>
    <t>7891021005562</t>
  </si>
  <si>
    <t>https://www.mambo.com.br/cafe-torrado-e-moido-regioes-brasileiras-mogiana-melitta-250g/p</t>
  </si>
  <si>
    <t>https://mambodelivery.vteximg.com.br/arquivos/ids/238603/256765.jpg?v=638948347617800000</t>
  </si>
  <si>
    <t>https://mambodelivery.vteximg.com.br/arquivos/ids/238604/cafe-regioes-brasileiras-mogiana-melitta-250g.jpg?v=638948347618100000</t>
  </si>
  <si>
    <t>2704</t>
  </si>
  <si>
    <t>Café Torrado e Moído Regiões Brasileiras Sul de Minas Melitta 250g</t>
  </si>
  <si>
    <t>7891021005586</t>
  </si>
  <si>
    <t>https://www.mambo.com.br/cafe-torrado-e-moido-regioes-brasileiras-sul-de-minas-melitta-250g/p</t>
  </si>
  <si>
    <t>https://mambodelivery.vteximg.com.br/arquivos/ids/238601/256763.jpg?v=638948347125470000</t>
  </si>
  <si>
    <t>https://mambodelivery.vteximg.com.br/arquivos/ids/238602/cafe-regioes-brasileiras-sul-de-minas-melitta-250g.jpg?v=638948347125600000</t>
  </si>
  <si>
    <t>2711</t>
  </si>
  <si>
    <t>Cápsula de Café Espresso Rituais Mogiana Paulista 3 Corações com 10 Unidades</t>
  </si>
  <si>
    <t>7896005808559</t>
  </si>
  <si>
    <t>https://www.mambo.com.br/capsula-de-cafe-espresso-rituais-mogiana-paulista-3-coracoes-10-unid/p</t>
  </si>
  <si>
    <t>https://mambodelivery.vteximg.com.br/arquivos/ids/234380/_.jpg?v=638868821375070000</t>
  </si>
  <si>
    <t>2712</t>
  </si>
  <si>
    <t>Cápsula de Café Espresso Rituais Orgânico 3 Corações com 10 Unidades</t>
  </si>
  <si>
    <t>7896005808542</t>
  </si>
  <si>
    <t>https://www.mambo.com.br/capsula-de-cafe-espresso-rituais-organico-3-coracoes-10-unid/p</t>
  </si>
  <si>
    <t>https://mambodelivery.vteximg.com.br/arquivos/ids/236367/246270.jpg?v=638922518915070000</t>
  </si>
  <si>
    <t>2713</t>
  </si>
  <si>
    <t>Café Torrado e Moído Orgânico Rituais 3 Corações 250g</t>
  </si>
  <si>
    <t>7896005806692</t>
  </si>
  <si>
    <t>https://www.mambo.com.br/cafe-torrado-e-moido-organico-rituais-3-coracoes-250g/p</t>
  </si>
  <si>
    <t>https://mambodelivery.vteximg.com.br/arquivos/ids/214419/7896005806692Cafe-Rituais-Organico-Torrado-e-Moido-3-Coracoes-250g.png?v=638549393581200000</t>
  </si>
  <si>
    <t>https://mambodelivery.vteximg.com.br/arquivos/ids/214420/7896005806692Cafe-Rituais-Organico-Torrado-e-Moido-3-Coracoes-250g2.png?v=638900803411070000</t>
  </si>
  <si>
    <t>https://mambodelivery.vteximg.com.br/arquivos/ids/214421/7896005806692Cafe-Rituais-Organico-Torrado-e-Moido-3-Coracoes-250g2--2-.png?v=638900803411400000</t>
  </si>
  <si>
    <t>https://mambodelivery.vteximg.com.br/arquivos/ids/214422/7896005806692Cafe-Rituais-Organico-Torrado-e-Moido-3-Coracoes-250g2--4-.png?v=638900803411530000</t>
  </si>
  <si>
    <t>https://mambodelivery.vteximg.com.br/arquivos/ids/214423/7896005806692Cafe-Rituais-Organico-Torrado-e-Moido-3-Coracoes-250g2--3-.png?v=638900803411530000</t>
  </si>
  <si>
    <t>2716</t>
  </si>
  <si>
    <t>Cápsula de Café Roma Italle 50g com 10 Unidades</t>
  </si>
  <si>
    <t>7898994748700</t>
  </si>
  <si>
    <t>https://www.mambo.com.br/cafe-roma-italle-50g-10-capsulas/p</t>
  </si>
  <si>
    <t>https://mambodelivery.vteximg.com.br/arquivos/ids/220897/269439-Cafe-Roma-Italle-50g-10-Capsulas.jpg?v=638622660769300000</t>
  </si>
  <si>
    <t>2717</t>
  </si>
  <si>
    <t>Café Torrado e Moído Sabor da Fazenda Melitta 500g</t>
  </si>
  <si>
    <t>7891021005555</t>
  </si>
  <si>
    <t>45.97</t>
  </si>
  <si>
    <t>https://www.mambo.com.br/cafe-torrado-e-moido-sabor-da-fazenda-melitta-500g/p</t>
  </si>
  <si>
    <t>https://mambodelivery.vteximg.com.br/arquivos/ids/190176/160198.png?v=638120018815700000</t>
  </si>
  <si>
    <t>2718</t>
  </si>
  <si>
    <t>Café Torrado e Moído Sabor da Fazenda A Vácuo Melitta 500g</t>
  </si>
  <si>
    <t>https://www.mambo.com.br/cafe-torrado-e-moido-sabor-da-fazenda-a-vacuo-melitta-500g/p</t>
  </si>
  <si>
    <t>https://mambodelivery.vteximg.com.br/arquivos/ids/160358/cafe-sabor-da-fazenda-tradicional-melitta-500g.jpg?v=637883142745200000</t>
  </si>
  <si>
    <t>https://mambodelivery.vteximg.com.br/arquivos/ids/160359/cafe-sabor-da-fazenda-tradicional-melitta-500g_1.jpg?v=638760238526330000</t>
  </si>
  <si>
    <t>https://mambodelivery.vteximg.com.br/arquivos/ids/160360/cafe-sabor-da-fazenda-tradicional-melitta-500g_2.jpg?v=638760238526330000</t>
  </si>
  <si>
    <t>2721</t>
  </si>
  <si>
    <t>Cápsula de Café Espresso Gourmet Chapada Diamantina Tres 3 Corações 80g com 10 Unidades</t>
  </si>
  <si>
    <t>7896005807828</t>
  </si>
  <si>
    <t>https://www.mambo.com.br/capsula-de-cafe-espresso-gourmet-chapada-diamantina-tres-3-coracoes-80g-com-10-unidades/p</t>
  </si>
  <si>
    <t>https://mambodelivery.vteximg.com.br/arquivos/ids/227661/246280-Cafe-Safra-Especial-Chapada-Diamantina-Tres-8g-com-10-Capsulas.jpg?v=638762702107400000</t>
  </si>
  <si>
    <t>https://mambodelivery.vteximg.com.br/arquivos/ids/227662/246280-Cafe-Safra-Especial-Chapada-Diamantina-Tres-8g-com-10-Capsulas.jpg?v=638762702107700000</t>
  </si>
  <si>
    <t>https://mambodelivery.vteximg.com.br/arquivos/ids/227663/246280-Cafe-Safra-Especial-Chapada-Diamantina-Tres-8g-com-10-Capsulas.jpg?v=638762702107700000</t>
  </si>
  <si>
    <t>https://mambodelivery.vteximg.com.br/arquivos/ids/227664/246280-Cafe-Safra-Especial-Chapada-Diamantina-Tres-8g-com-10-Capsulas.jpg?v=638762702107870000</t>
  </si>
  <si>
    <t>2724</t>
  </si>
  <si>
    <t>Café Torrado e Moído Serras do Alto Paranaíba Nescafé Origens 250g</t>
  </si>
  <si>
    <t>7891000283448</t>
  </si>
  <si>
    <t>https://www.mambo.com.br/cafe-torrado-e-moido-serras-do-alto-paranaiba-nescafe-origens-250g/p</t>
  </si>
  <si>
    <t>https://mambodelivery.vteximg.com.br/arquivos/ids/231004/7891000283448-CafeTorradoeMoidoNESCAFEOrigensSerrasdoAltoParanaiba250g-1.jpg?v=638803332212970000</t>
  </si>
  <si>
    <t>https://mambodelivery.vteximg.com.br/arquivos/ids/231005/image-to-upload-1.jpg?v=638803334028500000</t>
  </si>
  <si>
    <t>https://mambodelivery.vteximg.com.br/arquivos/ids/231006/7891000283448-CafeTorradoeMoidoNESCAFEOrigensSerrasdoAltoParanaiba250g-2.jpg?v=638803334028630000</t>
  </si>
  <si>
    <t>https://mambodelivery.vteximg.com.br/arquivos/ids/231007/7891000283448-CafeTorradoeMoidoNESCAFEOrigensSerrasdoAltoParanaiba250g-3.jpg?v=638803334028630000</t>
  </si>
  <si>
    <t>https://mambodelivery.vteximg.com.br/arquivos/ids/231008/7891000283448-CafeTorradoeMoidoNESCAFEOrigensSerrasdoAltoParanaiba250g-4.jpg?v=638803334028630000</t>
  </si>
  <si>
    <t>2731</t>
  </si>
  <si>
    <t>Café Solúvel Extra Forte Iguaçu Lata 200g</t>
  </si>
  <si>
    <t>Iguaçu</t>
  </si>
  <si>
    <t>7896019209519</t>
  </si>
  <si>
    <t>200</t>
  </si>
  <si>
    <t>32.99</t>
  </si>
  <si>
    <t>https://www.mambo.com.br/cafe-soluvel-extra-forte-iguacu-lata-200g/p</t>
  </si>
  <si>
    <t>https://mambodelivery.vteximg.com.br/arquivos/ids/238619/cafe-soluvel-extra-forte-iguacu-lata-200g_1.jpg?v=638948348692930000</t>
  </si>
  <si>
    <t>https://mambodelivery.vteximg.com.br/arquivos/ids/238620/cafe-soluvel-extra-forte-iguacu-lata-200g.jpg?v=638948348693230000</t>
  </si>
  <si>
    <t>https://mambodelivery.vteximg.com.br/arquivos/ids/238621/cafe-soluvel-extra-forte-iguacu-lata-200g_2.jpg?v=638948348693230000</t>
  </si>
  <si>
    <t>https://mambodelivery.vteximg.com.br/arquivos/ids/238622/cafe-soluvel-extra-forte-iguacu-lata-200g_3.jpg?v=638948348693400000</t>
  </si>
  <si>
    <t>2732</t>
  </si>
  <si>
    <t>Café Solúvel Extra Forte Original Nescafé 100g</t>
  </si>
  <si>
    <t>Nestlé</t>
  </si>
  <si>
    <t>33.98</t>
  </si>
  <si>
    <t>https://www.mambo.com.br/cafe-soluvel-extra-forte-original-nescafe-100g/p</t>
  </si>
  <si>
    <t>https://mambodelivery.vteximg.com.br/arquivos/ids/226738/7891000300503-CafeSoluvelNESCAFEOriginal100g-1.jpg?v=638751838137800000</t>
  </si>
  <si>
    <t>https://mambodelivery.vteximg.com.br/arquivos/ids/226739/7891000300503-CafeSoluvelNESCAFEOriginal100g-1.jpg?v=638751838142500000</t>
  </si>
  <si>
    <t>2737</t>
  </si>
  <si>
    <t>Café Solúvel Liofilizado Gourmet Iguaçu Vidro 100g</t>
  </si>
  <si>
    <t>Cafe Iguacu</t>
  </si>
  <si>
    <t>7896019201452</t>
  </si>
  <si>
    <t>https://www.mambo.com.br/cafe-soluvel-liofilizado-gourmet-iguacu-vidro-100g/p</t>
  </si>
  <si>
    <t>https://mambodelivery.vteximg.com.br/arquivos/ids/238628/cafe-soluvel-gourmet-iguacu-100g_1.jpg?v=638948349098400000</t>
  </si>
  <si>
    <t>https://mambodelivery.vteximg.com.br/arquivos/ids/238629/cafe-soluvel-gourmet-iguacu-100g.jpg?v=638948349098530000</t>
  </si>
  <si>
    <t>https://mambodelivery.vteximg.com.br/arquivos/ids/238630/cafe-soluvel-gourmet-iguacu-100g_2.jpg?v=638948349098530000</t>
  </si>
  <si>
    <t>https://mambodelivery.vteximg.com.br/arquivos/ids/238631/cafe-soluvel-gourmet-iguacu-100g_3.jpg?v=638948349098700000</t>
  </si>
  <si>
    <t>https://mambodelivery.vteximg.com.br/arquivos/ids/238632/cafe-soluvel-gourmet-iguacu-100g_4.jpg?v=638948349098700000</t>
  </si>
  <si>
    <t>2741</t>
  </si>
  <si>
    <t>https://www.mambo.com.br/cafe-soluvel-liofilizado-3-coracoes-vidro-100g/p</t>
  </si>
  <si>
    <t>https://mambodelivery.vteximg.com.br/arquivos/ids/238605/cafe-soluvel-liofilizado-3-coracoes-100g_1.jpg?v=638948347800100000</t>
  </si>
  <si>
    <t>https://mambodelivery.vteximg.com.br/arquivos/ids/238606/cafe-soluvel-liofilizado-3-coracoes-100g.jpg?v=638948347800400000</t>
  </si>
  <si>
    <t>https://mambodelivery.vteximg.com.br/arquivos/ids/238607/cafe-soluvel-liofilizado-3-coracoes-100g_2.jpg?v=638948347800570000</t>
  </si>
  <si>
    <t>https://mambodelivery.vteximg.com.br/arquivos/ids/238608/cafe-soluvel-liofilizado-3-coracoes-100g_3.jpg?v=638948347800700000</t>
  </si>
  <si>
    <t>https://mambodelivery.vteximg.com.br/arquivos/ids/238609/cafe-soluvel-liofilizado-3-coracoes-100g_4.jpg?v=638948347800700000</t>
  </si>
  <si>
    <t>2744</t>
  </si>
  <si>
    <t>Café Solúvel Matinal Nescafé 100g</t>
  </si>
  <si>
    <t>https://www.mambo.com.br/cafe-soluvel-matinal-nescafe-100g/p</t>
  </si>
  <si>
    <t>https://mambodelivery.vteximg.com.br/arquivos/ids/226747/7891000315507-CafeSoluvelNESCAFEMatinal100g-1.jpg?v=638751838831830000</t>
  </si>
  <si>
    <t>https://mambodelivery.vteximg.com.br/arquivos/ids/226748/7891000315507-CafeSoluvelNESCAFEMatinal100g-1.jpg?v=638751838835270000</t>
  </si>
  <si>
    <t>2754</t>
  </si>
  <si>
    <t>Café Solúvel em pó Tradicional Iguaçu Lata 200g</t>
  </si>
  <si>
    <t>7896019201117</t>
  </si>
  <si>
    <t>https://www.mambo.com.br/cafe-soluvel-em-po-tradicional-iguacu-lata-200g/p</t>
  </si>
  <si>
    <t>https://mambodelivery.vteximg.com.br/arquivos/ids/238610/cafe-soluvel-tradicional-lata-iguacu-200g_1.jpg?v=638948347991300000</t>
  </si>
  <si>
    <t>https://mambodelivery.vteximg.com.br/arquivos/ids/238611/cafe-soluvel-tradicional-lata-iguacu-200g.jpg?v=638948347991630000</t>
  </si>
  <si>
    <t>https://mambodelivery.vteximg.com.br/arquivos/ids/238612/cafe-soluvel-tradicional-lata-iguacu-200g_2.jpg?v=638948347991630000</t>
  </si>
  <si>
    <t>https://mambodelivery.vteximg.com.br/arquivos/ids/238613/cafe-soluvel-tradicional-lata-iguacu-200g_3.jpg?v=638948347991630000</t>
  </si>
  <si>
    <t>https://mambodelivery.vteximg.com.br/arquivos/ids/238614/cafe-soluvel-tradicional-lata-iguacu-200g_4.jpg?v=638948347991800000</t>
  </si>
  <si>
    <t>2756</t>
  </si>
  <si>
    <t>Café Solúvel Tradição Nescafé 100g Café Solúvel Tradição Forte Nescafé 100g</t>
  </si>
  <si>
    <t>https://www.mambo.com.br/cafe-soluvel-tradicao-forte-nescafe-100g/p</t>
  </si>
  <si>
    <t>https://mambodelivery.vteximg.com.br/arquivos/ids/237276/7891000029329-CafeSoluvelNESCAFETradicao100g-1.jpg?v=638935336087230000</t>
  </si>
  <si>
    <t>https://mambodelivery.vteximg.com.br/arquivos/ids/237277/7891000029329-CafeSoluvelNESCAFETradicao100g-1.jpg?v=638935336093470000</t>
  </si>
  <si>
    <t>https://mambodelivery.vteximg.com.br/arquivos/ids/237278/7891000029329-CafeSoluvelNESCAFETradicao100g-1.jpg?v=638935336097070000</t>
  </si>
  <si>
    <t>https://mambodelivery.vteximg.com.br/arquivos/ids/237279/7891000029329-CafeSoluvelNESCAFETradicao100g-2.jpg?v=638935336099570000</t>
  </si>
  <si>
    <t>2757</t>
  </si>
  <si>
    <t>Café Torrado e Moído Suave Mister Prima Qualitá 500g</t>
  </si>
  <si>
    <t>Prima Qualita</t>
  </si>
  <si>
    <t>70.98</t>
  </si>
  <si>
    <t>https://www.mambo.com.br/cafe-suave-moido-mister-prima-qualita-500g/p</t>
  </si>
  <si>
    <t>https://mambodelivery.vteximg.com.br/arquivos/ids/232132/191223--1-.jpg.jpg?v=638827545422600000</t>
  </si>
  <si>
    <t>2760</t>
  </si>
  <si>
    <t>Cápsula de Café Tenor Bravo 50g com 10 Unidades</t>
  </si>
  <si>
    <t>https://www.mambo.com.br/cafe-tenor-bravo-50g-com-10-capsulas/p</t>
  </si>
  <si>
    <t>https://mambodelivery.vteximg.com.br/arquivos/ids/231785/226323-.jpg.jpg?v=638829153500770000</t>
  </si>
  <si>
    <t>2762</t>
  </si>
  <si>
    <t>Café em Grãos Tenor Torra Média Bravo 1kg</t>
  </si>
  <si>
    <t>7898204020046</t>
  </si>
  <si>
    <t>https://www.mambo.com.br/cafe-tenor-torrado-em-grao-bravo-1kg/p</t>
  </si>
  <si>
    <t>https://mambodelivery.vteximg.com.br/arquivos/ids/231796/140784.jpg.jpg?v=638822111808600000</t>
  </si>
  <si>
    <t>2764</t>
  </si>
  <si>
    <t>https://www.mambo.com.br/cafe-torrado-e-moido-a-vacuo-espresso-pilao-cafeteria-pacote-500g/p</t>
  </si>
  <si>
    <t>https://mambodelivery.vteximg.com.br/arquivos/ids/232949/7896089013870_03.jpg?v=638844757970600000</t>
  </si>
  <si>
    <t>https://mambodelivery.vteximg.com.br/arquivos/ids/232950/7896089013870_02.jpg?v=638844757971230000</t>
  </si>
  <si>
    <t>https://mambodelivery.vteximg.com.br/arquivos/ids/232951/7896089013870_01.jpg?v=638844757971400000</t>
  </si>
  <si>
    <t>2766</t>
  </si>
  <si>
    <t>Cápsula de Café Aromas Chocolate com Menta Baggio 50g com 10 Unidades</t>
  </si>
  <si>
    <t>https://www.mambo.com.br/capsula-de-cafe-aromas-chocolate-com-menta-baggio-50g-com-10-unidades/p</t>
  </si>
  <si>
    <t>https://mambodelivery.vteximg.com.br/arquivos/ids/160506/cafe-torrado-e-moido-chocolate-com-menta-baggio-10-capsulas-de-50g.jpg?v=637883144446030000</t>
  </si>
  <si>
    <t>2767</t>
  </si>
  <si>
    <t>Café Torrado e Moído Coado a Vácuo Cafeteria Pilão Pacote 500g</t>
  </si>
  <si>
    <t>https://www.mambo.com.br/cafe-torrado-e-moido-coado-a-vacuo-pilao-cafeteria-pacote-500/p</t>
  </si>
  <si>
    <t>https://mambodelivery.vteximg.com.br/arquivos/ids/232956/7896089013887-03.jpg?v=638844763300430000</t>
  </si>
  <si>
    <t>https://mambodelivery.vteximg.com.br/arquivos/ids/232957/7896089013887_02.jpg?v=638844763300600000</t>
  </si>
  <si>
    <t>https://mambodelivery.vteximg.com.br/arquivos/ids/232958/7896089013887_01.jpg?v=638844763300600000</t>
  </si>
  <si>
    <t>2768</t>
  </si>
  <si>
    <t>Cápsula de Café Descafeinado Orfeu 50g com 10 Unidades</t>
  </si>
  <si>
    <t>https://www.mambo.com.br/cafe-torrado-e-moido-descafeinado-orfeu-10-capsulas-50g/p</t>
  </si>
  <si>
    <t>https://mambodelivery.vteximg.com.br/arquivos/ids/160508/cafe-torrado-e-moido-descafeinado-orfeu-10-capsulas-50g.jpg?v=637883144477300000</t>
  </si>
  <si>
    <t>2773</t>
  </si>
  <si>
    <t>Café Torrado e Moído Tostato Classico per Moka Illy Lata 125g</t>
  </si>
  <si>
    <t>8003753900704</t>
  </si>
  <si>
    <t>125</t>
  </si>
  <si>
    <t>https://www.mambo.com.br/cafe-torrado-e-moido-tostato-classico-per-moka-illy-lata-125g/p</t>
  </si>
  <si>
    <t>https://mambodelivery.vteximg.com.br/arquivos/ids/232151/230376.jpg.jpg?v=638828222363400000</t>
  </si>
  <si>
    <t>2774</t>
  </si>
  <si>
    <t>Café Torrado e Moído Clássico Especial Orfeu 250g</t>
  </si>
  <si>
    <t>https://www.mambo.com.br/cafe-torrado-e-moido-classico-especial-orfeu-250g/p</t>
  </si>
  <si>
    <t>https://mambodelivery.vteximg.com.br/arquivos/ids/228477/181406.png.png?v=638772934362370000</t>
  </si>
  <si>
    <t>2775</t>
  </si>
  <si>
    <t>Café Torrado e Moído Exportação Café Do Ponto 500g</t>
  </si>
  <si>
    <t>55.98</t>
  </si>
  <si>
    <t>https://www.mambo.com.br/cafe-torrado-e-moido-exportacao-do-ponto-500g/p</t>
  </si>
  <si>
    <t>https://mambodelivery.vteximg.com.br/arquivos/ids/189821/140825.png?v=638097574928500000</t>
  </si>
  <si>
    <t>2776</t>
  </si>
  <si>
    <t>Café Torrado e Moído Extraforte Melitta Pacote 500g</t>
  </si>
  <si>
    <t>7891021005067</t>
  </si>
  <si>
    <t>https://www.mambo.com.br/cafe-torrado-e-moido-extraforte-melitta-pacote-500g/p</t>
  </si>
  <si>
    <t>https://mambodelivery.vteximg.com.br/arquivos/ids/227637/cafe-torrado-e-moido-extraforte-melitta-pacote-500g_1.jpg?v=638762701034730000</t>
  </si>
  <si>
    <t>https://mambodelivery.vteximg.com.br/arquivos/ids/227638/cafe-torrado-e-moido-extraforte-melitta-pacote-500g.jpg?v=638762701034900000</t>
  </si>
  <si>
    <t>https://mambodelivery.vteximg.com.br/arquivos/ids/227639/cafe-torrado-e-moido-extraforte-melitta-pacote-500g_2.jpg?v=638762701034900000</t>
  </si>
  <si>
    <t>https://mambodelivery.vteximg.com.br/arquivos/ids/227640/cafe-torrado-e-moido-extraforte-melitta-pacote-500g_3.jpg?v=638762701034900000</t>
  </si>
  <si>
    <t>2777</t>
  </si>
  <si>
    <t>Café Torrado e Moído Intenso Illy 250g</t>
  </si>
  <si>
    <t>8003753950921</t>
  </si>
  <si>
    <t>50.49</t>
  </si>
  <si>
    <t>https://www.mambo.com.br/cafe-torrado-e-moido-filtro-illy-lata-250g/p</t>
  </si>
  <si>
    <t>https://mambodelivery.vteximg.com.br/arquivos/ids/234212/230381.jpg?v=638863841527830000</t>
  </si>
  <si>
    <t>2779</t>
  </si>
  <si>
    <t>Cápsula de Café Gourmet Clássico Baggio 50g com 10 Unidades</t>
  </si>
  <si>
    <t>7898952174404</t>
  </si>
  <si>
    <t>https://www.mambo.com.br/capsula-de-cafe-gourmet-classico-baggio-50g-com-10-unidades/p</t>
  </si>
  <si>
    <t>https://mambodelivery.vteximg.com.br/arquivos/ids/160539/cafe-torrado-e-moido-gourmet-classico-baggio-10-capsulas-50g.jpg?v=637883144855030000</t>
  </si>
  <si>
    <t>https://mambodelivery.vteximg.com.br/arquivos/ids/160540/cafe-torrado-e-moido-gourmet-classico-baggio-10-capsulas-50g_1.jpg?v=638760138187230000</t>
  </si>
  <si>
    <t>https://mambodelivery.vteximg.com.br/arquivos/ids/160541/cafe-torrado-e-moido-gourmet-classico-baggio-10-capsulas-50g_2.jpg?v=638760138187230000</t>
  </si>
  <si>
    <t>2780</t>
  </si>
  <si>
    <t>Café Torrado e Moído Gourmet Espresso Baggio 250g</t>
  </si>
  <si>
    <t>https://www.mambo.com.br/cafe-torrado-e-moido-gourmet-espresso-baggio-250g/p</t>
  </si>
  <si>
    <t>https://mambodelivery.vteximg.com.br/arquivos/ids/233831/180611.jpg?v=638854269047600000</t>
  </si>
  <si>
    <t>2781</t>
  </si>
  <si>
    <t>Cápsula de Café Gourmet Intenso Baggio 50g com 10 Unidades</t>
  </si>
  <si>
    <t>7898952174411</t>
  </si>
  <si>
    <t>https://www.mambo.com.br/capsula-de-cafe-gourmet-intenso-baggio-50g-com-10-unidades/p</t>
  </si>
  <si>
    <t>https://mambodelivery.vteximg.com.br/arquivos/ids/208866/206144-Cafe-Torrado-e-Moido-Gourmet-Intenso-Baggio-10-Capsulas-50g.jpg?v=638509359842470000</t>
  </si>
  <si>
    <t>2783</t>
  </si>
  <si>
    <t>Café Torrado e Moído Intensidade Máxima Nescafé 250g</t>
  </si>
  <si>
    <t>7891000518540</t>
  </si>
  <si>
    <t>https://www.mambo.com.br/cafe-torrado-e-moido-intensidade-maxima-nescafe-250g/p</t>
  </si>
  <si>
    <t>https://mambodelivery.vteximg.com.br/arquivos/ids/239887/7891000518540---Cafe-Torrado-e-Moido-NESCAFE-Intensidade-Maxima-250g---1.jpg?v=638978762079270000</t>
  </si>
  <si>
    <t>https://mambodelivery.vteximg.com.br/arquivos/ids/239888/7891000518540---Cafe-Torrado-e-Moido-NESCAFE-Intensidade-Maxima-250g---1.jpg?v=638978762079600000</t>
  </si>
  <si>
    <t>https://mambodelivery.vteximg.com.br/arquivos/ids/239889/7891000518540---Cafe-Torrado-e-Moido-NESCAFE-Intensidade-Maxima-250g---2.jpg?v=638978762079600000</t>
  </si>
  <si>
    <t>https://mambodelivery.vteximg.com.br/arquivos/ids/239890/7891000518540---Cafe-Torrado-e-Moido-NESCAFE-Intensidade-Maxima-250g---3.jpg?v=638978762079600000</t>
  </si>
  <si>
    <t>https://mambodelivery.vteximg.com.br/arquivos/ids/239891/7891000518540---Cafe-Torrado-e-Moido-NESCAFE-Intensidade-Maxima-250g---4.jpg?v=638978762079730000</t>
  </si>
  <si>
    <t>https://mambodelivery.vteximg.com.br/arquivos/ids/239892/7891000518540---Cafe-Torrado-e-Moido-NESCAFE-Intensidade-Maxima-250g---5.jpg?v=638978762079730000</t>
  </si>
  <si>
    <t>https://mambodelivery.vteximg.com.br/arquivos/ids/239893/7891000518540---Cafe-Torrado-e-Moido-NESCAFE-Intensidade-Maxima-250g---6.jpg?v=638978762079730000</t>
  </si>
  <si>
    <t>2784</t>
  </si>
  <si>
    <t>Café Torrado e Moído Intenso Santa Mônica 250g</t>
  </si>
  <si>
    <t>7898372620628</t>
  </si>
  <si>
    <t>https://www.mambo.com.br/cafe-torrado-e-moido-intenso-santa-monica-250g/p</t>
  </si>
  <si>
    <t>https://mambodelivery.vteximg.com.br/arquivos/ids/160548/cafe-torrado-e-moido-intenso-santa-monica-250g.jpg?v=637883144965800000</t>
  </si>
  <si>
    <t>2785</t>
  </si>
  <si>
    <t>Café Torrado e Moído Single-Origin Colombia Starbucks 250g</t>
  </si>
  <si>
    <t>52.98</t>
  </si>
  <si>
    <t>https://www.mambo.com.br/cafe-torrado-e-moido-single-origin-colombia-starbucks-250g/p</t>
  </si>
  <si>
    <t>https://mambodelivery.vteximg.com.br/arquivos/ids/206389/762111364357_01.jpg?v=638446411404400000</t>
  </si>
  <si>
    <t>2788</t>
  </si>
  <si>
    <t>Café Torrado e Moído Orgânico Especial Orfeu 250g</t>
  </si>
  <si>
    <t>https://www.mambo.com.br/cafe-torrado-e-moido-organico-especial-orfeu-250g/p</t>
  </si>
  <si>
    <t>https://mambodelivery.vteximg.com.br/arquivos/ids/160552/cafc3a9-torrado-e-moc3addo-orgc3a2nico-orfeu-250g.jpg?v=637883145032830000</t>
  </si>
  <si>
    <t>https://mambodelivery.vteximg.com.br/arquivos/ids/160553/cafc3a9-torrado-e-moc3addo-orgc3a2nico-orfeu-250g_1.jpg?v=638829909883300000</t>
  </si>
  <si>
    <t>https://mambodelivery.vteximg.com.br/arquivos/ids/160554/cafc3a9-torrado-e-moc3addo-orgc3a2nico-orfeu-250g_2.jpg?v=638829909883600000</t>
  </si>
  <si>
    <t>2789</t>
  </si>
  <si>
    <t>Cápsula de Café Caramelo Baggio 50g com 10 Unidades</t>
  </si>
  <si>
    <t>https://www.mambo.com.br/capsula-de-cafe-caramelo-baggio-50g-com-10-unidades/p</t>
  </si>
  <si>
    <t>https://mambodelivery.vteximg.com.br/arquivos/ids/160555/cafe-torrado-e-moido-sabor-caramelo-baggio-10-capsulas-50g.jpg?v=637883145067700000</t>
  </si>
  <si>
    <t>https://mambodelivery.vteximg.com.br/arquivos/ids/160556/cafe-torrado-e-moido-sabor-caramelo-baggio-10-capsulas-50g_1.jpg?v=638760135860130000</t>
  </si>
  <si>
    <t>https://mambodelivery.vteximg.com.br/arquivos/ids/160557/cafe-torrado-e-moido-sabor-caramelo-baggio-10-capsulas-50g_2.jpg?v=638760135860300000</t>
  </si>
  <si>
    <t>2790</t>
  </si>
  <si>
    <t>Café Torrado e Moído Aromas de Chocolate Trufado Baggio 250g</t>
  </si>
  <si>
    <t>https://www.mambo.com.br/cafe-torrado-e-moido-aromas-de-chocolate-trufado-baggio-250g/p</t>
  </si>
  <si>
    <t>https://mambodelivery.vteximg.com.br/arquivos/ids/233832/180617.jpg?v=638854269678330000</t>
  </si>
  <si>
    <t>2791</t>
  </si>
  <si>
    <t>Cápsula de Café Aromas Chocolate Trufado Baggio 50g com 10 Unidades</t>
  </si>
  <si>
    <t>https://www.mambo.com.br/capsula-de-cafe-aromas-chocolate-trufado-baggio-50g-com-10-unidades/p</t>
  </si>
  <si>
    <t>https://mambodelivery.vteximg.com.br/arquivos/ids/160559/cafe-torrado-e-moido-sabor-chocolate-trufado-baggio-10-capsulas-50g.jpg?v=637883145121170000</t>
  </si>
  <si>
    <t>https://mambodelivery.vteximg.com.br/arquivos/ids/160560/cafe-torrado-e-moido-sabor-chocolate-trufado-baggio-10-capsulas-50g_1.jpg?v=638760139739600000</t>
  </si>
  <si>
    <t>https://mambodelivery.vteximg.com.br/arquivos/ids/160561/cafe-torrado-e-moido-sabor-chocolate-trufado-baggio-10-capsulas-50g_2.jpg?v=638760139739600000</t>
  </si>
  <si>
    <t>2792</t>
  </si>
  <si>
    <t>Café Torrado e Moído Santa Mônica Premium 500g</t>
  </si>
  <si>
    <t>https://www.mambo.com.br/cafe-torrado-e-moido-santa-monica-premium-500g/p</t>
  </si>
  <si>
    <t>https://mambodelivery.vteximg.com.br/arquivos/ids/160562/cafe-torrado-e-moido-santa-monica-premium-500g.jpg?v=637883145155100000</t>
  </si>
  <si>
    <t>2794</t>
  </si>
  <si>
    <t>Café Torrado e Moído Gourmet Sul de Minas 3 Corações 250g</t>
  </si>
  <si>
    <t>https://www.mambo.com.br/cafe-torrado-e-moido-gourmet-sul-de-minas-3-coracoes-250g/p</t>
  </si>
  <si>
    <t>https://mambodelivery.vteximg.com.br/arquivos/ids/214438/7896045101665Cafe-Torrado-e-Moido-Sul-de-Minas-Gourmet-3-Coracoes-250g01.png?v=638549410810030000</t>
  </si>
  <si>
    <t>https://mambodelivery.vteximg.com.br/arquivos/ids/214439/7896045101665Cafe-Torrado-e-Moido-Sul-de-Minas-Gourmet-3-Coracoes-250g02.png?v=638549410953470000</t>
  </si>
  <si>
    <t>https://mambodelivery.vteximg.com.br/arquivos/ids/214441/7896045101665Cafe-Torrado-e-Moido-Sul-de-Minas-Gourmet-3-Coracoes-250g03.png?v=638549411125200000</t>
  </si>
  <si>
    <t>https://mambodelivery.vteximg.com.br/arquivos/ids/214442/7896045101665Cafe-Torrado-e-Moido-Sul-de-Minas-Gourmet-3-Coracoes-250g04.png?v=638549411222100000</t>
  </si>
  <si>
    <t>https://mambodelivery.vteximg.com.br/arquivos/ids/214443/7896045101665Cafe-Torrado-e-Moido-Sul-de-Minas-Gourmet-3-Coracoes-250g05.png?v=638549411319730000</t>
  </si>
  <si>
    <t>2795</t>
  </si>
  <si>
    <t>Cápsula de Café Gourmet Aluminium Expresso Café Toledo 50g com 10 Unidades</t>
  </si>
  <si>
    <t>7898376450269</t>
  </si>
  <si>
    <t>https://www.mambo.com.br/capsula-de-cafe-gourmet-aluminium-expresso-cafe-toledo-50g-com-10-unidades/p</t>
  </si>
  <si>
    <t>https://mambodelivery.vteximg.com.br/arquivos/ids/235443/7898376450269.jpg?v=638900147527570000</t>
  </si>
  <si>
    <t>2796</t>
  </si>
  <si>
    <t>Café Torrado e Moído Toledo Vácuo 500g</t>
  </si>
  <si>
    <t>7898376450252</t>
  </si>
  <si>
    <t>49.99</t>
  </si>
  <si>
    <t>https://www.mambo.com.br/cafe-torrado-e-moido-toledo-vacuo-500g/p</t>
  </si>
  <si>
    <t>https://mambodelivery.vteximg.com.br/arquivos/ids/160573/cafe-torrado-e-moido-toledo-vacuo-500g.jpg?v=637883145282500000</t>
  </si>
  <si>
    <t>https://mambodelivery.vteximg.com.br/arquivos/ids/160574/cafe-torrado-e-moido-toledo-vacuo-500g_1.jpg?v=637883145290930000</t>
  </si>
  <si>
    <t>https://mambodelivery.vteximg.com.br/arquivos/ids/160575/cafe-torrado-e-moido-toledo-vacuo-500g_2.jpg?v=637883145297830000</t>
  </si>
  <si>
    <t>2798</t>
  </si>
  <si>
    <t>Cápsula de Café Aromas Vanilla Baggio 50g com 10 Unidades</t>
  </si>
  <si>
    <t>https://www.mambo.com.br/capsula-de-cafe-aromas-vanilla-baggio-50g-com-10-unidades/p</t>
  </si>
  <si>
    <t>https://mambodelivery.vteximg.com.br/arquivos/ids/160580/cafe-torrado-e-moido-vanilla-baggio-10-capsulas-de-50g.jpg?v=637883145360170000</t>
  </si>
  <si>
    <t>2799</t>
  </si>
  <si>
    <t>Café em Grãos Espresso Pilão 1kg</t>
  </si>
  <si>
    <t>153.98</t>
  </si>
  <si>
    <t>https://www.mambo.com.br/cafe-torrado-em-grao-pilao-1kg/p</t>
  </si>
  <si>
    <t>https://mambodelivery.vteximg.com.br/arquivos/ids/160581/cafe-torrado-em-grao-pilao-1kg.jpg?v=637883145376130000</t>
  </si>
  <si>
    <t>2800</t>
  </si>
  <si>
    <t>Café em Grãos Bourbon Amarelo Varietais Orfeu 250g</t>
  </si>
  <si>
    <t>42.98</t>
  </si>
  <si>
    <t>https://www.mambo.com.br/cafe-em-graos-bourbon-amarelo-varietais-orfeu-250g/p</t>
  </si>
  <si>
    <t>https://mambodelivery.vteximg.com.br/arquivos/ids/216980/260703-Cafe-Torrado-em-Graos-Bourbon-Amarelo-Orfeu-250g.jpg?v=638581164703030000</t>
  </si>
  <si>
    <t>2801</t>
  </si>
  <si>
    <t>Café em Grãos Clássico Especial Orfeu 250g</t>
  </si>
  <si>
    <t>https://www.mambo.com.br/cafe-em-graos-classico-especial-orfeu-250g/p</t>
  </si>
  <si>
    <t>https://mambodelivery.vteximg.com.br/arquivos/ids/160583/cafc3a9-torrado-em-grc3a3os-clc3a1ssico-orfeu-250g.jpg?v=637883145403430000</t>
  </si>
  <si>
    <t>https://mambodelivery.vteximg.com.br/arquivos/ids/160584/cafc3a9-torrado-em-grc3a3os-clc3a1ssico-orfeu-250g_1.jpg?v=638760218924100000</t>
  </si>
  <si>
    <t>https://mambodelivery.vteximg.com.br/arquivos/ids/160585/cafc3a9-torrado-em-grc3a3os-clc3a1ssico-orfeu-250g_2.jpg?v=638760218924100000</t>
  </si>
  <si>
    <t>2802</t>
  </si>
  <si>
    <t>Café em Grãos Descafeinado Especial Orfeu 250g</t>
  </si>
  <si>
    <t>7898912704207</t>
  </si>
  <si>
    <t>65.49</t>
  </si>
  <si>
    <t>https://www.mambo.com.br/cafe-em-graos-descafeinado-especial-orfeu-250g/p</t>
  </si>
  <si>
    <t>https://mambodelivery.vteximg.com.br/arquivos/ids/228478/260693.png.png?v=638772935987400000</t>
  </si>
  <si>
    <t>2803</t>
  </si>
  <si>
    <t>Café em Grãos Intenso Especial Orfeu 250g</t>
  </si>
  <si>
    <t>7898912704252</t>
  </si>
  <si>
    <t>https://www.mambo.com.br/cafe-em-graos-intenso-especial-orfeu-250g/p</t>
  </si>
  <si>
    <t>https://mambodelivery.vteximg.com.br/arquivos/ids/160588/cafc3a9-torrado-em-grc3a3os-intenso-orfeu-250g.jpg?v=637883145467000000</t>
  </si>
  <si>
    <t>https://mambodelivery.vteximg.com.br/arquivos/ids/160589/cafc3a9-torrado-em-grc3a3os-intenso-orfeu-250g_1.jpg?v=638760987468000000</t>
  </si>
  <si>
    <t>https://mambodelivery.vteximg.com.br/arquivos/ids/160590/cafc3a9-torrado-em-grc3a3os-intenso-orfeu-250g_2.jpg?v=638760987468000000</t>
  </si>
  <si>
    <t>2805</t>
  </si>
  <si>
    <t>Café em Grãos Orgânico Especial Orfeu 250g</t>
  </si>
  <si>
    <t>https://www.mambo.com.br/cafe-em-graos-organico-especial-orfeu-250g/p</t>
  </si>
  <si>
    <t>https://mambodelivery.vteximg.com.br/arquivos/ids/160598/cafe-torrado-em-graos-organico-orfeu-250g.jpg?v=637883145578070000</t>
  </si>
  <si>
    <t>2807</t>
  </si>
  <si>
    <t>Café Torrado e Moído Tradicional a Vácuo 3 Corações 250g</t>
  </si>
  <si>
    <t>7896005800362</t>
  </si>
  <si>
    <t>https://www.mambo.com.br/cafe-tradicional-a-vacuo-3-coracoes-250g/p</t>
  </si>
  <si>
    <t>https://mambodelivery.vteximg.com.br/arquivos/ids/234184/cafe-tradicional-a-vacuo-3-coracoes-250g_1.jpg?v=638862936989370000</t>
  </si>
  <si>
    <t>https://mambodelivery.vteximg.com.br/arquivos/ids/234185/cafe-tradicional-a-vacuo-3-coracoes-250g.jpg?v=638862936989670000</t>
  </si>
  <si>
    <t>https://mambodelivery.vteximg.com.br/arquivos/ids/234186/cafe-tradicional-a-vacuo-3-coracoes-250g_2.jpg?v=638862936989670000</t>
  </si>
  <si>
    <t>https://mambodelivery.vteximg.com.br/arquivos/ids/234187/cafe-tradicional-a-vacuo-3-coracoes-250g_3.jpg?v=638862936989670000</t>
  </si>
  <si>
    <t>https://mambodelivery.vteximg.com.br/arquivos/ids/234188/cafe-tradicional-a-vacuo-3-coracoes-250g_4.jpg?v=638862936989830000</t>
  </si>
  <si>
    <t>https://mambodelivery.vteximg.com.br/arquivos/ids/234189/cafe-tradicional-a-vacuo-3-coracoes-250g_5.jpg?v=638862936989830000</t>
  </si>
  <si>
    <t>https://mambodelivery.vteximg.com.br/arquivos/ids/234190/cafe-tradicional-a-vacuo-3-coracoes-250g_6.jpg?v=638862936989830000</t>
  </si>
  <si>
    <t>2809</t>
  </si>
  <si>
    <t>Café Torrado e Moído Tradicional a Vácuo Café do Ponto 500g</t>
  </si>
  <si>
    <t>https://www.mambo.com.br/cafe-tradicional-a-vacuo-cafe-do-ponto-500g/p</t>
  </si>
  <si>
    <t>https://mambodelivery.vteximg.com.br/arquivos/ids/189820/140829.png?v=638097574416400000</t>
  </si>
  <si>
    <t>2811</t>
  </si>
  <si>
    <t>Café Torrado e Moído Tradicional a Vácuo Melitta 500g</t>
  </si>
  <si>
    <t>https://www.mambo.com.br/cafe-torrado-e-moido-tradicional-a-vacuo-melitta-500g/p</t>
  </si>
  <si>
    <t>https://mambodelivery.vteximg.com.br/arquivos/ids/227126/cafe-tradicional-a-vacuo-melitta-500g_2.jpg?v=638756805100030000</t>
  </si>
  <si>
    <t>https://mambodelivery.vteximg.com.br/arquivos/ids/227127/cafe-tradicional-a-vacuo-melitta-500g_1.jpg?v=638756805100030000</t>
  </si>
  <si>
    <t>https://mambodelivery.vteximg.com.br/arquivos/ids/227128/cafe-tradicional-a-vacuo-melitta-500g.jpg?v=638756805100500000</t>
  </si>
  <si>
    <t>2812</t>
  </si>
  <si>
    <t>Café Torrado e Moído Tradicional a Vácuo Pilão 250g</t>
  </si>
  <si>
    <t>26.49</t>
  </si>
  <si>
    <t>https://www.mambo.com.br/cafe-torrado-e-moido-tradicional-a-vacuo-pilao-250g/p</t>
  </si>
  <si>
    <t>https://mambodelivery.vteximg.com.br/arquivos/ids/232852/7896089012637_1_1_1200_72_SRGB.jpg?v=638842072584500000</t>
  </si>
  <si>
    <t>https://mambodelivery.vteximg.com.br/arquivos/ids/232853/image-to-upload-1.jpg?v=638842072588670000</t>
  </si>
  <si>
    <t>https://mambodelivery.vteximg.com.br/arquivos/ids/232854/7896089012637_1_1_1200_72_SRGB.jpg?v=638842072591300000</t>
  </si>
  <si>
    <t>2813</t>
  </si>
  <si>
    <t>Café Torrado e Moído Tradicional a Vácuo Pilão 500g</t>
  </si>
  <si>
    <t>39.98</t>
  </si>
  <si>
    <t>https://www.mambo.com.br/cafe-torrado-e-moido-tradicional-a-vacuo-pilao-500g/p</t>
  </si>
  <si>
    <t>https://mambodelivery.vteximg.com.br/arquivos/ids/232849/7896089011357_1_1_1200_72_SRGB.jpg?v=638842071611630000</t>
  </si>
  <si>
    <t>https://mambodelivery.vteximg.com.br/arquivos/ids/232850/image-to-upload-1.jpg?v=638842071616330000</t>
  </si>
  <si>
    <t>https://mambodelivery.vteximg.com.br/arquivos/ids/232851/7896089011357_1_1_1200_72_SRGB.jpg?v=638842071618970000</t>
  </si>
  <si>
    <t>2814</t>
  </si>
  <si>
    <t>Café Torrado e Moído Tradicional Abre &amp; Fecha Pilão 250g</t>
  </si>
  <si>
    <t>7896089013641</t>
  </si>
  <si>
    <t>26.98</t>
  </si>
  <si>
    <t>https://www.mambo.com.br/cafe-torrado-e-moido-tradicional-abre---fecha-pilao-250g/p</t>
  </si>
  <si>
    <t>https://mambodelivery.vteximg.com.br/arquivos/ids/232941/7896089013641_01.jpg?v=638844698001530000</t>
  </si>
  <si>
    <t>https://mambodelivery.vteximg.com.br/arquivos/ids/232942/7896089013641_02.jpg?v=638844698001870000</t>
  </si>
  <si>
    <t>https://mambodelivery.vteximg.com.br/arquivos/ids/232943/7896089013641_03.jpg?v=638844698001870000</t>
  </si>
  <si>
    <t>2815</t>
  </si>
  <si>
    <t>Café Torrado e Moído Tradicional Abre &amp; Fecha Pilão 500g</t>
  </si>
  <si>
    <t>https://www.mambo.com.br/cafe-torrado-e-moido-tradicional-abre---fecha-pilao-500g/p</t>
  </si>
  <si>
    <t>https://mambodelivery.vteximg.com.br/arquivos/ids/232944/7896089013634_01.jpg?v=638844752993570000</t>
  </si>
  <si>
    <t>https://mambodelivery.vteximg.com.br/arquivos/ids/232945/7896089013634_03.jpg?v=638844752994030000</t>
  </si>
  <si>
    <t>https://mambodelivery.vteximg.com.br/arquivos/ids/232946/7896089013634_02.jpg?v=638844752994200000</t>
  </si>
  <si>
    <t>2816</t>
  </si>
  <si>
    <t>Café Torrado e Moído Tradicional 3 Corações 250g</t>
  </si>
  <si>
    <t>https://www.mambo.com.br/cafe-torrado-e-moido-tradicional-3-coracoes-250g/p</t>
  </si>
  <si>
    <t>https://mambodelivery.vteximg.com.br/arquivos/ids/214404/7896005800027Cafe-Tradicional-Almofada-3-Coracoes-250g--1-.png?v=638549375660570000</t>
  </si>
  <si>
    <t>https://mambodelivery.vteximg.com.br/arquivos/ids/214405/7896005800027Cafe-Tradicional-Almofada-3-Coracoes-250g--7-.png?v=638761938094270000</t>
  </si>
  <si>
    <t>https://mambodelivery.vteximg.com.br/arquivos/ids/214406/7896005800027Cafe-Tradicional-Almofada-3-Coracoes-250g--2-.png?v=638761938094270000</t>
  </si>
  <si>
    <t>https://mambodelivery.vteximg.com.br/arquivos/ids/214407/7896005800027Cafe-Tradicional-Almofada-3-Coracoes-250g--4-.png?v=638761938094270000</t>
  </si>
  <si>
    <t>https://mambodelivery.vteximg.com.br/arquivos/ids/214408/7896005800027Cafe-Tradicional-Almofada-3-Coracoes-250g--3-.png?v=638761938094430000</t>
  </si>
  <si>
    <t>2817</t>
  </si>
  <si>
    <t>Café Torrado e Moído Tradicional 3 Corações 500g</t>
  </si>
  <si>
    <t>https://www.mambo.com.br/cafe-torrado-e-moido-tradicional-3-coracoes-500g/p</t>
  </si>
  <si>
    <t>https://mambodelivery.vteximg.com.br/arquivos/ids/214397/7896005800010Cafe-Tradicional-Almofada-3-Coracoes-500g.png?v=638549370644600000</t>
  </si>
  <si>
    <t>https://mambodelivery.vteximg.com.br/arquivos/ids/214398/7896005800010Cafe-Tradicional-Almofada-3-Coracoes-500g--2-.png?v=638760216372470000</t>
  </si>
  <si>
    <t>https://mambodelivery.vteximg.com.br/arquivos/ids/214400/7896005800010Cafe-Tradicional-Almofada-3-Coracoes-500g.png?v=638760216372600000</t>
  </si>
  <si>
    <t>https://mambodelivery.vteximg.com.br/arquivos/ids/214401/7896005800010Cafe-Tradicional-Almofada-3-Coracoes-500g--2-.png?v=638760216372600000</t>
  </si>
  <si>
    <t>https://mambodelivery.vteximg.com.br/arquivos/ids/214402/7896005800010Cafe-Tradicional-Almofada-3-Coracoes-500g--3-.png?v=638760216372600000</t>
  </si>
  <si>
    <t>2819</t>
  </si>
  <si>
    <t>Café Torrado e Moído Tradicional Caboclo 500g</t>
  </si>
  <si>
    <t>35.98</t>
  </si>
  <si>
    <t>https://www.mambo.com.br/cafe-torrado-e-moido-tradicional-caboclo-500g/p</t>
  </si>
  <si>
    <t>https://mambodelivery.vteximg.com.br/arquivos/ids/160635/cafe-tradicional-almofada-caboclo-500g.jpg?v=637883146044230000</t>
  </si>
  <si>
    <t>2820</t>
  </si>
  <si>
    <t>Café Torrado e Moído Tradicional Floresta 500g</t>
  </si>
  <si>
    <t>7896393801026</t>
  </si>
  <si>
    <t>https://www.mambo.com.br/cafe-tradicional-almofada-floresta-500g/p</t>
  </si>
  <si>
    <t>https://mambodelivery.vteximg.com.br/arquivos/ids/160636/cafe-tradicional-almofada-floresta-500g.jpg?v=637883146057230000</t>
  </si>
  <si>
    <t>2821</t>
  </si>
  <si>
    <t>Café Torrado e Moído Tradicional Melitta 500g</t>
  </si>
  <si>
    <t>https://www.mambo.com.br/cafe-torrado-e-moido-tradicional-melitta-500g/p</t>
  </si>
  <si>
    <t>https://mambodelivery.vteximg.com.br/arquivos/ids/227193/cafe-tradicional-almofada-melitta-500g_2.jpg?v=638760220617330000</t>
  </si>
  <si>
    <t>https://mambodelivery.vteximg.com.br/arquivos/ids/227194/cafe-tradicional-almofada-melitta-500g.jpg?v=638760220617800000</t>
  </si>
  <si>
    <t>https://mambodelivery.vteximg.com.br/arquivos/ids/227195/cafe-tradicional-almofada-melitta-500g_1.jpg?v=638760220617800000</t>
  </si>
  <si>
    <t>2822</t>
  </si>
  <si>
    <t>Café Torrado e Moído Tradicional Pilão 250g</t>
  </si>
  <si>
    <t>https://www.mambo.com.br/cafe-torrado-e-moido-tradicional-pilao-250g/p</t>
  </si>
  <si>
    <t>https://mambodelivery.vteximg.com.br/arquivos/ids/232968/7896089011982_03.jpg?v=638844775496900000</t>
  </si>
  <si>
    <t>https://mambodelivery.vteximg.com.br/arquivos/ids/232969/7896089011982_02.jpg?v=638844775497200000</t>
  </si>
  <si>
    <t>https://mambodelivery.vteximg.com.br/arquivos/ids/232970/7896089011982_01.jpg?v=638844775497200000</t>
  </si>
  <si>
    <t>2823</t>
  </si>
  <si>
    <t>Café Torrado e Moído Tradicional Pilão 500g</t>
  </si>
  <si>
    <t>https://www.mambo.com.br/cafe-torrado-e-moido-tradicional-pilao-500g/p</t>
  </si>
  <si>
    <t>https://mambodelivery.vteximg.com.br/arquivos/ids/232669/7896089012019-CafePilaoTorradoEMoidoTradicionalAlmofada500g-1.jpg?v=638841206952470000</t>
  </si>
  <si>
    <t>2828</t>
  </si>
  <si>
    <t>Cápsula de Café Turim Italle 50g com 10 Unidades</t>
  </si>
  <si>
    <t>7898994748731</t>
  </si>
  <si>
    <t>https://www.mambo.com.br/cafe-turim-italle-50g-10-capsulas/p</t>
  </si>
  <si>
    <t>https://mambodelivery.vteximg.com.br/arquivos/ids/220896/269438-Cafe-Turim-Italle-50g-10-Capsulas.jpg?v=638622660404970000</t>
  </si>
  <si>
    <t>2829</t>
  </si>
  <si>
    <t>Cápsula de Café Veneza Italle 50g com 10 Unidades</t>
  </si>
  <si>
    <t>7898994748724</t>
  </si>
  <si>
    <t>https://www.mambo.com.br/cafe-veneza-italle-50g-10-capsulas/p</t>
  </si>
  <si>
    <t>https://mambodelivery.vteximg.com.br/arquivos/ids/220898/269441-Cafe-Veneza-Italle-50g-10-Capsulas.jpg?v=638622661141900000</t>
  </si>
  <si>
    <t>2830</t>
  </si>
  <si>
    <t>Café Torrado e Moído Torra Escura Verona Starbucks 250g</t>
  </si>
  <si>
    <t>https://www.mambo.com.br/cafe-torrado-e-moido-torra-escura-verona-starbucks-250g/p</t>
  </si>
  <si>
    <t>https://mambodelivery.vteximg.com.br/arquivos/ids/231050/762111364418-CafeStarbucks%C3%82%C2%AECaffeVerona%C3%A2%C2%84%C2%A2TorradoeMoidoTorraEscura250g-1.jpg?v=638803350170930000</t>
  </si>
  <si>
    <t>https://mambodelivery.vteximg.com.br/arquivos/ids/231051/762111364418-CafeStarbucks%C3%82%C2%AECaffeVerona%C3%A2%C2%84%C2%A2TorradoeMoidoTorraEscura250g-1.jpg?v=638865409424570000</t>
  </si>
  <si>
    <t>https://mambodelivery.vteximg.com.br/arquivos/ids/231052/762111364418-CafeStarbucks%C3%82%C2%AECaffeVerona%C3%A2%C2%84%C2%A2TorradoeMoidoTorraEscura250g-2.jpg?v=638865409424870000</t>
  </si>
  <si>
    <t>2831</t>
  </si>
  <si>
    <t>Cápsula de Café Starbucks Caffè Verona by Nespresso Nescafé 55g com 10 Unidades</t>
  </si>
  <si>
    <t>7613036958943</t>
  </si>
  <si>
    <t>https://www.mambo.com.br/capsula-de-cafe-starbucks-caffe-verona-by-nespresso-nescafe-55g-com-10-unidades-/p</t>
  </si>
  <si>
    <t>https://mambodelivery.vteximg.com.br/arquivos/ids/231039/7613036958943-CafeemCapsulaStarbucks%C3%82%C2%AECaffeVeronabyNespresso%C3%82%C2%AE-10capsulas-1.jpg?v=638803344079330000</t>
  </si>
  <si>
    <t>https://mambodelivery.vteximg.com.br/arquivos/ids/231040/7613036958943-CafeemCapsulaStarbucks%C3%82%C2%AECaffeVeronabyNespresso%C3%82%C2%AE-10capsulas-3.jpg?v=638803344083270000</t>
  </si>
  <si>
    <t>https://mambodelivery.vteximg.com.br/arquivos/ids/231041/7613036958943-CafeemCapsulaStarbucks%C3%82%C2%AECaffeVeronabyNespresso%C3%82%C2%AE-10capsulas-4.jpg?v=638803344086370000</t>
  </si>
  <si>
    <t>https://mambodelivery.vteximg.com.br/arquivos/ids/231042/7613036958943-CafeemCapsulaStarbucks%C3%82%C2%AECaffeVeronabyNespresso%C3%82%C2%AE-10capsulas-5.jpg?v=638803344089330000</t>
  </si>
  <si>
    <t>https://mambodelivery.vteximg.com.br/arquivos/ids/231043/7613036958943-CafeemCapsulaStarbucks%C3%82%C2%AECaffeVeronabyNespresso%C3%82%C2%AE-10capsulas-6.jpg?v=638803344092170000</t>
  </si>
  <si>
    <t>https://mambodelivery.vteximg.com.br/arquivos/ids/231044/7613036958943-CafeemCapsulaStarbucks%C3%82%C2%AECaffeVeronabyNespresso%C3%82%C2%AE-10capsulas-7.jpg?v=638803344095900000</t>
  </si>
  <si>
    <t>https://mambodelivery.vteximg.com.br/arquivos/ids/231045/7613036958943-CafeemCapsulaStarbucks%C3%82%C2%AECaffeVeronabyNespresso%C3%82%C2%AE-10capsulas-8.jpg?v=638803344099330000</t>
  </si>
  <si>
    <t>https://mambodelivery.vteximg.com.br/arquivos/ids/231046/7613036958943-CafeemCapsulaStarbucks%C3%82%C2%AECaffeVeronabyNespresso%C3%82%C2%AE-10capsulas-9.jpg?v=638803344102170000</t>
  </si>
  <si>
    <t>2943</t>
  </si>
  <si>
    <t>Cappuccino Solúvel Sem Lactose Balance 3 Corações Pote 180g</t>
  </si>
  <si>
    <t>7896005808016</t>
  </si>
  <si>
    <t>180</t>
  </si>
  <si>
    <t>https://www.mambo.com.br/cappuccino-soluvel-sem-lactose-balance-3-coracoes-pote-180g/p</t>
  </si>
  <si>
    <t>https://mambodelivery.vteximg.com.br/arquivos/ids/232411/242148.jpg.jpg?v=638833668039870000</t>
  </si>
  <si>
    <t>2945</t>
  </si>
  <si>
    <t>Cappuccino Chocolate 3 Corações Pote 200g</t>
  </si>
  <si>
    <t>7896005802892</t>
  </si>
  <si>
    <t>https://www.mambo.com.br/cappuccino-chocolate-3-coracoes-pote-200g/p</t>
  </si>
  <si>
    <t>https://mambodelivery.vteximg.com.br/arquivos/ids/224600/670686093b11fb001abc9d7c_1.jpg?v=638688411903000000</t>
  </si>
  <si>
    <t>2946</t>
  </si>
  <si>
    <t>Cappuccino Classic 3 Corações Pote 200g</t>
  </si>
  <si>
    <t>7896005800157</t>
  </si>
  <si>
    <t>https://www.mambo.com.br/cappuccino-classic-3-coracoes-pote-200g/p</t>
  </si>
  <si>
    <t>https://mambodelivery.vteximg.com.br/arquivos/ids/240327/7896005800157_01.jpg?v=638981388906370000</t>
  </si>
  <si>
    <t>https://mambodelivery.vteximg.com.br/arquivos/ids/240328/7896005800157_02.jpg?v=638981388906530000</t>
  </si>
  <si>
    <t>2947</t>
  </si>
  <si>
    <t>Cappuccino Classic 3 Corações Pote 400g</t>
  </si>
  <si>
    <t>7896005800140</t>
  </si>
  <si>
    <t>400</t>
  </si>
  <si>
    <t>https://www.mambo.com.br/cappuccino-classic-3-coracoes-pote-400g/p</t>
  </si>
  <si>
    <t>https://mambodelivery.vteximg.com.br/arquivos/ids/224596/6706851d3b11fb001abc9d67_1.jpg?v=638688408639630000</t>
  </si>
  <si>
    <t>2949</t>
  </si>
  <si>
    <t>Cápsula de Café Cappuccino Classic Tres 3 Corações 110g com 10 Unidades</t>
  </si>
  <si>
    <t>7896005805077</t>
  </si>
  <si>
    <t>https://www.mambo.com.br/capsula-de-cafe-cappuccino-classic-tres-3-coracoes-110g-com-10-unidades/p</t>
  </si>
  <si>
    <t>https://mambodelivery.vteximg.com.br/arquivos/ids/227867/190741-Cappuccino-Classic-Tres-3-Coracoes-Capsula-com-10-unidades-11g.jpg?v=638762781422800000</t>
  </si>
  <si>
    <t>https://mambodelivery.vteximg.com.br/arquivos/ids/227868/190741-Cappuccino-Classic-Tres-3-Coracoes-Capsula-com-10-unidades-11g.jpg?v=638762781422970000</t>
  </si>
  <si>
    <t>https://mambodelivery.vteximg.com.br/arquivos/ids/227869/190741-Cappuccino-Classic-Tres-3-Coracoes-Capsula-com-10-unidades-11g.jpg?v=638762781422970000</t>
  </si>
  <si>
    <t>https://mambodelivery.vteximg.com.br/arquivos/ids/227870/190741-Cappuccino-Classic-Tres-3-Coracoes-Capsula-com-10-unidades-11g.jpg?v=638762781422970000</t>
  </si>
  <si>
    <t>2950</t>
  </si>
  <si>
    <t>Cápsula de Cappuccino Avelã 3 Corações 110g com 10 Unidades</t>
  </si>
  <si>
    <t>7896005810323</t>
  </si>
  <si>
    <t>https://www.mambo.com.br/capsula-de-cappuccino-avela-3-coracoes-110g-com-10-unidades/p</t>
  </si>
  <si>
    <t>https://mambodelivery.vteximg.com.br/arquivos/ids/227090/256303-Cappuccino-com-Avela-Tres-com-10-Capsula-11g.jpg?v=638755868968770000</t>
  </si>
  <si>
    <t>https://mambodelivery.vteximg.com.br/arquivos/ids/227091/256303-Cappuccino-com-Avela-Tres-com-10-Capsula-11g.jpg?v=638755868969030000</t>
  </si>
  <si>
    <t>https://mambodelivery.vteximg.com.br/arquivos/ids/227092/256303-Cappuccino-com-Avela-Tres-com-10-Capsula-11g.jpg?v=638755868969170000</t>
  </si>
  <si>
    <t>https://mambodelivery.vteximg.com.br/arquivos/ids/227093/256303-Cappuccino-com-Avela-Tres-com-10-Capsula-11g.jpg?v=638755868969170000</t>
  </si>
  <si>
    <t>2953</t>
  </si>
  <si>
    <t>Cappuccino Diet 3 Corações Pote 150g</t>
  </si>
  <si>
    <t>7896005802519</t>
  </si>
  <si>
    <t>150</t>
  </si>
  <si>
    <t>21.99</t>
  </si>
  <si>
    <t>https://www.mambo.com.br/cappuccino-diet-3-coracoes-pote-150g/p</t>
  </si>
  <si>
    <t>https://mambodelivery.vteximg.com.br/arquivos/ids/224599/670685c90ce7230019b656bf_1.jpg?v=638688410623500000</t>
  </si>
  <si>
    <t>2954</t>
  </si>
  <si>
    <t>Cápsula de Café Cappuccino Doce de Leite 3 Corações com 10 Unidades</t>
  </si>
  <si>
    <t>Havanna</t>
  </si>
  <si>
    <t>7896045102570</t>
  </si>
  <si>
    <t>https://www.mambo.com.br/capsula-de-cappuccino-doce-de-leite-3-coracoes-10-unid/p</t>
  </si>
  <si>
    <t>https://mambodelivery.vteximg.com.br/arquivos/ids/227862/7896045102570---Cappuccino-em-Capsula-Doce-de-Leite-Havanna-Tres-Caixa-110g-10-Unidades---1.jpg?v=638762781287470000</t>
  </si>
  <si>
    <t>https://mambodelivery.vteximg.com.br/arquivos/ids/227863/7896045102570---Cappuccino-em-Capsula-Doce-de-Leite-Havanna-Tres-Caixa-110g-10-Unidades---1.jpg?v=638762781287470000</t>
  </si>
  <si>
    <t>https://mambodelivery.vteximg.com.br/arquivos/ids/227864/7896045102570---Cappuccino-em-Capsula-Doce-de-Leite-Havanna-Tres-Caixa-110g-10-Unidades---2.jpg?v=638762781287600000</t>
  </si>
  <si>
    <t>https://mambodelivery.vteximg.com.br/arquivos/ids/227865/7896045102570---Cappuccino-em-Capsula-Doce-de-Leite-Havanna-Tres-Caixa-110g-10-Unidades---3.jpg?v=638762781287600000</t>
  </si>
  <si>
    <t>2966</t>
  </si>
  <si>
    <t>Cappuccino Tradicional Melitta 200g</t>
  </si>
  <si>
    <t>7891021007078</t>
  </si>
  <si>
    <t>16.99</t>
  </si>
  <si>
    <t>https://www.mambo.com.br/cappuccino-tradicional-melitta-200g/p</t>
  </si>
  <si>
    <t>https://mambodelivery.vteximg.com.br/arquivos/ids/238707/cappuccino-tradicional-melitta-200g_1.jpg?v=638948404481470000</t>
  </si>
  <si>
    <t>https://mambodelivery.vteximg.com.br/arquivos/ids/238708/cappuccino-tradicional-melitta-200g.jpg?v=638948404481630000</t>
  </si>
  <si>
    <t>https://mambodelivery.vteximg.com.br/arquivos/ids/238709/cappuccino-tradicional-melitta-200g_2.jpg?v=638948404481800000</t>
  </si>
  <si>
    <t>https://mambodelivery.vteximg.com.br/arquivos/ids/238710/cappuccino-tradicional-melitta-200g_3.jpg?v=638948404481800000</t>
  </si>
  <si>
    <t>2967</t>
  </si>
  <si>
    <t>Cappucino Sabor Chocolate 3 Corações Sachê 20g</t>
  </si>
  <si>
    <t>7896005802397</t>
  </si>
  <si>
    <t>20</t>
  </si>
  <si>
    <t>3.79</t>
  </si>
  <si>
    <t>https://www.mambo.com.br/cappucino-sabor-chocolate-3-coracoes-sache-20g/p</t>
  </si>
  <si>
    <t>https://mambodelivery.vteximg.com.br/arquivos/ids/238692/cappucino-sabor-chocolate-3-coracoes-sache-20g_1.jpg?v=638948401375900000</t>
  </si>
  <si>
    <t>https://mambodelivery.vteximg.com.br/arquivos/ids/238693/cappucino-sabor-chocolate-3-coracoes-sache-20g.jpg?v=638948401376070000</t>
  </si>
  <si>
    <t>https://mambodelivery.vteximg.com.br/arquivos/ids/238694/cappucino-sabor-chocolate-3-coracoes-sache-20g_2.jpg?v=638948401376230000</t>
  </si>
  <si>
    <t>https://mambodelivery.vteximg.com.br/arquivos/ids/238695/cappucino-sabor-chocolate-3-coracoes-sache-20g_3.jpg?v=638948401376230000</t>
  </si>
  <si>
    <t>https://mambodelivery.vteximg.com.br/arquivos/ids/238696/cappucino-sabor-chocolate-3-coracoes-sache-20g_4.jpg?v=638948401376230000</t>
  </si>
  <si>
    <t>https://mambodelivery.vteximg.com.br/arquivos/ids/238697/cappucino-sabor-chocolate-3-coracoes-sache-20g_5.jpg?v=638948401376370000</t>
  </si>
  <si>
    <t>2972</t>
  </si>
  <si>
    <t>Capuccino Tradicional Italle 75g 10 Cápsulas</t>
  </si>
  <si>
    <t>7898994748786</t>
  </si>
  <si>
    <t>https://www.mambo.com.br/capuccino-tradicional-italle-75g-10-capsulas/p</t>
  </si>
  <si>
    <t>https://mambodelivery.vteximg.com.br/arquivos/ids/160991/capuccino-tradicional-italle-75g-10-cc3a1psulas.jpg?v=637883150547800000</t>
  </si>
  <si>
    <t>16409</t>
  </si>
  <si>
    <t>Café Torrado e Moído Gourmet Dark Roast 3 Corações 250g</t>
  </si>
  <si>
    <t>https://www.mambo.com.br/cafe-torrado-e-moido-gourmet-dark-roast-3-coracoes-250g/p</t>
  </si>
  <si>
    <t>https://mambodelivery.vteximg.com.br/arquivos/ids/214449/7896045106851Cafe-Torrado-e-Moido-Dark-Roast-Gourmet-3-Coracoes-250g.png?v=638549415377230000</t>
  </si>
  <si>
    <t>https://mambodelivery.vteximg.com.br/arquivos/ids/214450/7896045106851Cafe-Torrado-e-Moido-Dark-Roast-Gourmet-3-Coracoes-250g02.png?v=638749740729830000</t>
  </si>
  <si>
    <t>https://mambodelivery.vteximg.com.br/arquivos/ids/214451/7896045106851Cafe-Torrado-e-Moido-Dark-Roast-Gourmet-3-Coracoes-250g03.png?v=638749740729830000</t>
  </si>
  <si>
    <t>https://mambodelivery.vteximg.com.br/arquivos/ids/214452/7896045106851Cafe-Torrado-e-Moido-Dark-Roast-Gourmet-3-Coracoes-250g04.png?v=638749740729830000</t>
  </si>
  <si>
    <t>https://mambodelivery.vteximg.com.br/arquivos/ids/214453/7896045106851Cafe-Torrado-e-Moido-Dark-Roast-Gourmet-3-Coracoes-250g05.png?v=638749740729830000</t>
  </si>
  <si>
    <t>16411</t>
  </si>
  <si>
    <t>Café Torrado e Moído Extra Forte União 500g</t>
  </si>
  <si>
    <t>25.90</t>
  </si>
  <si>
    <t>https://www.mambo.com.br/cafe-torrado-e-moido-extra-forte-uniao-500g/p</t>
  </si>
  <si>
    <t>https://mambodelivery.vteximg.com.br/arquivos/ids/185399/cafc3a9-torrado-e-moc3addo-extra-forte-unic3a3o-500g.jpg?v=637922831837730000</t>
  </si>
  <si>
    <t>16412</t>
  </si>
  <si>
    <t>Café Torrado e Moído Tradicional União 500g</t>
  </si>
  <si>
    <t>Camil</t>
  </si>
  <si>
    <t>https://www.mambo.com.br/cafe-torrado-e-moido-tradicional-uniao-500g/p</t>
  </si>
  <si>
    <t>https://mambodelivery.vteximg.com.br/arquivos/ids/185400/cafc3a9-torrado-e-moc3addo-tradicional-unic3a3o-500g.jpg?v=637922831853530000</t>
  </si>
  <si>
    <t>16614</t>
  </si>
  <si>
    <t>Café em Cápsula Torrado e Moído Espresso Ultimo L'or Caixa 52g 10 Unidades</t>
  </si>
  <si>
    <t>https://www.mambo.com.br/cafe-em-capsula-torrado-e-moido-espresso-ultimo-l-or-caixa-52g-10-unidades/p</t>
  </si>
  <si>
    <t>https://mambodelivery.vteximg.com.br/arquivos/ids/232876/8711000471296_01.jpg?v=638844635547800000</t>
  </si>
  <si>
    <t>https://mambodelivery.vteximg.com.br/arquivos/ids/232877/8711000471296_02.jpg?v=638844635548900000</t>
  </si>
  <si>
    <t>https://mambodelivery.vteximg.com.br/arquivos/ids/232878/8711000471296_03.jpg?v=638844635548900000</t>
  </si>
  <si>
    <t>https://mambodelivery.vteximg.com.br/arquivos/ids/232879/8711000471296_04.jpg?v=638844635549070000</t>
  </si>
  <si>
    <t>16648</t>
  </si>
  <si>
    <t>Café Torrado e Moído Premium Bravo 500g</t>
  </si>
  <si>
    <t>29.90</t>
  </si>
  <si>
    <t>https://www.mambo.com.br/cafe-torrado-e-moido-premium-bravo-500g/p</t>
  </si>
  <si>
    <t>https://mambodelivery.vteximg.com.br/arquivos/ids/231797/271959.jpg.jpg?v=638822112558200000</t>
  </si>
  <si>
    <t>16697</t>
  </si>
  <si>
    <t>Cápsula de Café Espresso Baunilha Flavours Collection L'or 52g com 10 Unidades</t>
  </si>
  <si>
    <t>https://www.mambo.com.br/cafe-capsula-espresso-baunilha-flavours-collection-lor-52g-10-capsulas/p</t>
  </si>
  <si>
    <t>https://mambodelivery.vteximg.com.br/arquivos/ids/232961/8711000488218_01.jpg?v=638844769484530000</t>
  </si>
  <si>
    <t>https://mambodelivery.vteximg.com.br/arquivos/ids/232962/8711000488218_02.jpg?v=638844769484870000</t>
  </si>
  <si>
    <t>16698</t>
  </si>
  <si>
    <t>Cápsula de Café Espresso Caramelo Flavours Collection L'or 52g com 10 Unidades</t>
  </si>
  <si>
    <t>https://www.mambo.com.br/cafe-capsula-espresso-caramelo-flavours-collection-lor-52g-10-capsulas/p</t>
  </si>
  <si>
    <t>https://mambodelivery.vteximg.com.br/arquivos/ids/232667/8711000488232_99_3_1200_72_SRGB.jpg?v=638841206822570000</t>
  </si>
  <si>
    <t>https://mambodelivery.vteximg.com.br/arquivos/ids/232668/8711000488232_99_1_1200_72_SRGB.jpg?v=638841206829270000</t>
  </si>
  <si>
    <t>16776</t>
  </si>
  <si>
    <t>Café Solúvel Espresso L'or 100g</t>
  </si>
  <si>
    <t>37.49</t>
  </si>
  <si>
    <t>https://www.mambo.com.br/cafe-soluvel-espresso-l-or-100g/p</t>
  </si>
  <si>
    <t>https://mambodelivery.vteximg.com.br/arquivos/ids/232894/7896089089875_01.jpg?v=638844658893770000</t>
  </si>
  <si>
    <t>16778</t>
  </si>
  <si>
    <t>Café Torrado e Moído Delicado Torras Gourmet L'or 250g</t>
  </si>
  <si>
    <t>30.49</t>
  </si>
  <si>
    <t>https://www.mambo.com.br/cafe-torrado-e-moido-delicado-torras-gourmet-l-or-250g/p</t>
  </si>
  <si>
    <t>https://mambodelivery.vteximg.com.br/arquivos/ids/232867/7896089060140_1_4_1200_72_SRGB.jpg?v=638844626971130000</t>
  </si>
  <si>
    <t>https://mambodelivery.vteximg.com.br/arquivos/ids/232868/image-to-upload-1.jpg?v=638844626975600000</t>
  </si>
  <si>
    <t>https://mambodelivery.vteximg.com.br/arquivos/ids/232869/7896089060140_1_4_1200_72_SRGB.jpg?v=638844626978230000</t>
  </si>
  <si>
    <t>16779</t>
  </si>
  <si>
    <t>Café Solúvel Tradicional 3 Corações Vidro 100g</t>
  </si>
  <si>
    <t>https://www.mambo.com.br/cafe-soluvel-tradicional-3-coracoes-vidro-100g/p</t>
  </si>
  <si>
    <t>https://mambodelivery.vteximg.com.br/arquivos/ids/224623/1---66635ef3bf92d07265f964b8_1.jpg?v=638688427558230000</t>
  </si>
  <si>
    <t>https://mambodelivery.vteximg.com.br/arquivos/ids/224624/2---63caee79f1d3023a541809e8_2.jpg?v=638688427614830000</t>
  </si>
  <si>
    <t>https://mambodelivery.vteximg.com.br/arquivos/ids/224625/3---63caee79f1d3023a541809e8_3.jpg?v=638688427678800000</t>
  </si>
  <si>
    <t>https://mambodelivery.vteximg.com.br/arquivos/ids/224626/4---63caee79f1d3023a541809e8_4.jpg?v=638688427754630000</t>
  </si>
  <si>
    <t>https://mambodelivery.vteximg.com.br/arquivos/ids/224627/5---63caee79f1d3023a541809e8_5.jpg?v=638688427820630000</t>
  </si>
  <si>
    <t>16780</t>
  </si>
  <si>
    <t>Café Torrado e Moído Intenso Torras Gourmet L'or 250g</t>
  </si>
  <si>
    <t>https://www.mambo.com.br/cafe-torrado-e-moido-intenso-torras-gourmet-l-or-250g/p</t>
  </si>
  <si>
    <t>https://mambodelivery.vteximg.com.br/arquivos/ids/232886/7896089060157_01.jpg?v=638844645007200000</t>
  </si>
  <si>
    <t>https://mambodelivery.vteximg.com.br/arquivos/ids/232887/7896089060157_02.jpg?v=638844645007630000</t>
  </si>
  <si>
    <t>https://mambodelivery.vteximg.com.br/arquivos/ids/232888/7896089060157_03.jpg?v=638844645007770000</t>
  </si>
  <si>
    <t>16781</t>
  </si>
  <si>
    <t>Café Torrado e Moído Equilibrado Torras Gourmet L'or 250g</t>
  </si>
  <si>
    <t>https://www.mambo.com.br/cafe-torrado-e-moido-equilibrado-torras-gourmet-l-or-250g/p</t>
  </si>
  <si>
    <t>https://mambodelivery.vteximg.com.br/arquivos/ids/232889/7896089060133_03.jpg?v=638844654860700000</t>
  </si>
  <si>
    <t>https://mambodelivery.vteximg.com.br/arquivos/ids/232890/7896089060133_02.jpg?v=638844654861200000</t>
  </si>
  <si>
    <t>https://mambodelivery.vteximg.com.br/arquivos/ids/232891/7896089060133_01.jpg?v=638844654861300000</t>
  </si>
  <si>
    <t>16782</t>
  </si>
  <si>
    <t>Café Solúvel em Pó Espresso L'or 40g</t>
  </si>
  <si>
    <t>40</t>
  </si>
  <si>
    <t>11.98</t>
  </si>
  <si>
    <t>https://www.mambo.com.br/cafe-soluvel-em-po-espresso-lor-40g/p</t>
  </si>
  <si>
    <t>https://mambodelivery.vteximg.com.br/arquivos/ids/238549/272348.jpg?v=638948278542570000</t>
  </si>
  <si>
    <t>https://mambodelivery.vteximg.com.br/arquivos/ids/238550/cafe-soluvel-em-po-espresso-lor-40g.jpg?v=638948278543030000</t>
  </si>
  <si>
    <t>16934</t>
  </si>
  <si>
    <t>Café Solúvel Cappuccino Chocolate Melitta 200g</t>
  </si>
  <si>
    <t>7891021007290</t>
  </si>
  <si>
    <t>https://www.mambo.com.br/cafe-soluvel-cappuccino-chocolate-melitta-200g/p</t>
  </si>
  <si>
    <t>https://mambodelivery.vteximg.com.br/arquivos/ids/186538/151020-cappuccino-chocolate-melitta-200g.jpg?v=637989479608900000</t>
  </si>
  <si>
    <t>17000</t>
  </si>
  <si>
    <t>Café Torrado e Moído Tradicional Fort 500g</t>
  </si>
  <si>
    <t>Fort</t>
  </si>
  <si>
    <t>7896005803288</t>
  </si>
  <si>
    <t>28.99</t>
  </si>
  <si>
    <t>https://www.mambo.com.br/cafe-tradicional-fort-500g/p</t>
  </si>
  <si>
    <t>https://mambodelivery.vteximg.com.br/arquivos/ids/187298/251089-cafe-tradicional-fort-500g.jpg?v=638016167022730000</t>
  </si>
  <si>
    <t>17533</t>
  </si>
  <si>
    <t>Cápsula de Café Soprano Bravo 50g com 10 Unidades</t>
  </si>
  <si>
    <t>https://www.mambo.com.br/cafe-soprano-bravo-50g-com-10-capsulas/p</t>
  </si>
  <si>
    <t>https://mambodelivery.vteximg.com.br/arquivos/ids/231795/226321.jpg.jpg?v=638822111177400000</t>
  </si>
  <si>
    <t>17534</t>
  </si>
  <si>
    <t>Café Torrado e Moído Extraforte Café Brasileiro 500g</t>
  </si>
  <si>
    <t>https://www.mambo.com.br/cafe-torrado-e-moido-extraforte-cafe-brasileiro-pacote-500g/p</t>
  </si>
  <si>
    <t>https://mambodelivery.vteximg.com.br/arquivos/ids/232467/7891018001393_2.jpg?v=638838679680370000</t>
  </si>
  <si>
    <t>https://mambodelivery.vteximg.com.br/arquivos/ids/232468/7891018001393_1.jpg?v=638838679680700000</t>
  </si>
  <si>
    <t>https://mambodelivery.vteximg.com.br/arquivos/ids/232469/7891018001393_3.jpg?v=638838679680830000</t>
  </si>
  <si>
    <t>https://mambodelivery.vteximg.com.br/arquivos/ids/232470/7891018001393_4.jpg?v=638838679680830000</t>
  </si>
  <si>
    <t>https://mambodelivery.vteximg.com.br/arquivos/ids/232471/7891018001393_5.jpg?v=638838679680830000</t>
  </si>
  <si>
    <t>https://mambodelivery.vteximg.com.br/arquivos/ids/232472/7891018001393_6.jpg?v=638838679681000000</t>
  </si>
  <si>
    <t>https://mambodelivery.vteximg.com.br/arquivos/ids/232473/7891018001393_7.jpg?v=638838679681000000</t>
  </si>
  <si>
    <t>17618</t>
  </si>
  <si>
    <t>Café Solúvel com Leite Nescafé Lata 330g</t>
  </si>
  <si>
    <t>330</t>
  </si>
  <si>
    <t>https://www.mambo.com.br/cafe-soluvel-com-leite-nescafe-lata-330g/p</t>
  </si>
  <si>
    <t>https://mambodelivery.vteximg.com.br/arquivos/ids/200811/7891000006290---Cafe-NESCAFE-com-leite-330g.jpg?v=638349727441500000</t>
  </si>
  <si>
    <t>17733</t>
  </si>
  <si>
    <t>Café em Grãos Orgânico Santa Monica 250g</t>
  </si>
  <si>
    <t>https://www.mambo.com.br/cafe-em-graos-organico-santa-monica-250g/p</t>
  </si>
  <si>
    <t>https://mambodelivery.vteximg.com.br/arquivos/ids/186200/cafe-em-graos-organico-santa-monica-250g.jpg?v=637959214765700000</t>
  </si>
  <si>
    <t>17787</t>
  </si>
  <si>
    <t>Cápsula de Café Portinari Tres 3 Corações 80g com 10 Unidades</t>
  </si>
  <si>
    <t>https://www.mambo.com.br/capsula-de-cafe-portinari-tres-3-coracoes-80g-com-10-unidades/p</t>
  </si>
  <si>
    <t>https://mambodelivery.vteximg.com.br/arquivos/ids/224654/1---6646495cdffc32511809a5cf_1.jpg?v=638688449536100000</t>
  </si>
  <si>
    <t>https://mambodelivery.vteximg.com.br/arquivos/ids/224655/2---6646495cdffc32511809a5cf_2.jpg?v=638760998227800000</t>
  </si>
  <si>
    <t>https://mambodelivery.vteximg.com.br/arquivos/ids/224656/3---6646495cdffc32511809a5cf_3.jpg?v=638760998227800000</t>
  </si>
  <si>
    <t>https://mambodelivery.vteximg.com.br/arquivos/ids/224657/4---6646495cdffc32511809a5cf_4.jpg?v=638760998227800000</t>
  </si>
  <si>
    <t>17788</t>
  </si>
  <si>
    <t>Cápsula de Café Notas Frutadas Portinari 3 Corações com 10 Unidades</t>
  </si>
  <si>
    <t>https://www.mambo.com.br/capsula-de-cafe-portinari-notas-frutadas-3-coracoes-10-unid/p</t>
  </si>
  <si>
    <t>https://mambodelivery.vteximg.com.br/arquivos/ids/186234/cafe-em-capsula-com-notas-frutadas-portinari-tres-coracoes-com-10-unidades-de-8g.jpg?v=637965241698330000</t>
  </si>
  <si>
    <t>17790</t>
  </si>
  <si>
    <t>Café Torrado e Moído Portinari Café 1942 3 Corações 250g</t>
  </si>
  <si>
    <t>7896045109616</t>
  </si>
  <si>
    <t>https://www.mambo.com.br/cafe-torrado-e-moido-portinari-cafe-1942-3-coracoes-250g/p</t>
  </si>
  <si>
    <t>https://mambodelivery.vteximg.com.br/arquivos/ids/214455/7896045109616Cafe-Torrado-e-Moido-com-Notas-Florais-Portinari-3-Coracoes-250g.jpg?v=638549420140600000</t>
  </si>
  <si>
    <t>17791</t>
  </si>
  <si>
    <t>Café Torrado e Moído Portinari Peneirando Café 1957 3 Corações 250g</t>
  </si>
  <si>
    <t>https://www.mambo.com.br/cafe-torrado-e-moido-portinari-peneirando-cafe-1957-3-coracoes-250g/p</t>
  </si>
  <si>
    <t>https://mambodelivery.vteximg.com.br/arquivos/ids/214454/7896045109609Cafe-Torrado-e-Moido-com-Notas-Frutadas-Portinari-3-Coracoes-250g.jpg?v=638549418748530000</t>
  </si>
  <si>
    <t>17792</t>
  </si>
  <si>
    <t>Café Torrado e Moído Portinari Meninos Soltando Pipas 1947 3 Corações 250g</t>
  </si>
  <si>
    <t>https://www.mambo.com.br/cafe-torrado-e-moido-portinari-meninos-soltando-pipas-1947-3-coracoes-250g/p</t>
  </si>
  <si>
    <t>https://mambodelivery.vteximg.com.br/arquivos/ids/214456/7896045109623Cafe-Torrado-e-Moido-com-Notas-Trufadas-Portinari-3-Coracoes-250g.jpg?v=638549421531570000</t>
  </si>
  <si>
    <t>18527</t>
  </si>
  <si>
    <t>Café em Grãos Gourmet Expresso 3 Corações 1kg</t>
  </si>
  <si>
    <t>119.90</t>
  </si>
  <si>
    <t>https://www.mambo.com.br/cafe-em-graos-gourmet-expresso-3-coracoes-1kg/p</t>
  </si>
  <si>
    <t>https://mambodelivery.vteximg.com.br/arquivos/ids/226723/Design-sem-nome--1-.jpg.jpg?v=638761802410830000</t>
  </si>
  <si>
    <t>18528</t>
  </si>
  <si>
    <t>Cápsula de Café Chocolate com Avelã Baggio 50g com 10 Unidades</t>
  </si>
  <si>
    <t>34.49</t>
  </si>
  <si>
    <t>https://www.mambo.com.br/capsula-de-cafe-chocolate-com-avela-baggio-50g-10-unidades/p</t>
  </si>
  <si>
    <t>https://mambodelivery.vteximg.com.br/arquivos/ids/188641/226364.png?v=638046574085900000</t>
  </si>
  <si>
    <t>18529</t>
  </si>
  <si>
    <t>Café Torrado e Moído Torra Média Bravo 250g</t>
  </si>
  <si>
    <t>22.99</t>
  </si>
  <si>
    <t>https://www.mambo.com.br/cafe-torrado-e-moido-torra-media-bravo-250g/p</t>
  </si>
  <si>
    <t>https://mambodelivery.vteximg.com.br/arquivos/ids/231798/269428.jpg.jpg?v=638822113830300000</t>
  </si>
  <si>
    <t>18530</t>
  </si>
  <si>
    <t>Café Torrado e Moído Tenor Torra Média Bravo 500g</t>
  </si>
  <si>
    <t>39.90</t>
  </si>
  <si>
    <t>https://www.mambo.com.br/cafe-torrado-e-moido-tenor-torra-media-bravo-500g/p</t>
  </si>
  <si>
    <t>https://mambodelivery.vteximg.com.br/arquivos/ids/232123/140783.jpg.jpg?v=638824143388730000</t>
  </si>
  <si>
    <t>18531</t>
  </si>
  <si>
    <t>Cápsula de Café Maestro Bravo 50g com 10 Unidades</t>
  </si>
  <si>
    <t>7898204020473</t>
  </si>
  <si>
    <t>24.49</t>
  </si>
  <si>
    <t>https://www.mambo.com.br/capsula-de-cafe-maestro-bravo-50g-10-unidades/p</t>
  </si>
  <si>
    <t>https://mambodelivery.vteximg.com.br/arquivos/ids/231794/254930.jpg.jpg?v=638822110079000000</t>
  </si>
  <si>
    <t>18532</t>
  </si>
  <si>
    <t>Café Torrado e Moído Tradicional Brasileiro 500g</t>
  </si>
  <si>
    <t>Brasileiro</t>
  </si>
  <si>
    <t>https://www.mambo.com.br/cafe-torrado-e-moido-tradicional-brasileiro-500g/p</t>
  </si>
  <si>
    <t>https://mambodelivery.vteximg.com.br/arquivos/ids/241855/264939.jpg?v=639034921191130000</t>
  </si>
  <si>
    <t>18985</t>
  </si>
  <si>
    <t>Café Torrado e Moído Chocolate com Avelã Baggio Aromas 250g</t>
  </si>
  <si>
    <t>https://www.mambo.com.br/cafe-torrado-e-moido-chocolate-com-avela-baggio-aromas-250g/p</t>
  </si>
  <si>
    <t>https://mambodelivery.vteximg.com.br/arquivos/ids/233833/273817.jpg?v=638854270212070000</t>
  </si>
  <si>
    <t>18987</t>
  </si>
  <si>
    <t>Cápsula de Café Ristretto Baggio 50g com 10 Unidades</t>
  </si>
  <si>
    <t>https://www.mambo.com.br/capsula-de-cafe-ristretto-baggio-50g-10-unidades/p</t>
  </si>
  <si>
    <t>https://mambodelivery.vteximg.com.br/arquivos/ids/215261/273822-Cafe-em-Capsula-Ristretto-Baggio-50g--com-10-Unidades.jpg?v=638555396532970000</t>
  </si>
  <si>
    <t>19749</t>
  </si>
  <si>
    <t>Café Solúvel em Pó Intensidade 6 Nescafé Gold Espresso Lata 100g Café Solúvel em Pó Gold Espresso Suave Nescafé Lata 100g</t>
  </si>
  <si>
    <t>7891000734926</t>
  </si>
  <si>
    <t>https://www.mambo.com.br/cafe-soluvel-em-po-gold-espresso-suave-nescafe-lata-100g/p</t>
  </si>
  <si>
    <t>https://mambodelivery.vteximg.com.br/arquivos/ids/238623/7891000734926---Cafe-NESCAFE-GOLD-ESPRESSO-Intensidade-6-Lata-100g---1.jpg?v=638948348876200000</t>
  </si>
  <si>
    <t>https://mambodelivery.vteximg.com.br/arquivos/ids/238624/7891000734926---Cafe-NESCAFE-GOLD-ESPRESSO-Intensidade-6-Lata-100g---1.jpg?v=638948348876330000</t>
  </si>
  <si>
    <t>https://mambodelivery.vteximg.com.br/arquivos/ids/238625/7891000734926---Cafe-NESCAFE-GOLD-ESPRESSO-Intensidade-6-Lata-100g---2.jpg?v=638948348876330000</t>
  </si>
  <si>
    <t>https://mambodelivery.vteximg.com.br/arquivos/ids/238626/7891000734926---Cafe-NESCAFE-GOLD-ESPRESSO-Intensidade-6-Lata-100g---3.jpg?v=638948348876330000</t>
  </si>
  <si>
    <t>https://mambodelivery.vteximg.com.br/arquivos/ids/238627/7891000734926---Cafe-NESCAFE-GOLD-ESPRESSO-Intensidade-6-Lata-100g---4.jpg?v=638948348876500000</t>
  </si>
  <si>
    <t>19750</t>
  </si>
  <si>
    <t>Café Solúvel Gold Espresso Intensidade 8 Nescafé 100g</t>
  </si>
  <si>
    <t>https://www.mambo.com.br/cafe-gold-equilibra-nescafe-lata-100g/p</t>
  </si>
  <si>
    <t>https://mambodelivery.vteximg.com.br/arquivos/ids/221138/7891000631713-CafeNESCAFEGOLDESPRESSOIntensidade8Lata100g-1.jpg?v=638632964819630000</t>
  </si>
  <si>
    <t>https://mambodelivery.vteximg.com.br/arquivos/ids/221139/image-to-upload-1.jpg?v=638632964823230000</t>
  </si>
  <si>
    <t>https://mambodelivery.vteximg.com.br/arquivos/ids/221140/7891000631713-CafeNESCAFEGOLDESPRESSOIntensidade8Lata100g-2.jpg?v=638632964826200000</t>
  </si>
  <si>
    <t>https://mambodelivery.vteximg.com.br/arquivos/ids/221141/7891000631713-CafeNESCAFEGOLDESPRESSOIntensidade8Lata100g-3.jpg?v=638632964829170000</t>
  </si>
  <si>
    <t>https://mambodelivery.vteximg.com.br/arquivos/ids/221142/7891000631713-CafeNESCAFEGOLDESPRESSOIntensidade8Lata100g-4.jpg?v=638632964832130000</t>
  </si>
  <si>
    <t>19751</t>
  </si>
  <si>
    <t>Café Solúvel Intensidade 9 Nescafé Gold Espresso Lata 100g Café Solúvel Gold Espresso Intenso Nescafé Lata 100g</t>
  </si>
  <si>
    <t>https://www.mambo.com.br/cafe-soluvel-gold-espresso-intenso-nescafe-lata-100g/p</t>
  </si>
  <si>
    <t>https://mambodelivery.vteximg.com.br/arquivos/ids/223174/7891000507193-CafeNESCAFEGOLDESPRESSOIntensidade9Lata100g-1.jpg?v=638658268960030000</t>
  </si>
  <si>
    <t>https://mambodelivery.vteximg.com.br/arquivos/ids/223175/image-to-upload-1.jpg?v=638761893093170000</t>
  </si>
  <si>
    <t>https://mambodelivery.vteximg.com.br/arquivos/ids/223176/7891000507193-CafeNESCAFEGOLDESPRESSOIntensidade9Lata100g-2.jpg?v=638761893093170000</t>
  </si>
  <si>
    <t>https://mambodelivery.vteximg.com.br/arquivos/ids/223177/7891000507193-CafeNESCAFEGOLDESPRESSOIntensidade9Lata100g-3.jpg?v=638761893093170000</t>
  </si>
  <si>
    <t>https://mambodelivery.vteximg.com.br/arquivos/ids/223178/7891000507193-CafeNESCAFEGOLDESPRESSOIntensidade9Lata100g-4.jpg?v=638761893093170000</t>
  </si>
  <si>
    <t>19838</t>
  </si>
  <si>
    <t>Café Torrado e Moído Italiano Costa Rica Compagnia Dell Arabica Corsini 25Og</t>
  </si>
  <si>
    <t>Caffè Corsini</t>
  </si>
  <si>
    <t>8001684011308</t>
  </si>
  <si>
    <t>64.98</t>
  </si>
  <si>
    <t>https://www.mambo.com.br/cafe-torrado-e-moido-italiano-costa-rica-compagnia-dell-arabica-corsini-25og/p</t>
  </si>
  <si>
    <t>https://mambodelivery.vteximg.com.br/arquivos/ids/226582/8001684011308-Costa-Rica-T-M-jpg.jpg.jpg?v=638749823907000000</t>
  </si>
  <si>
    <t>https://mambodelivery.vteximg.com.br/arquivos/ids/226583/8001684011308---Corsini_1000x1000_CostaRica_moido_01.jpg.jpg?v=638749823907130000</t>
  </si>
  <si>
    <t>https://mambodelivery.vteximg.com.br/arquivos/ids/226584/8001684011308---Corsini_1000x1000_CostaRica_moido_02.jpg.jpg?v=638749823907130000</t>
  </si>
  <si>
    <t>https://mambodelivery.vteximg.com.br/arquivos/ids/226585/8001684011308--Corsini_1000x1000_CostaRica_moido_03.jpg.jpg?v=638749823907130000</t>
  </si>
  <si>
    <t>19839</t>
  </si>
  <si>
    <t>Café Torrado e Moído Italiano Índia Compagnia Dell Arabica Corsini 25Og</t>
  </si>
  <si>
    <t>8001684011278</t>
  </si>
  <si>
    <t>68.98</t>
  </si>
  <si>
    <t>https://www.mambo.com.br/cafe-torrado-e-moido-italiano-india-compagnia-dell-arabica-corsini-25og/p</t>
  </si>
  <si>
    <t>https://mambodelivery.vteximg.com.br/arquivos/ids/226586/8001684011278-India-T-M-jpg.jpg.jpg?v=638749825078600000</t>
  </si>
  <si>
    <t>https://mambodelivery.vteximg.com.br/arquivos/ids/226587/8001684011278-Corsini_1000x1000_India_moido_01.jpg.jpg?v=638749825078770000</t>
  </si>
  <si>
    <t>https://mambodelivery.vteximg.com.br/arquivos/ids/226588/8001684011278-Corsini_1000x1000_India_moido_02.jpg.jpg?v=638749825078770000</t>
  </si>
  <si>
    <t>https://mambodelivery.vteximg.com.br/arquivos/ids/226589/8001684011278-Corsini_1000x1000_India_moido_03.jpg.jpg?v=638749825078770000</t>
  </si>
  <si>
    <t>19840</t>
  </si>
  <si>
    <t>Café Torrado e Moído Italiano Colômbia Compagnia Dell Arabica Corsini 25Og</t>
  </si>
  <si>
    <t>8001684025619</t>
  </si>
  <si>
    <t>65.98</t>
  </si>
  <si>
    <t>https://www.mambo.com.br/cafe-torrado-e-moido-italiano-colombia-compagnia-dell-arabica-corsini-25og/p</t>
  </si>
  <si>
    <t>https://mambodelivery.vteximg.com.br/arquivos/ids/226578/8001684025619-1000x1000-Colombia-T-M.jpg.jpg?v=638749823193770000</t>
  </si>
  <si>
    <t>https://mambodelivery.vteximg.com.br/arquivos/ids/226579/8001684025619--Corsini_1000x1000_Colombia_moido_01.jpg.jpg?v=638749823193770000</t>
  </si>
  <si>
    <t>https://mambodelivery.vteximg.com.br/arquivos/ids/226580/8001684025619-Corsini_1000x1000_Colombia_moido_02.jpg.jpg?v=638749823193900000</t>
  </si>
  <si>
    <t>https://mambodelivery.vteximg.com.br/arquivos/ids/226581/8001684025619--Corsini_1000x1000_Colombia_moido_03.jpg.jpg?v=638749823193900000</t>
  </si>
  <si>
    <t>19841</t>
  </si>
  <si>
    <t>Café Torrado e Moído Italiano Kenya Compagnia Dell Arabica Corsini 25Og</t>
  </si>
  <si>
    <t>8001684025602</t>
  </si>
  <si>
    <t>https://www.mambo.com.br/cafe-torrado-e-moido-italiano-kenya-compagnia-dell-arabica-corsini-25og/p</t>
  </si>
  <si>
    <t>https://mambodelivery.vteximg.com.br/arquivos/ids/226590/8001684025602--Kenya-T-M-jpg.jpg.jpg?v=638749826228570000</t>
  </si>
  <si>
    <t>https://mambodelivery.vteximg.com.br/arquivos/ids/226591/8001684025602--Corsini_1000x1000_Kenya_moido_01.jpg.jpg?v=638749826228570000</t>
  </si>
  <si>
    <t>https://mambodelivery.vteximg.com.br/arquivos/ids/226592/8001684025602--Corsini_1000x1000_Kenya_moido_02.jpg.jpg?v=638749826228570000</t>
  </si>
  <si>
    <t>https://mambodelivery.vteximg.com.br/arquivos/ids/226593/8001684025602--Corsini_1000x1000_Kenya_moido_03.jpg.jpg?v=638749826228570000</t>
  </si>
  <si>
    <t>19908</t>
  </si>
  <si>
    <t>Café Torrado e Moído Drip Classico Coffee++ 100g</t>
  </si>
  <si>
    <t>Coffee ++</t>
  </si>
  <si>
    <t>602883207530</t>
  </si>
  <si>
    <t>https://www.mambo.com.br/cafe-torrado-e-moido-drip-classico-coffee---100g/p</t>
  </si>
  <si>
    <t>https://mambodelivery.vteximg.com.br/arquivos/ids/228452/274714.png.png?v=638772081003330000</t>
  </si>
  <si>
    <t>19909</t>
  </si>
  <si>
    <t>Café Torrado e Moído Drip Arara Coffee++ 100g</t>
  </si>
  <si>
    <t>618231595112</t>
  </si>
  <si>
    <t>https://www.mambo.com.br/cafe-torrado-e-moido-drip-arara-coffee-100g/p</t>
  </si>
  <si>
    <t>https://mambodelivery.vteximg.com.br/arquivos/ids/228453/274715.png.png?v=638772082018200000</t>
  </si>
  <si>
    <t>19910</t>
  </si>
  <si>
    <t>Café Torrado e Moído Drip Chapada De Minas Coffee++ 100g</t>
  </si>
  <si>
    <t>602883894549</t>
  </si>
  <si>
    <t>https://www.mambo.com.br/cafe-torrado-e-moido-drip-chapada-de-minas-coffee-100g/p</t>
  </si>
  <si>
    <t>https://mambodelivery.vteximg.com.br/arquivos/ids/228454/274716.png.png?v=638772082733430000</t>
  </si>
  <si>
    <t>19911</t>
  </si>
  <si>
    <t>Cápsula de Café Clássico Coffee++ 50g com 10 Unidades</t>
  </si>
  <si>
    <t>602883207523</t>
  </si>
  <si>
    <t>22.90</t>
  </si>
  <si>
    <t>https://www.mambo.com.br/capsula-de-cafe-classico-coffee-50g-10-unidades/p</t>
  </si>
  <si>
    <t>https://mambodelivery.vteximg.com.br/arquivos/ids/228455/274717.png.png?v=638772084453130000</t>
  </si>
  <si>
    <t>19912</t>
  </si>
  <si>
    <t>Cápsula de Café Arara Coffee++ 50g com 10 Unidades</t>
  </si>
  <si>
    <t>618341122215</t>
  </si>
  <si>
    <t>https://www.mambo.com.br/capsula-de-cafe-arara-coffee-50g-10-unidades/p</t>
  </si>
  <si>
    <t>https://mambodelivery.vteximg.com.br/arquivos/ids/228456/274718.png.png?v=638772085138430000</t>
  </si>
  <si>
    <t>19913</t>
  </si>
  <si>
    <t>Cápsula de Café Sul de Minas Coffee++ 50g com 10 Unidades</t>
  </si>
  <si>
    <t>602883207592</t>
  </si>
  <si>
    <t>https://www.mambo.com.br/capsula-de-cafe-mantiqueira-de-minas-coffee-50g-10-unidades/p</t>
  </si>
  <si>
    <t>https://mambodelivery.vteximg.com.br/arquivos/ids/228457/274719.png.png?v=638772086379300000</t>
  </si>
  <si>
    <t>19914</t>
  </si>
  <si>
    <t>Cápsula de Café Cerrado Mineiro Coffee++ 50g com 10 Unidades</t>
  </si>
  <si>
    <t>602883207622</t>
  </si>
  <si>
    <t>https://www.mambo.com.br/capsula-de-cafe-cerrado-mineiro-coffee-50g-10-unidades/p</t>
  </si>
  <si>
    <t>https://mambodelivery.vteximg.com.br/arquivos/ids/228459/274720.png.png?v=638772099660100000</t>
  </si>
  <si>
    <t>19915</t>
  </si>
  <si>
    <t>Cápsula de Café Chapada de Minas Coffee++ 50g com 10 Unidades</t>
  </si>
  <si>
    <t>602883207561</t>
  </si>
  <si>
    <t>https://www.mambo.com.br/capsula-de-cafe-chapada-de-minas-coffee-50g-10-unidades/p</t>
  </si>
  <si>
    <t>https://mambodelivery.vteximg.com.br/arquivos/ids/228460/274721.png.png?v=638772100680800000</t>
  </si>
  <si>
    <t>19916</t>
  </si>
  <si>
    <t>Café Torrado e Moído Arara Coffee++ 250g</t>
  </si>
  <si>
    <t>618231106295</t>
  </si>
  <si>
    <t>https://www.mambo.com.br/cafe-torrado-e-moido-arara-coffee-250g/p</t>
  </si>
  <si>
    <t>https://mambodelivery.vteximg.com.br/arquivos/ids/228461/274722.png.png?v=638772101693600000</t>
  </si>
  <si>
    <t>19958</t>
  </si>
  <si>
    <t>Café Torrado e Moído Clássico Coffee++ 250g</t>
  </si>
  <si>
    <t>602883207516</t>
  </si>
  <si>
    <t>https://www.mambo.com.br/cafe-torrado-e-moido-classico-coffee-250g/p</t>
  </si>
  <si>
    <t>https://mambodelivery.vteximg.com.br/arquivos/ids/228462/274755.png.png?v=638772105104530000</t>
  </si>
  <si>
    <t>19959</t>
  </si>
  <si>
    <t>Café Torrado e Moído Sul de Minas Coffee++ 250g</t>
  </si>
  <si>
    <t>602883207585</t>
  </si>
  <si>
    <t>https://www.mambo.com.br/cafe-torrado-e-moido-mantiqueira-de-minas-coffee-250g/p</t>
  </si>
  <si>
    <t>https://mambodelivery.vteximg.com.br/arquivos/ids/228463/274756.png.png?v=638772107385300000</t>
  </si>
  <si>
    <t>19960</t>
  </si>
  <si>
    <t>Café Torrado e Moído Chapada de Minas Coffee++ 250g</t>
  </si>
  <si>
    <t>602883207554</t>
  </si>
  <si>
    <t>https://www.mambo.com.br/cafe-torrado-e-moido-chapada-de-minas-coffee-250g/p</t>
  </si>
  <si>
    <t>https://mambodelivery.vteximg.com.br/arquivos/ids/228464/274757.png.png?v=638772109509730000</t>
  </si>
  <si>
    <t>20043</t>
  </si>
  <si>
    <t>Café Torrado e Moído Torra Média House Blend Starbucks 250g</t>
  </si>
  <si>
    <t>https://www.mambo.com.br/cafe-torrado-e-moido-torra-media-house-blend-starbucks-250g/p</t>
  </si>
  <si>
    <t>https://mambodelivery.vteximg.com.br/arquivos/ids/231047/762111364364.jpg.jpg?v=638803348537100000</t>
  </si>
  <si>
    <t>https://mambodelivery.vteximg.com.br/arquivos/ids/231048/762111364364_01.jpg.jpg?v=638803348537270000</t>
  </si>
  <si>
    <t>https://mambodelivery.vteximg.com.br/arquivos/ids/231049/762111364364_02.jpg.jpg?v=638803348537270000</t>
  </si>
  <si>
    <t>20126</t>
  </si>
  <si>
    <t>Café em Grãos Italiano Colombia Compagnia Dell Arabica Corsini 250g</t>
  </si>
  <si>
    <t>8001684910779</t>
  </si>
  <si>
    <t>https://www.mambo.com.br/cafe-em-graos-italiano-colombia-compagnia-dell-arabica-corsini-250g/p</t>
  </si>
  <si>
    <t>https://mambodelivery.vteximg.com.br/arquivos/ids/226598/8001684910779-Colombia-Grao.jpg.jpg?v=638749833413970000</t>
  </si>
  <si>
    <t>https://mambodelivery.vteximg.com.br/arquivos/ids/226599/Corsini_1080x1080_Colombia_graos_01.jpg.jpg?v=638749834047370000</t>
  </si>
  <si>
    <t>https://mambodelivery.vteximg.com.br/arquivos/ids/226600/8001684910779-Corsini_1000x1000_Colombia_graos_02.jpg.jpg?v=638749833414430000</t>
  </si>
  <si>
    <t>https://mambodelivery.vteximg.com.br/arquivos/ids/226601/8001684910779-Corsini_1000x1000_Colombia_graos_03.jpg.jpg?v=638749833414430000</t>
  </si>
  <si>
    <t>20127</t>
  </si>
  <si>
    <t>Café com Leite Solúvel 3 Corações Lata 300g</t>
  </si>
  <si>
    <t>300</t>
  </si>
  <si>
    <t>https://www.mambo.com.br/cafe-com-leite-soluvel-3-coracoes-lata-300g/p</t>
  </si>
  <si>
    <t>https://mambodelivery.vteximg.com.br/arquivos/ids/201766/7896045111077_1.jpg?v=638369711087230000</t>
  </si>
  <si>
    <t>https://mambodelivery.vteximg.com.br/arquivos/ids/201767/7896045111077_2.jpg?v=638369711091130000</t>
  </si>
  <si>
    <t>20348</t>
  </si>
  <si>
    <t>Cápsula de Café Caseiro Intenso Dolce Gusto &amp; Nescafé 90g com 10 Unidades</t>
  </si>
  <si>
    <t>17.90</t>
  </si>
  <si>
    <t>https://www.mambo.com.br/capsula-de-cafe-caseiro-intenso-dolce-gusto---nescafe-90g-com-10-unidades/p</t>
  </si>
  <si>
    <t>https://mambodelivery.vteximg.com.br/arquivos/ids/219712/7891000586549-CafeemCapsulaNESCAFEDOLCEGUSTOCafeCaseiroIntenso10Capsulas90g-1.jpg?v=638594302624170000</t>
  </si>
  <si>
    <t>https://mambodelivery.vteximg.com.br/arquivos/ids/219713/7891000586549-CafeemCapsulaNESCAFEDOLCEGUSTOCafeCaseiroIntenso10Capsulas90g-1.jpg?v=638756560911870000</t>
  </si>
  <si>
    <t>https://mambodelivery.vteximg.com.br/arquivos/ids/219714/7891000586549-CafeemCapsulaNESCAFEDOLCEGUSTOCafeCaseiroIntenso10Capsulas90g-2.jpg?v=638756560911870000</t>
  </si>
  <si>
    <t>https://mambodelivery.vteximg.com.br/arquivos/ids/219715/7891000586549-CafeemCapsulaNESCAFEDOLCEGUSTOCafeCaseiroIntenso10Capsulas90g-3.jpg?v=638756560911870000</t>
  </si>
  <si>
    <t>https://mambodelivery.vteximg.com.br/arquivos/ids/219716/7891000586549-CafeemCapsulaNESCAFEDOLCEGUSTOCafeCaseiroIntenso10Capsulas90g-4.jpg?v=638756560911870000</t>
  </si>
  <si>
    <t>https://mambodelivery.vteximg.com.br/arquivos/ids/219717/7891000586549-CafeemCapsulaNESCAFEDOLCEGUSTOCafeCaseiroIntenso10Capsulas90g-5.jpg?v=638756560912000000</t>
  </si>
  <si>
    <t>20349</t>
  </si>
  <si>
    <t>Cápsula de Café Espresso Intenso Dolce Gusto &amp; Nescafé 80g com 10 Unidades</t>
  </si>
  <si>
    <t>https://www.mambo.com.br/capsula-de-cafe-espresso-intenso-dolce-gusto---nescafe-80g-com-10-unidades/p</t>
  </si>
  <si>
    <t>https://mambodelivery.vteximg.com.br/arquivos/ids/219796/7891000243725-CafeemCapsulaNESCAFEDOLCEGUSTOEspressoIntenso10Capsulas-1.jpg?v=638594498077100000</t>
  </si>
  <si>
    <t>https://mambodelivery.vteximg.com.br/arquivos/ids/219797/7891000243725-CafeemCapsulaNESCAFEDOLCEGUSTOEspressoIntenso10Capsulas-1.jpg?v=638756561389070000</t>
  </si>
  <si>
    <t>https://mambodelivery.vteximg.com.br/arquivos/ids/219798/7891000243725-CafeemCapsulaNESCAFEDOLCEGUSTOEspressoIntenso10Capsulas-2.jpg?v=638756561389070000</t>
  </si>
  <si>
    <t>https://mambodelivery.vteximg.com.br/arquivos/ids/219799/7891000243725-CafeemCapsulaNESCAFEDOLCEGUSTOEspressoIntenso10Capsulas-3.jpg?v=638756561389200000</t>
  </si>
  <si>
    <t>https://mambodelivery.vteximg.com.br/arquivos/ids/219800/7891000243725-CafeemCapsulaNESCAFEDOLCEGUSTOEspressoIntenso10Capsulas-8.jpg?v=638756561389200000</t>
  </si>
  <si>
    <t>https://mambodelivery.vteximg.com.br/arquivos/ids/219801/7891000243725-CafeemCapsulaNESCAFEDOLCEGUSTOEspressoIntenso10Capsulas-9.jpg?v=638756561389200000</t>
  </si>
  <si>
    <t>20350</t>
  </si>
  <si>
    <t>Cápsula de Café Au Lait Dolce Gusto &amp; Nescafé 100g com 10 Unidades</t>
  </si>
  <si>
    <t>21.90</t>
  </si>
  <si>
    <t>https://www.mambo.com.br/capsula-de-cafe-au-lait-dolce-gusto---nescafe-100g-com-10-unidades/p</t>
  </si>
  <si>
    <t>https://mambodelivery.vteximg.com.br/arquivos/ids/219612/7891000243954-CafeemCapsulaNESCAFEDOLCEGUSTOCafeAuLait10Capsulas-1.jpg?v=638594293488100000</t>
  </si>
  <si>
    <t>https://mambodelivery.vteximg.com.br/arquivos/ids/219613/7891000243954-CafeemCapsulaNESCAFEDOLCEGUSTOCafeAuLait10Capsulas-1.jpg?v=638756561947570000</t>
  </si>
  <si>
    <t>https://mambodelivery.vteximg.com.br/arquivos/ids/219614/7891000243954-CafeemCapsulaNESCAFEDOLCEGUSTOCafeAuLait10Capsulas-2.jpg?v=638756561947570000</t>
  </si>
  <si>
    <t>https://mambodelivery.vteximg.com.br/arquivos/ids/219615/7891000243954-CafeemCapsulaNESCAFEDOLCEGUSTOCafeAuLait10Capsulas-3.jpg?v=638756561947570000</t>
  </si>
  <si>
    <t>https://mambodelivery.vteximg.com.br/arquivos/ids/219616/7891000243954-CafeemCapsulaNESCAFEDOLCEGUSTOCafeAuLait10Capsulas-4.jpg?v=638756561947570000</t>
  </si>
  <si>
    <t>https://mambodelivery.vteximg.com.br/arquivos/ids/219617/7891000243954-CafeemCapsulaNESCAFEDOLCEGUSTOCafeAuLait10Capsulas-9.jpg?v=638756561947570000</t>
  </si>
  <si>
    <t>20351</t>
  </si>
  <si>
    <t>Cápsula de Café Lungo Dolce Gusto &amp; Nescafé com 10 Unidades</t>
  </si>
  <si>
    <t>https://www.mambo.com.br/cafe-lungo-dolce-gusto-nescafe-10-capsulas/p</t>
  </si>
  <si>
    <t>https://mambodelivery.vteximg.com.br/arquivos/ids/219742/7891000147238-CafeemCapsulaNESCAFEDOLCEGUSTOLungo10Capsulas70g-1.jpg?v=638594402895370000</t>
  </si>
  <si>
    <t>https://mambodelivery.vteximg.com.br/arquivos/ids/219743/7891000147238-CafeemCapsulaNESCAFEDOLCEGUSTOLungo10Capsulas70g-1.jpg?v=638594402898500000</t>
  </si>
  <si>
    <t>https://mambodelivery.vteximg.com.br/arquivos/ids/219744/7891000147238-CafeemCapsulaNESCAFEDOLCEGUSTOLungo10Capsulas70g-2.jpg?v=638594402901500000</t>
  </si>
  <si>
    <t>https://mambodelivery.vteximg.com.br/arquivos/ids/219745/7891000147238-CafeemCapsulaNESCAFEDOLCEGUSTOLungo10Capsulas70g-3.jpg?v=638594402904630000</t>
  </si>
  <si>
    <t>https://mambodelivery.vteximg.com.br/arquivos/ids/219746/7891000147238-CafeemCapsulaNESCAFEDOLCEGUSTOLungo10Capsulas70g-4.jpg?v=638594402907930000</t>
  </si>
  <si>
    <t>https://mambodelivery.vteximg.com.br/arquivos/ids/219747/7891000147238-CafeemCapsulaNESCAFEDOLCEGUSTOLungo10Capsulas70g-7.jpg?v=638594402910600000</t>
  </si>
  <si>
    <t>20352</t>
  </si>
  <si>
    <t>Cápsula de Café Latte Macchiato Dolce Gusto &amp; Nescafé 112,5g com 10 Unidades</t>
  </si>
  <si>
    <t>112.5</t>
  </si>
  <si>
    <t>https://www.mambo.com.br/capsula-de-cafe-latte-macchiato-dolce-gusto---nescafe-112-5g-com-10-unidades/p</t>
  </si>
  <si>
    <t>https://mambodelivery.vteximg.com.br/arquivos/ids/219736/7891000388655-CafeemCapsulaNESCAFEDOLCEGUSTOLatteMacchiato10Capsulas1125g-1.jpg?v=638594387412870000</t>
  </si>
  <si>
    <t>https://mambodelivery.vteximg.com.br/arquivos/ids/219737/7891000388655-CafeemCapsulaNESCAFEDOLCEGUSTOLatteMacchiato10Capsulas1125g-1.jpg?v=638756562736170000</t>
  </si>
  <si>
    <t>https://mambodelivery.vteximg.com.br/arquivos/ids/219738/7891000388655-CafeemCapsulaNESCAFEDOLCEGUSTOLatteMacchiato10Capsulas1125g-2.jpg?v=638756562736970000</t>
  </si>
  <si>
    <t>https://mambodelivery.vteximg.com.br/arquivos/ids/219739/7891000388655-CafeemCapsulaNESCAFEDOLCEGUSTOLatteMacchiato10Capsulas1125g-3.jpg?v=638756562736970000</t>
  </si>
  <si>
    <t>https://mambodelivery.vteximg.com.br/arquivos/ids/219740/7891000388655-CafeemCapsulaNESCAFEDOLCEGUSTOLatteMacchiato10Capsulas1125g-4.jpg?v=638756562736970000</t>
  </si>
  <si>
    <t>https://mambodelivery.vteximg.com.br/arquivos/ids/219741/7891000388655-CafeemCapsulaNESCAFEDOLCEGUSTOLatteMacchiato10Capsulas1125g-8.jpg?v=638756562736970000</t>
  </si>
  <si>
    <t>20353</t>
  </si>
  <si>
    <t>Cápsula de Café Espresso Dolce Gusto &amp; Nescafé 60g com 10 Unidades</t>
  </si>
  <si>
    <t>60</t>
  </si>
  <si>
    <t>https://www.mambo.com.br/capsula-de-cafe-espresso-dolce-gusto---nescafe-60g-com-10-unidades/p</t>
  </si>
  <si>
    <t>https://mambodelivery.vteximg.com.br/arquivos/ids/219600/7891000243787-CafeemCapsulaNESCAFEDOLCEGUSTOEspresso10Capsulas-1.jpg?v=638594293281300000</t>
  </si>
  <si>
    <t>https://mambodelivery.vteximg.com.br/arquivos/ids/219601/7891000243787-CafeemCapsulaNESCAFEDOLCEGUSTOEspresso10Capsulas-1.jpg?v=638756563173270000</t>
  </si>
  <si>
    <t>https://mambodelivery.vteximg.com.br/arquivos/ids/219602/7891000243787-CafeemCapsulaNESCAFEDOLCEGUSTOEspresso10Capsulas-2.jpg?v=638756563173430000</t>
  </si>
  <si>
    <t>https://mambodelivery.vteximg.com.br/arquivos/ids/219603/7891000243787-CafeemCapsulaNESCAFEDOLCEGUSTOEspresso10Capsulas-3.jpg?v=638756563173430000</t>
  </si>
  <si>
    <t>https://mambodelivery.vteximg.com.br/arquivos/ids/219604/7891000243787-CafeemCapsulaNESCAFEDOLCEGUSTOEspresso10Capsulas-4.jpg?v=638756563173430000</t>
  </si>
  <si>
    <t>https://mambodelivery.vteximg.com.br/arquivos/ids/219605/7891000243787-CafeemCapsulaNESCAFEDOLCEGUSTOEspresso10Capsulas-5.jpg?v=638756563173430000</t>
  </si>
  <si>
    <t>20354</t>
  </si>
  <si>
    <t>Cápsula de Café Matinal Dolce Gusto &amp; Nescafé 80g com 10 Unidades</t>
  </si>
  <si>
    <t>https://www.mambo.com.br/capsula-de-cafe-matinal-dolce-gusto---nescafe-80g-com-10-unidades/p</t>
  </si>
  <si>
    <t>https://mambodelivery.vteximg.com.br/arquivos/ids/223165/7891000621981-CafeemCapsulaNESCAFEDOLCEGUSTOCaffeMatinal10Capsulas80g-1.jpg?v=638658268877770000</t>
  </si>
  <si>
    <t>https://mambodelivery.vteximg.com.br/arquivos/ids/223166/7891000621981-CafeemCapsulaNESCAFEDOLCEGUSTOCaffeMatinal10Capsulas80g-1.jpg?v=638756563545870000</t>
  </si>
  <si>
    <t>https://mambodelivery.vteximg.com.br/arquivos/ids/223167/7891000621981-CafeemCapsulaNESCAFEDOLCEGUSTOCaffeMatinal10Capsulas80g-2.jpg?v=638756563545870000</t>
  </si>
  <si>
    <t>https://mambodelivery.vteximg.com.br/arquivos/ids/223168/7891000621981-CafeemCapsulaNESCAFEDOLCEGUSTOCaffeMatinal10Capsulas80g-3.jpg?v=638756563545870000</t>
  </si>
  <si>
    <t>https://mambodelivery.vteximg.com.br/arquivos/ids/223169/7891000621981-CafeemCapsulaNESCAFEDOLCEGUSTOCaffeMatinal10Capsulas80g-4.jpg?v=638756563546030000</t>
  </si>
  <si>
    <t>https://mambodelivery.vteximg.com.br/arquivos/ids/223170/7891000621981-CafeemCapsulaNESCAFEDOLCEGUSTOCaffeMatinal10Capsulas80g-5.jpg?v=638756563546030000</t>
  </si>
  <si>
    <t>https://mambodelivery.vteximg.com.br/arquivos/ids/223171/7891000621981-CafeemCapsulaNESCAFEDOLCEGUSTOCaffeMatinal10Capsulas80g-6.jpg?v=638756563546030000</t>
  </si>
  <si>
    <t>https://mambodelivery.vteximg.com.br/arquivos/ids/223172/7891000621981-CafeemCapsulaNESCAFEDOLCEGUSTOCaffeMatinal10Capsulas80g-7.jpg?v=638756563546030000</t>
  </si>
  <si>
    <t>https://mambodelivery.vteximg.com.br/arquivos/ids/223173/7891000621981-CafeemCapsulaNESCAFEDOLCEGUSTOCaffeMatinal10Capsulas80g-8.jpg?v=638756563546030000</t>
  </si>
  <si>
    <t>20355</t>
  </si>
  <si>
    <t>Cápsula de Café Caseiro Dolce Gusto &amp; Nescafé 80g com 10 Unidades</t>
  </si>
  <si>
    <t>https://www.mambo.com.br/capsula-de-cafe-caseiro-dolce-gusto---nescafe-80g-com-10-unidades/p</t>
  </si>
  <si>
    <t>https://mambodelivery.vteximg.com.br/arquivos/ids/219645/7891000302750-CafeemCapsulaNescafeDolceGustoCAFECASEIRO10Capsulas80g-1.jpg?v=638594294496430000</t>
  </si>
  <si>
    <t>https://mambodelivery.vteximg.com.br/arquivos/ids/219646/7891000302750-CafeemCapsulaNescafeDolceGustoCAFECASEIRO10Capsulas80g-1.jpg?v=638756563879470000</t>
  </si>
  <si>
    <t>https://mambodelivery.vteximg.com.br/arquivos/ids/219647/7891000302750-CafeemCapsulaNescafeDolceGustoCAFECASEIRO10Capsulas80g-2.jpg?v=638756563879470000</t>
  </si>
  <si>
    <t>https://mambodelivery.vteximg.com.br/arquivos/ids/219648/7891000302750-CafeemCapsulaNescafeDolceGustoCAFECASEIRO10Capsulas80g-3.jpg?v=638756563879470000</t>
  </si>
  <si>
    <t>https://mambodelivery.vteximg.com.br/arquivos/ids/219649/7891000302750-CafeemCapsulaNescafeDolceGustoCAFECASEIRO10Capsulas80g-4.jpg?v=638756563879470000</t>
  </si>
  <si>
    <t>https://mambodelivery.vteximg.com.br/arquivos/ids/219650/7891000302750-CafeemCapsulaNescafeDolceGustoCAFECASEIRO10Capsulas80g-8.jpg?v=638756563879470000</t>
  </si>
  <si>
    <t>20359</t>
  </si>
  <si>
    <t>Café Torrado e Moído Rossa Lavazza 250g</t>
  </si>
  <si>
    <t>Lavazza</t>
  </si>
  <si>
    <t>8000070036116</t>
  </si>
  <si>
    <t>https://www.mambo.com.br/cafe-rossa-torrado-e-moido-lavazza-250g/p</t>
  </si>
  <si>
    <t>https://mambodelivery.vteximg.com.br/arquivos/ids/191733/cafe-rossa-torrado-e-moido-lavazza-250g.jpg?v=638173367635830000</t>
  </si>
  <si>
    <t>20471</t>
  </si>
  <si>
    <t>Creme Brulee Italle Caps C10 75g</t>
  </si>
  <si>
    <t>7898994826262</t>
  </si>
  <si>
    <t>https://www.mambo.com.br/creme-brulee-italle-caps-c10-75g-/p</t>
  </si>
  <si>
    <t>https://mambodelivery.vteximg.com.br/arquivos/ids/192305/275214---CREME-BRULEE-ITALLE-CAPS-C10-75G.jpg?v=638188286472500000</t>
  </si>
  <si>
    <t>20519</t>
  </si>
  <si>
    <t>Cápsula de Café Especial Geisha Intensidade 7 Coffee++ 50g com 10 Unidades</t>
  </si>
  <si>
    <t>602883207653</t>
  </si>
  <si>
    <t>https://www.mambo.com.br/capsula-de-cafe-especial-geisha-intensidade-7-coffee---50g-com-10-unidades/p</t>
  </si>
  <si>
    <t>https://mambodelivery.vteximg.com.br/arquivos/ids/192414/275345---CAFE-CAPS-COFFEE----GEISHA-50G.jpg?v=638193456289570000</t>
  </si>
  <si>
    <t>20520</t>
  </si>
  <si>
    <t>Café em Grãos Especial Geisha Coffee++ 250g</t>
  </si>
  <si>
    <t>602883207639</t>
  </si>
  <si>
    <t>44.99</t>
  </si>
  <si>
    <t>https://www.mambo.com.br/cafe-torrado-em-graos-especial-geisha-coffee-mais-250g/p</t>
  </si>
  <si>
    <t>https://mambodelivery.vteximg.com.br/arquivos/ids/228465/275346.png.png?v=638772110673370000</t>
  </si>
  <si>
    <t>20529</t>
  </si>
  <si>
    <t>Cápsula de Café Cerrado Mineiro 3 Corações com 10 Unidades</t>
  </si>
  <si>
    <t>16.98</t>
  </si>
  <si>
    <t>https://www.mambo.com.br/capsula-de-cafe-cerrado-mineiro-compativel-com-nespresso-3-coracoes-10-unid/p</t>
  </si>
  <si>
    <t>https://mambodelivery.vteximg.com.br/arquivos/ids/224602/1---67000cd8be3631001245f116_1.jpg?v=638688416319300000</t>
  </si>
  <si>
    <t>https://mambodelivery.vteximg.com.br/arquivos/ids/224603/2---67000cd9be3631001245f117_1.jpg?v=638688416373470000</t>
  </si>
  <si>
    <t>https://mambodelivery.vteximg.com.br/arquivos/ids/224604/3---67000cd9be3631001245f117_2.jpg?v=638688416501300000</t>
  </si>
  <si>
    <t>https://mambodelivery.vteximg.com.br/arquivos/ids/224605/4---67000cd9be3631001245f117_4.jpg?v=638688416578800000</t>
  </si>
  <si>
    <t>https://mambodelivery.vteximg.com.br/arquivos/ids/224607/_.jpg?v=638688417313370000</t>
  </si>
  <si>
    <t>20530</t>
  </si>
  <si>
    <t>Cápsula de Café Intenso 3 Corações com 10 Unidades</t>
  </si>
  <si>
    <t>https://www.mambo.com.br/capsula-de-cafe-intenso-compativel-com-nespresso-3-coracoes-10-unid/p</t>
  </si>
  <si>
    <t>https://mambodelivery.vteximg.com.br/arquivos/ids/224618/1---67000c8c9457790012317d7c_1.jpg?v=638688424831800000</t>
  </si>
  <si>
    <t>https://mambodelivery.vteximg.com.br/arquivos/ids/224619/2---67000c8e9457790012317d7f_1.jpg?v=638688424987300000</t>
  </si>
  <si>
    <t>https://mambodelivery.vteximg.com.br/arquivos/ids/224620/3---67000c8e9457790012317d7f_2.jpg?v=638688425079870000</t>
  </si>
  <si>
    <t>https://mambodelivery.vteximg.com.br/arquivos/ids/224621/4---67000c8e9457790012317d7f_4.jpg?v=638688425146330000</t>
  </si>
  <si>
    <t>https://mambodelivery.vteximg.com.br/arquivos/ids/224622/_.jpg?v=638688425315930000</t>
  </si>
  <si>
    <t>20531</t>
  </si>
  <si>
    <t>Cápsula de Café Mogiana Paulista 3 Corações com 10 Unidades</t>
  </si>
  <si>
    <t>https://www.mambo.com.br/capsula-de-cafe-mogiana-paulista-compativel-com-nespresso-3-coracoes-10-unid/p</t>
  </si>
  <si>
    <t>https://mambodelivery.vteximg.com.br/arquivos/ids/224608/1---67000d259457790012317d84_1.jpg?v=638688419047400000</t>
  </si>
  <si>
    <t>https://mambodelivery.vteximg.com.br/arquivos/ids/224609/2---67000d29be3631001245f119_1.jpg?v=638688419109500000</t>
  </si>
  <si>
    <t>https://mambodelivery.vteximg.com.br/arquivos/ids/224610/3---67000d29be3631001245f119_2.jpg?v=638688419185130000</t>
  </si>
  <si>
    <t>https://mambodelivery.vteximg.com.br/arquivos/ids/224611/4---67000d29be3631001245f119_4.jpg?v=638688419340600000</t>
  </si>
  <si>
    <t>https://mambodelivery.vteximg.com.br/arquivos/ids/224612/_.jpg?v=638688419590000000</t>
  </si>
  <si>
    <t>20532</t>
  </si>
  <si>
    <t>Cápsula de Café Orgânico 3 Corações com 10 Unidades</t>
  </si>
  <si>
    <t>https://www.mambo.com.br/capsula-de-cafe-organico-compativel-com-nespresso-3-coracoes-10-unid/p</t>
  </si>
  <si>
    <t>https://mambodelivery.vteximg.com.br/arquivos/ids/224613/1---67000d97be3631001245f11b_1.jpg?v=638755841574930000</t>
  </si>
  <si>
    <t>https://mambodelivery.vteximg.com.br/arquivos/ids/224614/2---67000d99be3631001245f11c_1.jpg?v=638755841574930000</t>
  </si>
  <si>
    <t>https://mambodelivery.vteximg.com.br/arquivos/ids/224615/3---67000d99be3631001245f11c_2.jpg?v=638755841574930000</t>
  </si>
  <si>
    <t>https://mambodelivery.vteximg.com.br/arquivos/ids/224616/4---67000d99be3631001245f11c_4.jpg?v=638755841574930000</t>
  </si>
  <si>
    <t>https://mambodelivery.vteximg.com.br/arquivos/ids/227062/7896045111305_6.jpg.jpg?v=638755841575070000</t>
  </si>
  <si>
    <t>20576</t>
  </si>
  <si>
    <t>Café Torrado e Moído Colina Juan Valdez 250g</t>
  </si>
  <si>
    <t>7707280880287</t>
  </si>
  <si>
    <t>53.98</t>
  </si>
  <si>
    <t>https://www.mambo.com.br/cafe-torrado-e-moido-colina-juan-valdez-250g/p</t>
  </si>
  <si>
    <t>https://mambodelivery.vteximg.com.br/arquivos/ids/231366/276049.jpg.jpg?v=638810922191830000</t>
  </si>
  <si>
    <t>20582</t>
  </si>
  <si>
    <t>Café Solúvel Liofilizado De Avelã Juan Valdez 95g</t>
  </si>
  <si>
    <t>95</t>
  </si>
  <si>
    <t>100.98</t>
  </si>
  <si>
    <t>https://www.mambo.com.br/cafe-soluvel-liofilizado-de-avela-juan-valdez-95g/p</t>
  </si>
  <si>
    <t>https://mambodelivery.vteximg.com.br/arquivos/ids/193231/cafe-soluvel-liofilizado-de-avela-juan-valdez-95g.jpg?v=638209568867170000</t>
  </si>
  <si>
    <t>20584</t>
  </si>
  <si>
    <t>Café Solúvel Liofilizado Vanicanela Juan Valdez 95g</t>
  </si>
  <si>
    <t>99.98</t>
  </si>
  <si>
    <t>https://www.mambo.com.br/cafe-soluvel-liofilizado-vanicanela-juan-valdez-95g/p</t>
  </si>
  <si>
    <t>https://mambodelivery.vteximg.com.br/arquivos/ids/193233/cafe-liofilizado-vanicanela-juan-valdez-95g.jpg?v=638209574949900000</t>
  </si>
  <si>
    <t>20585</t>
  </si>
  <si>
    <t>Café Liofilizado Clássico Juan Valdez 95g</t>
  </si>
  <si>
    <t>103.98</t>
  </si>
  <si>
    <t>https://www.mambo.com.br/cafe-liofilizado-classico-juan-valdez-95g/p</t>
  </si>
  <si>
    <t>https://mambodelivery.vteximg.com.br/arquivos/ids/193234/cafe-liofilizado-classico-juan-valdez-95g.jpg?v=638209577296430000</t>
  </si>
  <si>
    <t>20588</t>
  </si>
  <si>
    <t>Café Solúvel Liofilizado Chocolate Juan Valdez 95g</t>
  </si>
  <si>
    <t>7707211631865</t>
  </si>
  <si>
    <t>https://www.mambo.com.br/cafe-soluvel-liofilizado-chocolate-juan-valdez-95g/p</t>
  </si>
  <si>
    <t>https://mambodelivery.vteximg.com.br/arquivos/ids/193237/cafe-liofilizado-chocolate-juan-valdez-95g.jpg?v=638209587525900000</t>
  </si>
  <si>
    <t>20904</t>
  </si>
  <si>
    <t>Cápsula de Café Dolce Gusto Caramelo Baggio 173g com 10 Unidades</t>
  </si>
  <si>
    <t>7898952174756</t>
  </si>
  <si>
    <t>173</t>
  </si>
  <si>
    <t>https://www.mambo.com.br/capsula-de-cafe-dolce-gusto-caramelo-baggio-173g-10-unidades/p</t>
  </si>
  <si>
    <t>https://mambodelivery.vteximg.com.br/arquivos/ids/194143/cafe-em-capsula-dolce-gusto-caramelo-baggio-173g.jpg?v=638227819826300000</t>
  </si>
  <si>
    <t>20945</t>
  </si>
  <si>
    <t>Cápsula de Café Cappuccino Doce de Leite Dolce Gusto &amp; Nescafé 170g com 10 Unidades</t>
  </si>
  <si>
    <t>7891000877456</t>
  </si>
  <si>
    <t>170</t>
  </si>
  <si>
    <t>https://www.mambo.com.br/capsula-de-cafe-cappuccino-doce-de-leite-dolce-gusto---nescafe-170g-com-10-unidades/p</t>
  </si>
  <si>
    <t>https://mambodelivery.vteximg.com.br/arquivos/ids/219718/7891000877456-CafeemCapsulaNESCAFEDOLCEGUSTOCappuccinoDocedeleite10Capsulas170g-1.jpg?v=638594303052800000</t>
  </si>
  <si>
    <t>https://mambodelivery.vteximg.com.br/arquivos/ids/219719/7891000877456-CafeemCapsulaNESCAFEDOLCEGUSTOCappuccinoDocedeleite10Capsulas170g-1.jpg?v=638756565154330000</t>
  </si>
  <si>
    <t>https://mambodelivery.vteximg.com.br/arquivos/ids/219720/7891000877456-CafeemCapsulaNESCAFEDOLCEGUSTOCappuccinoDocedeleite10Capsulas170g-2.jpg?v=638756565154330000</t>
  </si>
  <si>
    <t>https://mambodelivery.vteximg.com.br/arquivos/ids/219721/7891000877456-CafeemCapsulaNESCAFEDOLCEGUSTOCappuccinoDocedeleite10Capsulas170g-3.jpg?v=638756565154330000</t>
  </si>
  <si>
    <t>https://mambodelivery.vteximg.com.br/arquivos/ids/219722/7891000877456-CafeemCapsulaNESCAFEDOLCEGUSTOCappuccinoDocedeleite10Capsulas170g-4.jpg?v=638756565154330000</t>
  </si>
  <si>
    <t>https://mambodelivery.vteximg.com.br/arquivos/ids/219723/7891000877456-CafeemCapsulaNESCAFEDOLCEGUSTOCappuccinoDocedeleite10Capsulas170g-7.jpg?v=638756565154330000</t>
  </si>
  <si>
    <t>20947</t>
  </si>
  <si>
    <t>Cápsula de Café Frappê Dolce Gusto &amp; Nescafé 135g com 10 Unidades</t>
  </si>
  <si>
    <t>7891000912645</t>
  </si>
  <si>
    <t>135</t>
  </si>
  <si>
    <t>https://www.mambo.com.br/capsula-de-cafe-frappe-dolce-gusto-nescafe-135g-10-unidades/p</t>
  </si>
  <si>
    <t>https://mambodelivery.vteximg.com.br/arquivos/ids/219730/7891000912645-CafeNESCAFEDOLCEGUSTOFrappe10Capsulas135g.jpg?v=638594386984300000</t>
  </si>
  <si>
    <t>https://mambodelivery.vteximg.com.br/arquivos/ids/219731/7891000912645-CafeemCapsulaNESCAFEDOLCEGUSTOFrappe10Capsulas135g-1.jpg?v=638594386987870000</t>
  </si>
  <si>
    <t>https://mambodelivery.vteximg.com.br/arquivos/ids/219732/7891000912645-CafeemCapsulaNESCAFEDOLCEGUSTOFrappe10Capsulas135g-1.jpg?v=638594386991330000</t>
  </si>
  <si>
    <t>https://mambodelivery.vteximg.com.br/arquivos/ids/219733/7891000912645-CafeemCapsulaNESCAFEDOLCEGUSTOFrappe10Capsulas135g-4.jpg?v=638594386994900000</t>
  </si>
  <si>
    <t>https://mambodelivery.vteximg.com.br/arquivos/ids/219734/7891000912645-CafeemCapsulaNESCAFEDOLCEGUSTOFrappe10Capsulas135g-2.jpg?v=638594386998670000</t>
  </si>
  <si>
    <t>https://mambodelivery.vteximg.com.br/arquivos/ids/219735/7891000912645-CafeemCapsulaNESCAFEDOLCEGUSTOFrappe10Capsulas135g-3.jpg?v=638594387001330000</t>
  </si>
  <si>
    <t>20953</t>
  </si>
  <si>
    <t>Cápsula de Café Cappuccino Dolce Gusto &amp; Nescafé 117g com 10 Unidades</t>
  </si>
  <si>
    <t>7891000291863</t>
  </si>
  <si>
    <t>117</t>
  </si>
  <si>
    <t>https://www.mambo.com.br/capsula-de-cafe-cappuccino-dolce-gusto---nescafe-117g-com-10-unidades/p</t>
  </si>
  <si>
    <t>https://mambodelivery.vteximg.com.br/arquivos/ids/219590/7891000291863-CafeemCapsulaNESCAFEDOLCEGUSTOCappuccino10Capsulas-1.jpg?v=638594292956830000</t>
  </si>
  <si>
    <t>https://mambodelivery.vteximg.com.br/arquivos/ids/219591/7891000291863-CafeemCapsulaNESCAFEDOLCEGUSTOCappuccino10Capsulas-1.jpg?v=638756566120070000</t>
  </si>
  <si>
    <t>https://mambodelivery.vteximg.com.br/arquivos/ids/219592/7891000291863-CafeemCapsulaNESCAFEDOLCEGUSTOCappuccino10Capsulas-2.jpg?v=638756566120070000</t>
  </si>
  <si>
    <t>https://mambodelivery.vteximg.com.br/arquivos/ids/219593/7891000291863-CafeemCapsulaNESCAFEDOLCEGUSTOCappuccino10Capsulas-3.jpg?v=638756566120200000</t>
  </si>
  <si>
    <t>https://mambodelivery.vteximg.com.br/arquivos/ids/219594/7891000291863-CafeemCapsulaNESCAFEDOLCEGUSTOCappuccino10Capsulas-4.jpg?v=638756566120200000</t>
  </si>
  <si>
    <t>https://mambodelivery.vteximg.com.br/arquivos/ids/219595/7891000291863-CafeemCapsulaNESCAFEDOLCEGUSTOCappuccino10Capsulas-5.jpg?v=638756566120200000</t>
  </si>
  <si>
    <t>https://mambodelivery.vteximg.com.br/arquivos/ids/219596/7891000291863-CafeemCapsulaNESCAFEDOLCEGUSTOCappuccino10Capsulas-6.jpg?v=638756566120200000</t>
  </si>
  <si>
    <t>https://mambodelivery.vteximg.com.br/arquivos/ids/219597/7891000291863-CafeemCapsulaNESCAFEDOLCEGUSTOCappuccino10Capsulas-7.jpg?v=638756566120200000</t>
  </si>
  <si>
    <t>https://mambodelivery.vteximg.com.br/arquivos/ids/219598/7891000291863-CafeemCapsulaNESCAFEDOLCEGUSTOCappuccino10Capsulas-8.jpg?v=638756566120200000</t>
  </si>
  <si>
    <t>https://mambodelivery.vteximg.com.br/arquivos/ids/219599/7891000291863-CafeemCapsulaNESCAFEDOLCEGUSTOCappuccino10Capsulas-9.jpg?v=638756566120200000</t>
  </si>
  <si>
    <t>20962</t>
  </si>
  <si>
    <t>Cápsula de Café Vanilla Dolce Gusto &amp; Nescafé 110g com 10 Unidades</t>
  </si>
  <si>
    <t>https://www.mambo.com.br/capsula-de-cafe-vanilla-dolce-gusto---nescafe-110g-com-10-unidades/p</t>
  </si>
  <si>
    <t>https://mambodelivery.vteximg.com.br/arquivos/ids/219706/7891000907573-CafeNESCAFEDOLCEGUSTOCafeAuLaitBaunilha10Capsulas110g.jpg?v=638594299239400000</t>
  </si>
  <si>
    <t>https://mambodelivery.vteximg.com.br/arquivos/ids/219707/7891000907573-CafeemCapsulaNESCAFEDOLCEGUSTOCafeAuLaitBaunilha10Capsulas110g-1.jpg?v=638756566574770000</t>
  </si>
  <si>
    <t>https://mambodelivery.vteximg.com.br/arquivos/ids/219708/7891000907573-CafeemCapsulaNESCAFEDOLCEGUSTOCafeAuLaitBaunilha10Capsulas110g-1.jpg?v=638756566574770000</t>
  </si>
  <si>
    <t>https://mambodelivery.vteximg.com.br/arquivos/ids/219709/7891000907573-CafeemCapsulaNESCAFEDOLCEGUSTOCafeAuLaitBaunilha10Capsulas110g-2.jpg?v=638756566574770000</t>
  </si>
  <si>
    <t>https://mambodelivery.vteximg.com.br/arquivos/ids/219710/7891000907573-CafeemCapsulaNESCAFEDOLCEGUSTOCafeAuLaitBaunilha10Capsulas110g-3.jpg?v=638756566574770000</t>
  </si>
  <si>
    <t>https://mambodelivery.vteximg.com.br/arquivos/ids/219711/7891000907573-CafeemCapsulaNESCAFEDOLCEGUSTOCafeAuLaitBaunilha10Capsulas110g-10.jpg?v=638756566574770000</t>
  </si>
  <si>
    <t>20963</t>
  </si>
  <si>
    <t>Cápsula de Café Chococino Dolce Gusto &amp; Nescafé 160g 10 Unidades</t>
  </si>
  <si>
    <t>7891000355886</t>
  </si>
  <si>
    <t>160</t>
  </si>
  <si>
    <t>https://www.mambo.com.br/capsula-de-cafe-chococino-dolce-gusto---nescafe-160g-10-unidades/p</t>
  </si>
  <si>
    <t>https://mambodelivery.vteximg.com.br/arquivos/ids/219724/7891000355886-CafeemCapsulaNescafeDolceGustoCHOCOCINO10Capsulas160g-1.jpg?v=638594303471200000</t>
  </si>
  <si>
    <t>https://mambodelivery.vteximg.com.br/arquivos/ids/219725/7891000355886-CafeemCapsulaNescafeDolceGustoCHOCOCINO10Capsulas160g-1.jpg?v=638750659023870000</t>
  </si>
  <si>
    <t>https://mambodelivery.vteximg.com.br/arquivos/ids/219726/7891000355886-CafeemCapsulaNescafeDolceGustoCHOCOCINO10Capsulas160g-2.jpg?v=638750659023870000</t>
  </si>
  <si>
    <t>https://mambodelivery.vteximg.com.br/arquivos/ids/219727/7891000355886-CafeemCapsulaNescafeDolceGustoCHOCOCINO10Capsulas160g-3.jpg?v=638750659023870000</t>
  </si>
  <si>
    <t>https://mambodelivery.vteximg.com.br/arquivos/ids/219728/7891000355886-CafeemCapsulaNescafeDolceGustoCHOCOCINO10Capsulas160g-4.jpg?v=638750659023870000</t>
  </si>
  <si>
    <t>https://mambodelivery.vteximg.com.br/arquivos/ids/219729/7891000355886-CafeemCapsulaNescafeDolceGustoCHOCOCINO10Capsulas160g-9.jpg?v=638750659023870000</t>
  </si>
  <si>
    <t>21008</t>
  </si>
  <si>
    <t>Cápsula de Café Mochaccino Canela Dolce Gusto &amp; Nescafé 172g com 10 Unidades</t>
  </si>
  <si>
    <t>172</t>
  </si>
  <si>
    <t>https://www.mambo.com.br/cafe-mochaccino-canela-dolce-gusto-nescafe-10-capsulas/p</t>
  </si>
  <si>
    <t>https://mambodelivery.vteximg.com.br/arquivos/ids/219654/7891000294376-CafeemCapsulaNESCAFEDOLCEGUSTOMochaccinoCanela10Capsulas172g-1.jpg?v=638594294588070000</t>
  </si>
  <si>
    <t>https://mambodelivery.vteximg.com.br/arquivos/ids/219655/7891000294376-CafeemCapsulaNESCAFEDOLCEGUSTOMochaccinoCanela10Capsulas172g-1.jpg?v=638594294590570000</t>
  </si>
  <si>
    <t>https://mambodelivery.vteximg.com.br/arquivos/ids/219656/7891000294376-CafeemCapsulaNESCAFEDOLCEGUSTOMochaccinoCanela10Capsulas172g-2.jpg?v=638594294594170000</t>
  </si>
  <si>
    <t>https://mambodelivery.vteximg.com.br/arquivos/ids/219657/7891000294376-CafeemCapsulaNESCAFEDOLCEGUSTOMochaccinoCanela10Capsulas172g-3.jpg?v=638594294596800000</t>
  </si>
  <si>
    <t>https://mambodelivery.vteximg.com.br/arquivos/ids/219658/7891000294376-CafeemCapsulaNESCAFEDOLCEGUSTOMochaccinoCanela10Capsulas172g-4.jpg?v=638594294599130000</t>
  </si>
  <si>
    <t>https://mambodelivery.vteximg.com.br/arquivos/ids/219659/7891000294376-CafeemCapsulaNESCAFEDOLCEGUSTOMochaccinoCanela10Capsulas172g-9.jpg?v=638594294602100000</t>
  </si>
  <si>
    <t>21284</t>
  </si>
  <si>
    <t>Cápsula de Achocolatado Galak Nescafé Dolce Gusto 180g com 10 Unidades Cápsula de Chocolate Galak Dolce Gusto &amp; Nescafé 180g com 10 Unidades</t>
  </si>
  <si>
    <t>7891000260982</t>
  </si>
  <si>
    <t>https://www.mambo.com.br/capsula-de-chocolate-galak-dolce-gusto---nescafe-180g-com-10-unidades/p</t>
  </si>
  <si>
    <t>https://mambodelivery.vteximg.com.br/arquivos/ids/228071/7891000260982_1.jpg?v=638763893698100000</t>
  </si>
  <si>
    <t>https://mambodelivery.vteximg.com.br/arquivos/ids/228072/7891000260982_2.jpg?v=638763893701870000</t>
  </si>
  <si>
    <t>https://mambodelivery.vteximg.com.br/arquivos/ids/228073/7891000260982_7.jpg?v=638763893704500000</t>
  </si>
  <si>
    <t>https://mambodelivery.vteximg.com.br/arquivos/ids/228074/7891000260982_8.jpg?v=638763893707330000</t>
  </si>
  <si>
    <t>https://mambodelivery.vteximg.com.br/arquivos/ids/228075/7891000260982_9.jpg?v=638763893710300000</t>
  </si>
  <si>
    <t>https://mambodelivery.vteximg.com.br/arquivos/ids/228076/7891000260982_10.jpg?v=638763893713230000</t>
  </si>
  <si>
    <t>21348</t>
  </si>
  <si>
    <t>Café Solúvel Original Extra Forte Nescafé Sachê 40g</t>
  </si>
  <si>
    <t>9.69</t>
  </si>
  <si>
    <t>https://www.mambo.com.br/cafe-soluvel-original-nescafe-40g/p</t>
  </si>
  <si>
    <t>https://mambodelivery.vteximg.com.br/arquivos/ids/226771/7891000307120-CafeSoluvelNESCAFEOriginalExtraForteSachet40g-1.jpg?v=638751839183900000</t>
  </si>
  <si>
    <t>https://mambodelivery.vteximg.com.br/arquivos/ids/226772/7891000307120-CafeSoluvelNESCAFEOriginalExtraForteSachet40g-1.jpg?v=638751839186530000</t>
  </si>
  <si>
    <t>21359</t>
  </si>
  <si>
    <t>Café Solúvel Tradição Forte Nescafé Sachê 40g</t>
  </si>
  <si>
    <t>https://www.mambo.com.br/cafe-soluvel-tradicional-nescafe-40g/p</t>
  </si>
  <si>
    <t>https://mambodelivery.vteximg.com.br/arquivos/ids/242062/7891000307083-CafeSoluvelNESCAFETradicaoForteSachet40g-1.jpg?v=639044186529730000</t>
  </si>
  <si>
    <t>https://mambodelivery.vteximg.com.br/arquivos/ids/242063/7891000307083-CafeSoluvelNESCAFETradicaoForteSachet40g-1.jpg?v=639044186533230000</t>
  </si>
  <si>
    <t>21382</t>
  </si>
  <si>
    <t>Café Solúvel Cafeteria Pilão 40g</t>
  </si>
  <si>
    <t>12.98</t>
  </si>
  <si>
    <t>https://www.mambo.com.br/cafe-soluvel-cafeteria-pilao-40g/p</t>
  </si>
  <si>
    <t>https://mambodelivery.vteximg.com.br/arquivos/ids/232947/7896089088465.jpg?v=638844755172830000</t>
  </si>
  <si>
    <t>21386</t>
  </si>
  <si>
    <t>Café Solúvel Liofilizado Classique L'or Sachê 40g</t>
  </si>
  <si>
    <t>7896089089905</t>
  </si>
  <si>
    <t>https://www.mambo.com.br/cafe-soluvel-liofilizado-classique-l-or-sache-40g/p</t>
  </si>
  <si>
    <t>https://mambodelivery.vteximg.com.br/arquivos/ids/232875/7896089089905.jpg?v=638844632195570000</t>
  </si>
  <si>
    <t>21387</t>
  </si>
  <si>
    <t>Café Solúvel Intense Sachê L'Or 40g</t>
  </si>
  <si>
    <t>https://www.mambo.com.br/cafe-soluvel-intense-sache-lor-40g/p</t>
  </si>
  <si>
    <t>https://mambodelivery.vteximg.com.br/arquivos/ids/233112/276708.jpg?v=638847390996470000</t>
  </si>
  <si>
    <t>21388</t>
  </si>
  <si>
    <t>Café Solúvel Liofilizado Classique L'or Vidro 84g</t>
  </si>
  <si>
    <t>7896089089929</t>
  </si>
  <si>
    <t>84</t>
  </si>
  <si>
    <t>28.98</t>
  </si>
  <si>
    <t>https://www.mambo.com.br/cafe-soluvel-liofilizado-classique-l-or-vidro-84g/p</t>
  </si>
  <si>
    <t>https://mambodelivery.vteximg.com.br/arquivos/ids/232960/7896089089929.jpg?v=638844767982730000</t>
  </si>
  <si>
    <t>21394</t>
  </si>
  <si>
    <t>Café em Grãos Super Crema Coffee++ 1kg</t>
  </si>
  <si>
    <t>619205720004</t>
  </si>
  <si>
    <t>154.98</t>
  </si>
  <si>
    <t>https://www.mambo.com.br/cafe-super-crema-graos-coffee----1kg/p</t>
  </si>
  <si>
    <t>https://mambodelivery.vteximg.com.br/arquivos/ids/234345/276628.jpg?v=638864777897930000</t>
  </si>
  <si>
    <t>21397</t>
  </si>
  <si>
    <t>Cápsula de Café Super Crema Gãos Coffee++ 60g com 10 Unidades</t>
  </si>
  <si>
    <t>619205308387</t>
  </si>
  <si>
    <t>https://www.mambo.com.br/capsula-de-cafe-super-crema-gaos-coffee-60g-10-unidades/p</t>
  </si>
  <si>
    <t>https://mambodelivery.vteximg.com.br/arquivos/ids/195276/cafe-em-capsulas-super-crema-gaos-coffee-mais-60g.jpg?v=638247839311830000</t>
  </si>
  <si>
    <t>21398</t>
  </si>
  <si>
    <t>Café em Grãos Arara Coffee++ 250g</t>
  </si>
  <si>
    <t>618231106301</t>
  </si>
  <si>
    <t>https://www.mambo.com.br/cafe-em-graos-arara-coffee-mais-mais-250g/p</t>
  </si>
  <si>
    <t>https://mambodelivery.vteximg.com.br/arquivos/ids/227961/276638.png.png?v=638763404865700000</t>
  </si>
  <si>
    <t>21413</t>
  </si>
  <si>
    <t>Café Solúvel Matinal Sachê Nescafé 40g</t>
  </si>
  <si>
    <t>https://www.mambo.com.br/cafe-soluvel-matinal-sache-nescafe-40g/p</t>
  </si>
  <si>
    <t>https://mambodelivery.vteximg.com.br/arquivos/ids/226773/7891000307045-CafeSoluvelNESCAFEMatinalSuaveSachet40g-1.jpg?v=638751839273600000</t>
  </si>
  <si>
    <t>https://mambodelivery.vteximg.com.br/arquivos/ids/226774/7891000307045-CafeSoluvelNESCAFEMatinalSuaveSachet40g-1.jpg?v=638751839276100000</t>
  </si>
  <si>
    <t>21454</t>
  </si>
  <si>
    <t>Cápsula de Café Avelã Dolce Gusto &amp; Nescafé 170g com 10 Unidades</t>
  </si>
  <si>
    <t>7891000803370</t>
  </si>
  <si>
    <t>https://www.mambo.com.br/cafe-dolce-gusto-de-avela-nescafe-10-capsulas/p</t>
  </si>
  <si>
    <t>https://mambodelivery.vteximg.com.br/arquivos/ids/242079/7891000803370-CafeemCapsulaNescafeDolceGustoMOCHACCINOAVELA10Capsulas170g-1.jpg?v=639044186939600000</t>
  </si>
  <si>
    <t>https://mambodelivery.vteximg.com.br/arquivos/ids/242080/7891000803370-CafeemCapsulaNescafeDolceGustoMOCHACCINOAVELA10Capsulas170g-1.jpg?v=639044186943200000</t>
  </si>
  <si>
    <t>https://mambodelivery.vteximg.com.br/arquivos/ids/242081/7891000803370-CafeemCapsulaNescafeDolceGustoMOCHACCINOAVELA10Capsulas170g-2.jpg?v=639044186946230000</t>
  </si>
  <si>
    <t>https://mambodelivery.vteximg.com.br/arquivos/ids/242082/7891000803370-CafeemCapsulaNescafeDolceGustoMOCHACCINOAVELA10Capsulas170g-3.jpg?v=639044186949030000</t>
  </si>
  <si>
    <t>https://mambodelivery.vteximg.com.br/arquivos/ids/242083/7891000803370-CafeemCapsulaNescafeDolceGustoMOCHACCINOAVELA10Capsulas170g-4.jpg?v=639044186952000000</t>
  </si>
  <si>
    <t>21559</t>
  </si>
  <si>
    <t>Café em Grãos Cafeteria Pilão 500g</t>
  </si>
  <si>
    <t>7896089013917</t>
  </si>
  <si>
    <t>88.98</t>
  </si>
  <si>
    <t>https://www.mambo.com.br/cafe-em-graos-cafeteria-pilao-500g/p</t>
  </si>
  <si>
    <t>https://mambodelivery.vteximg.com.br/arquivos/ids/238842/277043.jpg?v=638960710407370000</t>
  </si>
  <si>
    <t>21578</t>
  </si>
  <si>
    <t>Café Torrado e Moído Individual Tradicional Drip Coffee 3 Corações Sachê 10g</t>
  </si>
  <si>
    <t>7896045108824</t>
  </si>
  <si>
    <t>https://www.mambo.com.br/cafe-torrado-e-moido-individual-tradicional-drip-coffee-3-coracoes-sache-10g/p</t>
  </si>
  <si>
    <t>https://mambodelivery.vteximg.com.br/arquivos/ids/226611/277007.png.png?v=638750459007900000</t>
  </si>
  <si>
    <t>https://mambodelivery.vteximg.com.br/arquivos/ids/226612/5---66d1b51c217ecd00128d19df_4.jpg?v=638750459008200000</t>
  </si>
  <si>
    <t>21650</t>
  </si>
  <si>
    <t>Cápsula de Café Espresso Gourmet Dark Roast 3 Corações com 10 Unidades</t>
  </si>
  <si>
    <t>7896045111251</t>
  </si>
  <si>
    <t>https://www.mambo.com.br/capsula-de-cafe-espresso-gourmet-dark-roast-3-coracoes-10-unid/p</t>
  </si>
  <si>
    <t>https://mambodelivery.vteximg.com.br/arquivos/ids/227861/276874.jpg.jpg?v=638762781087230000</t>
  </si>
  <si>
    <t>21652</t>
  </si>
  <si>
    <t>Café Solúvel Liofilizado 3 Corações Portinari Vidro 100g</t>
  </si>
  <si>
    <t>7896045110438</t>
  </si>
  <si>
    <t>https://www.mambo.com.br/cafe-soluvel-liofilizado-3-coracoes-portinari-vidro-100g/p</t>
  </si>
  <si>
    <t>https://mambodelivery.vteximg.com.br/arquivos/ids/196526/cafe-soluvel-liofilizado-portinari-3-coracoes-100g.jpg?v=638265770390470000</t>
  </si>
  <si>
    <t>21654</t>
  </si>
  <si>
    <t>Café Solúvel Cappuccino com Canela 3 Corações Sachê 20g</t>
  </si>
  <si>
    <t>7896005802427</t>
  </si>
  <si>
    <t>https://www.mambo.com.br/cafe-soluvel-cappuccino-com-canela-3-coracoes-sache-20g/p</t>
  </si>
  <si>
    <t>https://mambodelivery.vteximg.com.br/arquivos/ids/196530/cappuccino-de-canela-3-coracoes-sache-20g.jpg?v=638265776370370000</t>
  </si>
  <si>
    <t>21655</t>
  </si>
  <si>
    <t>Café Solúvel Cappuccino de Baunilha 3 Corações Sachê 20g</t>
  </si>
  <si>
    <t>7896005802403</t>
  </si>
  <si>
    <t>https://www.mambo.com.br/cafe-soluvel-cappuccino-de-baunilha-3-coracoes-sache-20g/p</t>
  </si>
  <si>
    <t>https://mambodelivery.vteximg.com.br/arquivos/ids/196531/cappuccino-de-baunilha-3-coracoes-sache-20g.jpg?v=638265780041470000</t>
  </si>
  <si>
    <t>21656</t>
  </si>
  <si>
    <t>Café Solúvel com Leite 3 Corações Sachê 20g</t>
  </si>
  <si>
    <t>7896005807521</t>
  </si>
  <si>
    <t>4.29</t>
  </si>
  <si>
    <t>https://www.mambo.com.br/cafe-soluvel-com-leite-3-coracoes-sache-20g/p</t>
  </si>
  <si>
    <t>https://mambodelivery.vteximg.com.br/arquivos/ids/214380/276880-Cafe-com-Leite-Soluvel-3-Corcoes-Sache-20g.jpg?v=638549222261870000</t>
  </si>
  <si>
    <t>https://mambodelivery.vteximg.com.br/arquivos/ids/214381/276880-Cafe-com-Leite-Soluvel-3-Corcoes-Sache-20g--2-.jpg?v=638761913486000000</t>
  </si>
  <si>
    <t>https://mambodelivery.vteximg.com.br/arquivos/ids/214382/276880-Cafe-com-Leite-Soluvel-3-Corcoes-Sache-20g--3-.jpg?v=638761913486170000</t>
  </si>
  <si>
    <t>https://mambodelivery.vteximg.com.br/arquivos/ids/214383/276880-Cafe-com-Leite-Soluvel-3-Corcoes-Sache-20g--4-.jpg?v=638761913486170000</t>
  </si>
  <si>
    <t>21657</t>
  </si>
  <si>
    <t>Café Solúvel Cappuccino Classic 3 Corações Sachê 20g</t>
  </si>
  <si>
    <t>7896005802373</t>
  </si>
  <si>
    <t>https://www.mambo.com.br/cafe-soluvel-cappuccino-classic-3-coracoes-sache-20g/p</t>
  </si>
  <si>
    <t>https://mambodelivery.vteximg.com.br/arquivos/ids/196533/cappuccino-classic-3-coracoes-sache-20g.jpg?v=638265781786970000</t>
  </si>
  <si>
    <t>21681</t>
  </si>
  <si>
    <t>Cápsula de Café Extremo Pilão 52g com 10 Unidades</t>
  </si>
  <si>
    <t>https://www.mambo.com.br/capsula-de-cafe-extremo-pilao-52g-10-unidades/p</t>
  </si>
  <si>
    <t>https://mambodelivery.vteximg.com.br/arquivos/ids/196573/cafe-em-capsula-extremo-pilao-52g.jpg?v=638265921657900000</t>
  </si>
  <si>
    <t>21682</t>
  </si>
  <si>
    <t>Café Solúvel Liofilizado Sul da Bahia L'or Vidro 84g</t>
  </si>
  <si>
    <t>7896089089899</t>
  </si>
  <si>
    <t>https://www.mambo.com.br/cafe-soluvel-liofilizado-sul-da-bahia-l-or-vidro-84g/p</t>
  </si>
  <si>
    <t>https://mambodelivery.vteximg.com.br/arquivos/ids/232874/7896089089899_99_1_1200_72_SRGB.jpg?v=638844628530470000</t>
  </si>
  <si>
    <t>21683</t>
  </si>
  <si>
    <t>Café Solúvel Cafeteria Pilão 70g</t>
  </si>
  <si>
    <t>70</t>
  </si>
  <si>
    <t>https://www.mambo.com.br/cafe-soluvel-cafeteria-pilao-70g/p</t>
  </si>
  <si>
    <t>https://mambodelivery.vteximg.com.br/arquivos/ids/232948/7896089088472.jpg?v=638844756051030000</t>
  </si>
  <si>
    <t>21684</t>
  </si>
  <si>
    <t>Café Solúvel Liofilizado Montanhas Capixabas L'or Vidro 84g</t>
  </si>
  <si>
    <t>https://www.mambo.com.br/cafe-soluvel-liofilizado-montanhas-capixabas-l-or-vidro-84g/p</t>
  </si>
  <si>
    <t>https://mambodelivery.vteximg.com.br/arquivos/ids/232880/7896089089882.jpg?v=638844637244070000</t>
  </si>
  <si>
    <t>21685</t>
  </si>
  <si>
    <t>Café Solúvel Liofilizado Intense L'Or Vidro 84g</t>
  </si>
  <si>
    <t>7896089089936</t>
  </si>
  <si>
    <t>https://www.mambo.com.br/cafe-soluvel-liofilizado-intense-l-or-vidro-84g/p</t>
  </si>
  <si>
    <t>https://mambodelivery.vteximg.com.br/arquivos/ids/196577/cafe-soluvel-intense-lor-84g.jpg?v=638265932971600000</t>
  </si>
  <si>
    <t>21686</t>
  </si>
  <si>
    <t>Café Solúvel Pilão Sachê 40g</t>
  </si>
  <si>
    <t>7896089088656</t>
  </si>
  <si>
    <t>10.98</t>
  </si>
  <si>
    <t>https://www.mambo.com.br/cafe-soluvel-pilao-sache-40g/p</t>
  </si>
  <si>
    <t>https://mambodelivery.vteximg.com.br/arquivos/ids/232959/7896089088656.jpg?v=638844766892930000</t>
  </si>
  <si>
    <t>21747</t>
  </si>
  <si>
    <t>Café Solúvel Gold Intensidade 8 Sachet Nescafé 40g</t>
  </si>
  <si>
    <t>7891000794135</t>
  </si>
  <si>
    <t>https://www.mambo.com.br/cafe-gold-equilibrado-nescafe-40g/p</t>
  </si>
  <si>
    <t>https://mambodelivery.vteximg.com.br/arquivos/ids/234180/7891000794135---Cafe-Soluvel-NESCAFE-GOLD-Intensidade-8-Sachet-40g---1.jpg?v=638862936799300000</t>
  </si>
  <si>
    <t>https://mambodelivery.vteximg.com.br/arquivos/ids/234181/7891000794135---Cafe-Soluvel-NESCAFE-GOLD-Intensidade-8-Sachet-40g---1.jpg?v=638862936799630000</t>
  </si>
  <si>
    <t>https://mambodelivery.vteximg.com.br/arquivos/ids/234182/7891000794135---Cafe-Soluvel-NESCAFE-GOLD-Intensidade-8-Sachet-40g---2.jpg?v=638862936799630000</t>
  </si>
  <si>
    <t>https://mambodelivery.vteximg.com.br/arquivos/ids/234183/7891000794135---Cafe-Soluvel-NESCAFE-GOLD-Intensidade-8-Sachet-40g---3.jpg?v=638862936799630000</t>
  </si>
  <si>
    <t>21749</t>
  </si>
  <si>
    <t>Café Solúvel Intensidade 9 Nescafé Gold Sachê 40g</t>
  </si>
  <si>
    <t>14.49</t>
  </si>
  <si>
    <t>https://www.mambo.com.br/cafe-soluvel-intensidade-9-nescafe-gold-sache-40g/p</t>
  </si>
  <si>
    <t>https://mambodelivery.vteximg.com.br/arquivos/ids/231203/7891000357064-CafeSoluvelNESCAFEGOLDIntensidade9Sachet40g-1.jpg?v=638804031209030000</t>
  </si>
  <si>
    <t>https://mambodelivery.vteximg.com.br/arquivos/ids/231204/image-to-upload-1.jpg?v=638804032082230000</t>
  </si>
  <si>
    <t>https://mambodelivery.vteximg.com.br/arquivos/ids/231205/7891000357064-CafeSoluvelNESCAFEGOLDIntensidade9Sachet40g-2.jpg?v=638804032082230000</t>
  </si>
  <si>
    <t>https://mambodelivery.vteximg.com.br/arquivos/ids/231206/7891000357064-CafeSoluvelNESCAFEGOLDIntensidade9Sachet40g-3.jpg?v=638804032082230000</t>
  </si>
  <si>
    <t>21750</t>
  </si>
  <si>
    <t>Café Solúvel Suave Gold Intensidade 6 Sachet Nescafé 40g</t>
  </si>
  <si>
    <t>https://www.mambo.com.br/cafe-soluvel-suave-gold-intensidade-6-sachet-nescafe-40g/p</t>
  </si>
  <si>
    <t>https://mambodelivery.vteximg.com.br/arquivos/ids/215243/7891000491249-CafeSoluvelNESCAFEGOLDIntensidade6Sachet40g-1.jpg?v=638554691128130000</t>
  </si>
  <si>
    <t>https://mambodelivery.vteximg.com.br/arquivos/ids/215244/7891000491249-CafeSoluvelNESCAFEGOLDIntensidade6Sachet40g-2.jpg?v=638772287410570000</t>
  </si>
  <si>
    <t>https://mambodelivery.vteximg.com.br/arquivos/ids/215245/7891000491249-CafeSoluvelNESCAFEGOLDIntensidade6Sachet40g-3.jpg?v=638772287410730000</t>
  </si>
  <si>
    <t>21816</t>
  </si>
  <si>
    <t>Cápsula de Achocolatado Nescau Nescafé &amp; Dolce Gusto com 10 Unidades</t>
  </si>
  <si>
    <t>7891000243688</t>
  </si>
  <si>
    <t>https://www.mambo.com.br/achocolatado-em-capsula-nescau-nescafe-dolce-gusto-com-10-capsulas/p</t>
  </si>
  <si>
    <t>https://mambodelivery.vteximg.com.br/arquivos/ids/219606/7891000243688-AchocolatadoemCapsulaNESCAFEDOLCEGUSTOSaborNescau10Capsulas-1.jpg?v=638594293374170000</t>
  </si>
  <si>
    <t>https://mambodelivery.vteximg.com.br/arquivos/ids/219607/7891000243688-AchocolatadoemCapsulaNESCAFEDOLCEGUSTOSaborNescau10Capsulas-1.jpg?v=638594293377600000</t>
  </si>
  <si>
    <t>https://mambodelivery.vteximg.com.br/arquivos/ids/219608/7891000243688-AchocolatadoemCapsulaNESCAFEDOLCEGUSTOSaborNescau10Capsulas-2.jpg?v=638594293380270000</t>
  </si>
  <si>
    <t>https://mambodelivery.vteximg.com.br/arquivos/ids/219609/7891000243688-AchocolatadoemCapsulaNESCAFEDOLCEGUSTOSaborNescau10Capsulas-3.jpg?v=638594293383700000</t>
  </si>
  <si>
    <t>https://mambodelivery.vteximg.com.br/arquivos/ids/219610/7891000243688-AchocolatadoemCapsulaNESCAFEDOLCEGUSTOSaborNescau10Capsulas-4.jpg?v=638594293386700000</t>
  </si>
  <si>
    <t>https://mambodelivery.vteximg.com.br/arquivos/ids/219611/7891000243688-AchocolatadoemCapsulaNESCAFEDOLCEGUSTOSaborNescau10Capsulas-5.jpg?v=638594293389500000</t>
  </si>
  <si>
    <t>21824</t>
  </si>
  <si>
    <t>Café Solúvel Descafeinado Nescafé 40g</t>
  </si>
  <si>
    <t>20.98</t>
  </si>
  <si>
    <t>https://www.mambo.com.br/cafe-soluvel-nescafe-descafeinado-40g/p</t>
  </si>
  <si>
    <t>https://mambodelivery.vteximg.com.br/arquivos/ids/216756/7891000184004-CafeNESCAFEDescafeinado40g-1.jpg?v=638579374466570000</t>
  </si>
  <si>
    <t>21984</t>
  </si>
  <si>
    <t>Café em Grãos Clássico Coffee++ 250g</t>
  </si>
  <si>
    <t>602883207509</t>
  </si>
  <si>
    <t>https://www.mambo.com.br/cafe-coffee-grao-classico-250g/p</t>
  </si>
  <si>
    <t>https://mambodelivery.vteximg.com.br/arquivos/ids/228466/275614.png.png?v=638772111676930000</t>
  </si>
  <si>
    <t>22239</t>
  </si>
  <si>
    <t>Café Torrado e Moído Intensidade Máxima Forza 3 Corações 250g</t>
  </si>
  <si>
    <t>https://www.mambo.com.br/cafe-torrado-e-moido-intensidade-maxima-forza-3-coracoes-250g/p</t>
  </si>
  <si>
    <t>https://mambodelivery.vteximg.com.br/arquivos/ids/214457/7896045111244Cafe-3-Coracoes-Intensidade-Maxima-Forza-250g.png?v=638549424151700000</t>
  </si>
  <si>
    <t>22339</t>
  </si>
  <si>
    <t>Café em Grãos Cerrado Mineiro Coffee++ 250g</t>
  </si>
  <si>
    <t>602883207608</t>
  </si>
  <si>
    <t>https://www.mambo.com.br/cafe-cerrado-mineiro-graos--250g/p</t>
  </si>
  <si>
    <t>https://mambodelivery.vteximg.com.br/arquivos/ids/228468/278302.png.png?v=638772114166100000</t>
  </si>
  <si>
    <t>22340</t>
  </si>
  <si>
    <t>Café em Grãos Chapada de Minas Coffee++ 250g</t>
  </si>
  <si>
    <t>602883207547</t>
  </si>
  <si>
    <t>https://www.mambo.com.br/cafe-chapada-de-minas-graos-250g/p</t>
  </si>
  <si>
    <t>https://mambodelivery.vteximg.com.br/arquivos/ids/201933/278301.jpg?v=638373172771400000</t>
  </si>
  <si>
    <t>22341</t>
  </si>
  <si>
    <t>Café em Grãos Sul de Minas Coffee++ 250g</t>
  </si>
  <si>
    <t>602883207578</t>
  </si>
  <si>
    <t>https://www.mambo.com.br/cafe-sul-de-minas-graos-250g/p</t>
  </si>
  <si>
    <t>https://mambodelivery.vteximg.com.br/arquivos/ids/201934/278198.jpg?v=638373173502470000</t>
  </si>
  <si>
    <t>22343</t>
  </si>
  <si>
    <t>Café Torrado e Moído Cerrado Mineiro Coffee++ 250g</t>
  </si>
  <si>
    <t>602883207615</t>
  </si>
  <si>
    <t>https://www.mambo.com.br/cafe-torrado-e-moido-cerrado-mineiro-coffee---250g/p</t>
  </si>
  <si>
    <t>https://mambodelivery.vteximg.com.br/arquivos/ids/228467/278195.png.png?v=638772112871500000</t>
  </si>
  <si>
    <t>22344</t>
  </si>
  <si>
    <t>Café Torrado e Moído Gourmet Torra Italiana Santa Monica 500g</t>
  </si>
  <si>
    <t>57.49</t>
  </si>
  <si>
    <t>https://www.mambo.com.br/cafe-torrado-e-moido-gourmet-torra-italiana-santa-monica-500g/p</t>
  </si>
  <si>
    <t>https://mambodelivery.vteximg.com.br/arquivos/ids/201937/278267.jpg?v=638373177910600000</t>
  </si>
  <si>
    <t>22348</t>
  </si>
  <si>
    <t>Cappuccino Clássico Santa Monica 200g</t>
  </si>
  <si>
    <t>7898372621502</t>
  </si>
  <si>
    <t>33.49</t>
  </si>
  <si>
    <t>https://www.mambo.com.br/cappuccino-classico-santa-monica-200g/p</t>
  </si>
  <si>
    <t>https://mambodelivery.vteximg.com.br/arquivos/ids/201946/278324.png?v=638373843860570000</t>
  </si>
  <si>
    <t>22355</t>
  </si>
  <si>
    <t>Cappuccino Lovers Cookies 'n' Cream 3 Corações Pote 200g</t>
  </si>
  <si>
    <t>7896045110643</t>
  </si>
  <si>
    <t>https://www.mambo.com.br/cappuccino-lovers-cookies--n--cream-3-coracoes-pote-200g/p</t>
  </si>
  <si>
    <t>https://mambodelivery.vteximg.com.br/arquivos/ids/224664/670686bc0ce7230019b656d0_1.jpg?v=638688474137130000</t>
  </si>
  <si>
    <t>22448</t>
  </si>
  <si>
    <t>Café Torrado e Moído Italiano a Vácuo Cafeteria Pilão 500g</t>
  </si>
  <si>
    <t>https://www.mambo.com.br/cafe-torrado-e-moido-italiano-a-vacuo-cafeteria-pilao-500g/p</t>
  </si>
  <si>
    <t>https://mambodelivery.vteximg.com.br/arquivos/ids/241517/278438.jpg?v=639015940760470000</t>
  </si>
  <si>
    <t>https://mambodelivery.vteximg.com.br/arquivos/ids/241518/278438--1-.jpg?v=639015940843530000</t>
  </si>
  <si>
    <t>22451</t>
  </si>
  <si>
    <t>Capuccino 3 Corações Caramelo 200g</t>
  </si>
  <si>
    <t>7896045110650</t>
  </si>
  <si>
    <t>https://www.mambo.com.br/capuccino-3-coracoes-caramelo-200g/p</t>
  </si>
  <si>
    <t>https://mambodelivery.vteximg.com.br/arquivos/ids/241813/278442_01.jpg?v=639033186442670000</t>
  </si>
  <si>
    <t>https://mambodelivery.vteximg.com.br/arquivos/ids/241814/278442_02.jpg?v=639033186442800000</t>
  </si>
  <si>
    <t>22841</t>
  </si>
  <si>
    <t>Cápsula de Café Aut Lait Desnatado Nescafé Dolce Gusto 100g com 10 Unidades</t>
  </si>
  <si>
    <t>https://www.mambo.com.br/capsula-de-cafe-aut-lait-desnatado-nescafe-dolce-gusto-100g-com-10-unidades/p</t>
  </si>
  <si>
    <t>https://mambodelivery.vteximg.com.br/arquivos/ids/230960/7891000513408_1.jpg?v=638803199337830000</t>
  </si>
  <si>
    <t>https://mambodelivery.vteximg.com.br/arquivos/ids/230961/7891000513408_2.jpg?v=638804000385770000</t>
  </si>
  <si>
    <t>https://mambodelivery.vteximg.com.br/arquivos/ids/230962/7891000513408_3.jpg?v=638804000385770000</t>
  </si>
  <si>
    <t>https://mambodelivery.vteximg.com.br/arquivos/ids/230963/7891000513408_4.jpg?v=638804000385930000</t>
  </si>
  <si>
    <t>https://mambodelivery.vteximg.com.br/arquivos/ids/230964/7891000513408_5.jpg?v=638804000385930000</t>
  </si>
  <si>
    <t>https://mambodelivery.vteximg.com.br/arquivos/ids/230965/7891000513408_6.jpg?v=638804000385930000</t>
  </si>
  <si>
    <t>https://mambodelivery.vteximg.com.br/arquivos/ids/230966/7891000513408_7.jpg?v=638804000385930000</t>
  </si>
  <si>
    <t>https://mambodelivery.vteximg.com.br/arquivos/ids/230967/7891000513408_8.jpg?v=638804000385930000</t>
  </si>
  <si>
    <t>https://mambodelivery.vteximg.com.br/arquivos/ids/230968/7891000513408_9.jpg?v=638804000385930000</t>
  </si>
  <si>
    <t>https://mambodelivery.vteximg.com.br/arquivos/ids/230969/7891000513408_10.jpg?v=638804000386100000</t>
  </si>
  <si>
    <t>22843</t>
  </si>
  <si>
    <t>Café Torrado e Moído Intenso Especial Orfeu 250g</t>
  </si>
  <si>
    <t>https://www.mambo.com.br/cafe-torrado-e-moido-intenso-especial-orfeu-250g/p</t>
  </si>
  <si>
    <t>https://mambodelivery.vteximg.com.br/arquivos/ids/227155/224300.png.png?v=638760134922330000</t>
  </si>
  <si>
    <t>22844</t>
  </si>
  <si>
    <t>Café Torrado e Moído a Vacúo Extra Forte Café do Ponto 500g</t>
  </si>
  <si>
    <t>https://www.mambo.com.br/cafe-torrado-e-moido-a-vacuo-extra-forte-cafe-do-ponto-500g/p</t>
  </si>
  <si>
    <t>https://mambodelivery.vteximg.com.br/arquivos/ids/227307/184723.png.png?v=638761935838800000</t>
  </si>
  <si>
    <t>23364</t>
  </si>
  <si>
    <t>Cápsula de Achocolate Sensação Dolce Gusto &amp; Nescafé 131g com 10 Unidades</t>
  </si>
  <si>
    <t>7891000533871</t>
  </si>
  <si>
    <t>131</t>
  </si>
  <si>
    <t>https://www.mambo.com.br/capsula-de-achocolate-sensacao-dolce-gusto---nescafe-131g-com-10-unidades/p</t>
  </si>
  <si>
    <t>https://mambodelivery.vteximg.com.br/arquivos/ids/223555/7891000533871-NescafeDolceGustoSensacao10Capsulas-1.jpg?v=638664167262430000</t>
  </si>
  <si>
    <t>https://mambodelivery.vteximg.com.br/arquivos/ids/223556/7891000533871-CapsuladeCafeNescafeDolceGustoSensacao10Unidades131g-1.jpg?v=638756577244200000</t>
  </si>
  <si>
    <t>23396</t>
  </si>
  <si>
    <t>Cápsula de Café Intenso Orgânico Native 50g com 10 Unidades</t>
  </si>
  <si>
    <t>https://www.mambo.com.br/capsula-de-cafe-intenso-organico-native-50g-com-10-unidades/p</t>
  </si>
  <si>
    <t>https://mambodelivery.vteximg.com.br/arquivos/ids/207073/214680-CAFE-NATIVE-ORG-CAPSULAS-50G-ITENSO.jpg?v=638459375787330000</t>
  </si>
  <si>
    <t>23472</t>
  </si>
  <si>
    <t>Café Solúvel Intensidade Máxima Nescafé 100g</t>
  </si>
  <si>
    <t>7891000874080</t>
  </si>
  <si>
    <t>https://www.mambo.com.br/cafe-soluvel-intensidade-maxima-nescafe-100g/p</t>
  </si>
  <si>
    <t>https://mambodelivery.vteximg.com.br/arquivos/ids/216814/7891000874080-NescafeIntensidadeMaxima100g-1.jpg?v=638579506570730000</t>
  </si>
  <si>
    <t>23720</t>
  </si>
  <si>
    <t>Cápsula de Café Italiano Espresso Dek Descafeina Lavazza 58g com 10 Unidades</t>
  </si>
  <si>
    <t>8000070053601</t>
  </si>
  <si>
    <t>58</t>
  </si>
  <si>
    <t>https://www.mambo.com.br/cafe-italiano-espresso-capsula-dek-descafeina-lavazza-58g/p</t>
  </si>
  <si>
    <t>https://mambodelivery.vteximg.com.br/arquivos/ids/208383/279630-Cafe-Italiano-Espresso-Capsula-Dek-Descafeina-Lavazza-58g.jpg?v=638502534818500000</t>
  </si>
  <si>
    <t>23778</t>
  </si>
  <si>
    <t>Cápsula de Café Italiano Espresso Lungo Lavazza 56g</t>
  </si>
  <si>
    <t>8000070053571</t>
  </si>
  <si>
    <t>56</t>
  </si>
  <si>
    <t>https://www.mambo.com.br/capsula-de-cafe-italiano-espresso-lungo-lavazza-56g/p</t>
  </si>
  <si>
    <t>https://mambodelivery.vteximg.com.br/arquivos/ids/208471/279657-Cafe-Italiano-em-Capsula-Espresso-Lungo-Lavazza-56g.jpg?v=638506179376070000</t>
  </si>
  <si>
    <t>23798</t>
  </si>
  <si>
    <t>Café Solúvel Tradicional 3 Corações Sache 40g</t>
  </si>
  <si>
    <t>7.99</t>
  </si>
  <si>
    <t>https://www.mambo.com.br/cafe-soluvel-tradicional-3-coracoes-sache-40g/p</t>
  </si>
  <si>
    <t>https://mambodelivery.vteximg.com.br/arquivos/ids/208721/279845-Cafe-Soluvel-Tradicional-Refil-3-Coracoes-40g.jpg?v=638506866395870000</t>
  </si>
  <si>
    <t>23799</t>
  </si>
  <si>
    <t>Café Solúvel Extra Forte Refil 3 Corações 40g</t>
  </si>
  <si>
    <t>https://www.mambo.com.br/cafe-soluvel-extra-forte-refil-3-coracoes-40g/p</t>
  </si>
  <si>
    <t>https://mambodelivery.vteximg.com.br/arquivos/ids/208720/279846-Cafe-Soluvel-Extra-Forte-Refil-3-Coracoes-40g.jpg?v=638506864707000000</t>
  </si>
  <si>
    <t>23909</t>
  </si>
  <si>
    <t>Capsúla de Café Descafeinado Baggio 50g</t>
  </si>
  <si>
    <t>https://www.mambo.com.br/cafe-em-capsula-descafeinado-baggio-50g/p</t>
  </si>
  <si>
    <t>https://mambodelivery.vteximg.com.br/arquivos/ids/208856/279693-Cafe-em-Capsula-Descafeinado-Baggio-50g.jpg?v=638509349378400000</t>
  </si>
  <si>
    <t>23928</t>
  </si>
  <si>
    <t>Café Torrado e Moído Italiano QualitÃ Rossa Lavazza 250g</t>
  </si>
  <si>
    <t>8000070035805</t>
  </si>
  <si>
    <t>https://www.mambo.com.br/cafe-moido-italiano-qualita-rossa-lavazza-250g/p</t>
  </si>
  <si>
    <t>https://mambodelivery.vteximg.com.br/arquivos/ids/208847/279716-Cafe-Moido-Italiano-Qualita-Rossa-Lavazza-250g.jpg?v=638508809858830000</t>
  </si>
  <si>
    <t>24315</t>
  </si>
  <si>
    <t>Café Torrado e Moído Gourmet Sul de Minas União 250g</t>
  </si>
  <si>
    <t>https://www.mambo.com.br/cafe-torrado-e-moido-gourmet-sul-de-minas-uniao-250g/p</t>
  </si>
  <si>
    <t>https://mambodelivery.vteximg.com.br/arquivos/ids/213049/280147-Cafe-Gourmet-Sul-De-Minas-Uniao-250g.jpg?v=638539705315600000</t>
  </si>
  <si>
    <t>24316</t>
  </si>
  <si>
    <t>Café Torrado e Moído Gourmet Cerrado Mineiro União 250g</t>
  </si>
  <si>
    <t>https://www.mambo.com.br/cafe-torrado-e-moido-gourmet-cerrado-mineiro-uniao-250g/p</t>
  </si>
  <si>
    <t>https://mambodelivery.vteximg.com.br/arquivos/ids/213048/280148-Cafe-Gourmet-Cerrado-Mineiro-Uniao-250g.jpg?v=638539704605070000</t>
  </si>
  <si>
    <t>24317</t>
  </si>
  <si>
    <t>Café Torrado e Moído Gourmet Mogiana Paulista União 250g</t>
  </si>
  <si>
    <t>https://www.mambo.com.br/cafe-torrado-e-moido-gourmet-mogiana-paulista-uniao-250g/p</t>
  </si>
  <si>
    <t>https://mambodelivery.vteximg.com.br/arquivos/ids/213047/280149-Cafe-Gourmet-Mogiana-Paulista-Uniao-250g.jpg?v=638539704186700000</t>
  </si>
  <si>
    <t>24320</t>
  </si>
  <si>
    <t>Café em Grãos Prima QualitÃ 500g</t>
  </si>
  <si>
    <t>7896046900274</t>
  </si>
  <si>
    <t>https://www.mambo.com.br/cafe-em-graos-prima-qualita-500g/p</t>
  </si>
  <si>
    <t>https://mambodelivery.vteximg.com.br/arquivos/ids/232131/280154--1-.jpg.jpg?v=638827544411130000</t>
  </si>
  <si>
    <t>24336</t>
  </si>
  <si>
    <t>Café Solúvel com Leite Vegano 3 Corações Lata 220g</t>
  </si>
  <si>
    <t>7896045111831</t>
  </si>
  <si>
    <t>220</t>
  </si>
  <si>
    <t>https://www.mambo.com.br/cafe-soluvel-com-leite-vegano-3-coracoes-lata-220g/p</t>
  </si>
  <si>
    <t>https://mambodelivery.vteximg.com.br/arquivos/ids/224658/1---64df8d9772dd660bf9ab5c2c_1.jpg?v=638688451634970000</t>
  </si>
  <si>
    <t>https://mambodelivery.vteximg.com.br/arquivos/ids/224659/2---64df8d98b9754d0c099ce746_1.jpg?v=638761925837600000</t>
  </si>
  <si>
    <t>24337</t>
  </si>
  <si>
    <t>Cápsula de Café Latte Vegetal Tres 3 Corações 110g com 10 Unidades</t>
  </si>
  <si>
    <t>7896045111794</t>
  </si>
  <si>
    <t>https://www.mambo.com.br/capsula-de-cafe-latte-vegetal-tres-3-coracoes-110g-com-10-unidades/p</t>
  </si>
  <si>
    <t>https://mambodelivery.vteximg.com.br/arquivos/ids/224662/1---64df91af72dd660bf9ab5c4e_1.jpg?v=638688458394200000</t>
  </si>
  <si>
    <t>https://mambodelivery.vteximg.com.br/arquivos/ids/224663/2---64df91b072dd660bf9ab5c4f_1.jpg?v=638755863122730000</t>
  </si>
  <si>
    <t>24341</t>
  </si>
  <si>
    <t>Café em Grãos Expresso Gourmet 3 Corações 500g</t>
  </si>
  <si>
    <t>7896045113033</t>
  </si>
  <si>
    <t>97.98</t>
  </si>
  <si>
    <t>https://www.mambo.com.br/cafe-torrado-em-graos-expresso-gourmet-3-coracoes-500g/p</t>
  </si>
  <si>
    <t>https://mambodelivery.vteximg.com.br/arquivos/ids/213257/280182-Cafe-Torrado-em-Graos-Expresso-Gourmet-3-Coracoes-500g.jpg?v=638542446776830000</t>
  </si>
  <si>
    <t>24344</t>
  </si>
  <si>
    <t>Cápsula de Café Espresso Colômbia 3 Corações 56g com 10 Unidades</t>
  </si>
  <si>
    <t>https://www.mambo.com.br/capsula-de-cafe-espresso-colombia-3-coracoes-56g-10-unidades/p</t>
  </si>
  <si>
    <t>https://mambodelivery.vteximg.com.br/arquivos/ids/224069/280185-Cafe-em-Capsula-Expresso-Colombia-3-Coracoes-56g-com-10-Unidades.jpg?v=638671780772270000</t>
  </si>
  <si>
    <t>24345</t>
  </si>
  <si>
    <t>Cápsula de Café Máximo Cafés Especiais 3 Corações 56g com 10 Unidades</t>
  </si>
  <si>
    <t>https://www.mambo.com.br/capsula-de-cafe-maximo-cafes-especiais-3-coracoes-56g-10-unidades/p</t>
  </si>
  <si>
    <t>https://mambodelivery.vteximg.com.br/arquivos/ids/213243/280186-Cafe-em-Capsula-Maximo-Cafes-Especiais-3-Coracoes-56g.jpg?v=638542439769270000</t>
  </si>
  <si>
    <t>24346</t>
  </si>
  <si>
    <t>Cápsula de Café Peru 3 Corações 56g com 10 Unidades</t>
  </si>
  <si>
    <t>https://www.mambo.com.br/capsula-de-cafe-peru-3-coracoes-56g-10-unidades/p</t>
  </si>
  <si>
    <t>https://mambodelivery.vteximg.com.br/arquivos/ids/224068/280187-Cafe-em-Capsula-Peru-3-Coracoes-56g-com-10-Unidades.jpg?v=638671776798830000</t>
  </si>
  <si>
    <t>24347</t>
  </si>
  <si>
    <t>Cápsula de Café Cappuccino Vegano Tres 3 Corações 110g com 10 Unidades</t>
  </si>
  <si>
    <t>7896045111787</t>
  </si>
  <si>
    <t>https://www.mambo.com.br/capsula-de-cafe-cappuccino-vegano-tres-3-coracoes-110g-com-10-unidades/p</t>
  </si>
  <si>
    <t>https://mambodelivery.vteximg.com.br/arquivos/ids/227077/7896045111787-Capsula-de-Cappuccino-Vegano-3-Coracoes-10-unid.jpg.jpg?v=638755856619500000</t>
  </si>
  <si>
    <t>https://mambodelivery.vteximg.com.br/arquivos/ids/227080/7896045111787-Capsula-de-Cappuccino-Vegano-3-Coracoes-10-unid--1-.jpg.jpg?v=638755856619500000</t>
  </si>
  <si>
    <t>24352</t>
  </si>
  <si>
    <t>Cápsula de Café Espresso Star Wars Mestre Yoda Tres 3 Corações 80g com 10 Unidades</t>
  </si>
  <si>
    <t>https://www.mambo.com.br/capsula-de-cafe-espresso-star-wars-mestre-yoda-tres-3-coracoes-80g-com-10-unidades/p</t>
  </si>
  <si>
    <t>https://mambodelivery.vteximg.com.br/arquivos/ids/224677/1---6654d940f2db6d27b2849da7_1.jpg?v=638688480682200000</t>
  </si>
  <si>
    <t>https://mambodelivery.vteximg.com.br/arquivos/ids/224678/2---6654d940f2db6d27b2849da7_2.jpg?v=638760995940000000</t>
  </si>
  <si>
    <t>https://mambodelivery.vteximg.com.br/arquivos/ids/224679/3---6654d940f2db6d27b2849da7_3.jpg?v=638760995940170000</t>
  </si>
  <si>
    <t>https://mambodelivery.vteximg.com.br/arquivos/ids/224680/4---6654d940f2db6d27b2849da7_4.jpg?v=638760995940170000</t>
  </si>
  <si>
    <t>24361</t>
  </si>
  <si>
    <t>Capsula de Café Espresso Star Wars Darth Vader 3 Corações 10 unidades</t>
  </si>
  <si>
    <t>https://www.mambo.com.br/capsula-de-cafe-espresso-star-wars-darth-vader-3-coracoes-10-unidades/p</t>
  </si>
  <si>
    <t>https://mambodelivery.vteximg.com.br/arquivos/ids/224673/1---6654d940f2db6d27b2849da6_1.jpg?v=638688479089500000</t>
  </si>
  <si>
    <t>https://mambodelivery.vteximg.com.br/arquivos/ids/224674/2---6654d940f2db6d27b2849da6_2.jpg?v=638760995720830000</t>
  </si>
  <si>
    <t>https://mambodelivery.vteximg.com.br/arquivos/ids/224675/3---6654d940f2db6d27b2849da6_3.jpg?v=638760995720830000</t>
  </si>
  <si>
    <t>https://mambodelivery.vteximg.com.br/arquivos/ids/224676/4---6654d940f2db6d27b2849da6_4.jpg?v=638760995720830000</t>
  </si>
  <si>
    <t>24363</t>
  </si>
  <si>
    <t>Café Solúvel Cappuccino Vegano 3 Corações Pote 140g</t>
  </si>
  <si>
    <t>7896045111824</t>
  </si>
  <si>
    <t>140</t>
  </si>
  <si>
    <t>https://www.mambo.com.br/cafe-soluvel-cappuccino-vegano-3-coracoes-pote-140g/p</t>
  </si>
  <si>
    <t>https://mambodelivery.vteximg.com.br/arquivos/ids/224660/1---64df8fee72dd660bf9ab5c41_1.jpg?v=638688453896300000</t>
  </si>
  <si>
    <t>https://mambodelivery.vteximg.com.br/arquivos/ids/224661/2---64df8fef72dd660bf9ab5c42_1.jpg?v=638761896843500000</t>
  </si>
  <si>
    <t>24402</t>
  </si>
  <si>
    <t>Café Solúvel Tradicional Iguaçu Refil 40g</t>
  </si>
  <si>
    <t>7896045102990</t>
  </si>
  <si>
    <t>8.69</t>
  </si>
  <si>
    <t>https://www.mambo.com.br/cafe-soluvel-tradicional-iguacu-refil-40g/p</t>
  </si>
  <si>
    <t>https://mambodelivery.vteximg.com.br/arquivos/ids/237258/280277.jpg?v=638931054001000000</t>
  </si>
  <si>
    <t>24403</t>
  </si>
  <si>
    <t>Café Solúvel Extra Forte Iguaçu Refil 40g</t>
  </si>
  <si>
    <t>7896045113026</t>
  </si>
  <si>
    <t>https://www.mambo.com.br/cafe-soluvel-extra-forte-iguacu-refil-40g/p</t>
  </si>
  <si>
    <t>https://mambodelivery.vteximg.com.br/arquivos/ids/213986/280278-Cafe-Soluvel-Extra-Forte-Iguacu-Refil-40g.jpg?v=638545790272730000</t>
  </si>
  <si>
    <t>24481</t>
  </si>
  <si>
    <t>Café Torrado e Moído Classico Roast Lata Illy 125g</t>
  </si>
  <si>
    <t>https://www.mambo.com.br/cafe-torrado-e-moido-classico-roast-lata-illy-125g/p</t>
  </si>
  <si>
    <t>https://mambodelivery.vteximg.com.br/arquivos/ids/215038/280330-Cafe-Classico-Torrado-e-Moido-Illy-125g.jpg?v=638551078200170000</t>
  </si>
  <si>
    <t>24485</t>
  </si>
  <si>
    <t>Café Torrado e Moído Intenso Illy 125g</t>
  </si>
  <si>
    <t>https://www.mambo.com.br/cafe-torrado-e-moido-intenso-illy-125g/p</t>
  </si>
  <si>
    <t>https://mambodelivery.vteximg.com.br/arquivos/ids/215034/280334-Cafe-Torrado-e-Moido-Intenso-Illy-125g.jpg?v=638551075503400000</t>
  </si>
  <si>
    <t>24525</t>
  </si>
  <si>
    <t>Café Torrado e Moído Acauã Varietais Orfeu 250g</t>
  </si>
  <si>
    <t>https://www.mambo.com.br/cafe-torrado-e-moido-acaua-varietais-orfeu-250g/p</t>
  </si>
  <si>
    <t>https://mambodelivery.vteximg.com.br/arquivos/ids/215291/280373-Cafe-Moido-Acaua-Orfeu-250g.jpg?v=638556313885500000</t>
  </si>
  <si>
    <t>24527</t>
  </si>
  <si>
    <t>Café em Grãos Japy Varietais Orfeu 250g</t>
  </si>
  <si>
    <t>https://www.mambo.com.br/cafe-em-graos-japy-varietais-orfeu-250g/p</t>
  </si>
  <si>
    <t>https://mambodelivery.vteximg.com.br/arquivos/ids/215289/280375-Cafe-em-Graos-Japy-Orfeu-250g.jpg?v=638556312745170000</t>
  </si>
  <si>
    <t>24528</t>
  </si>
  <si>
    <t>Cápsula de Café Arara Orfeu 50g com 10 Unidades</t>
  </si>
  <si>
    <t>https://www.mambo.com.br/capsula-de-cafe-arara-orfeu-50g-10-unidades/p</t>
  </si>
  <si>
    <t>https://mambodelivery.vteximg.com.br/arquivos/ids/215288/280376-Cafe-em-Capsula-Arara-Orfeu-50g.jpg?v=638556311355030000</t>
  </si>
  <si>
    <t>24529</t>
  </si>
  <si>
    <t>Café em Grãos Acauã Varietais Orfeu 250g</t>
  </si>
  <si>
    <t>https://www.mambo.com.br/cafe-em-graos-acaua-varietais-orfeu-250g/p</t>
  </si>
  <si>
    <t>https://mambodelivery.vteximg.com.br/arquivos/ids/228479/280377.png.png?v=638772957540970000</t>
  </si>
  <si>
    <t>24530</t>
  </si>
  <si>
    <t>Cápsula de Café Japi Orfeu 50g com 10 Unidades</t>
  </si>
  <si>
    <t>https://www.mambo.com.br/capsula-de-cafe-japi-orfeu-50g-10-unidades/p</t>
  </si>
  <si>
    <t>https://mambodelivery.vteximg.com.br/arquivos/ids/215286/280379-Cafe-em-Capsula-Japi-Orfeu-50g.jpg?v=638556310192100000</t>
  </si>
  <si>
    <t>24531</t>
  </si>
  <si>
    <t>Café Torrado e Moído Japy Varietais Orfeu 250g</t>
  </si>
  <si>
    <t>https://www.mambo.com.br/cafe-torrado-e-moido-japy-varietais-orfeu-250g/p</t>
  </si>
  <si>
    <t>https://mambodelivery.vteximg.com.br/arquivos/ids/215285/280380-Cafe-Moido-Japi-Orfeu-250g.jpg?v=638556309668730000</t>
  </si>
  <si>
    <t>24532</t>
  </si>
  <si>
    <t>Café em Grãos Arara Varietais Orfeu 250g</t>
  </si>
  <si>
    <t>https://www.mambo.com.br/cafe-em-graos-arara-varietais-orfeu-250g/p</t>
  </si>
  <si>
    <t>https://mambodelivery.vteximg.com.br/arquivos/ids/215284/280381-Cafe-em-Graos-Arara-Orfeu-250g.jpg?v=638556309148500000</t>
  </si>
  <si>
    <t>24533</t>
  </si>
  <si>
    <t>Cápsula de Café Acauã Orfeu 50g com 10 Unidades</t>
  </si>
  <si>
    <t>https://www.mambo.com.br/capsula-de-cafe-acaua-orfeu-50g-10-unidades/p</t>
  </si>
  <si>
    <t>https://mambodelivery.vteximg.com.br/arquivos/ids/215283/280382-Cafe-em-Capsula-Acaua-Orfeu-50g.jpg?v=638556308732700000</t>
  </si>
  <si>
    <t>24549</t>
  </si>
  <si>
    <t>Café Torrado e Moído Arara Varietais Orfeu 250g</t>
  </si>
  <si>
    <t>49.98</t>
  </si>
  <si>
    <t>https://www.mambo.com.br/cafe-torrado-e-moido-arara-varietais-orfeu-250g/p</t>
  </si>
  <si>
    <t>https://mambodelivery.vteximg.com.br/arquivos/ids/215267/280378-Cafe-Moido-Arara-Orfeu-250g.jpg?v=638556293933870000</t>
  </si>
  <si>
    <t>24596</t>
  </si>
  <si>
    <t>Café Torrado e Móido Individual Florada Premiada Drip Coffee 3 Corações Sachê 10g</t>
  </si>
  <si>
    <t>7896045103720</t>
  </si>
  <si>
    <t>https://www.mambo.com.br/cafe-torrado-e-moido-individual-florada-premiada-drip-coffee-3-coracoes-sache-10g/p</t>
  </si>
  <si>
    <t>https://mambodelivery.vteximg.com.br/arquivos/ids/219926/280447-cafe-gourmet-drip-florada-3-coracoes-sache-de-10g.jpg?v=638597575315830000</t>
  </si>
  <si>
    <t>24749</t>
  </si>
  <si>
    <t>Cápsula de Café Farmers Origins Andes Nescafé 44g com 10 Unidades</t>
  </si>
  <si>
    <t>44</t>
  </si>
  <si>
    <t>https://www.mambo.com.br/capsula-de-cafe-farmers-origins-andes-nescafe-44g-com-10-unidades/p</t>
  </si>
  <si>
    <t>https://mambodelivery.vteximg.com.br/arquivos/ids/231152/8445291159693-CafeemCapsulaNescafeFarmersOriginsAndes10Capsulas44g-1.jpg?v=638804007554970000</t>
  </si>
  <si>
    <t>https://mambodelivery.vteximg.com.br/arquivos/ids/231153/8445291159693-CafeemCapsulaNescafeFarmersOriginsAndes10Capsulas44g-2.jpg?v=638804008705900000</t>
  </si>
  <si>
    <t>https://mambodelivery.vteximg.com.br/arquivos/ids/231154/8445291159693-CafeemCapsulaNescafeFarmersOriginsAndes10Capsulas44g-3.jpg?v=638804008705900000</t>
  </si>
  <si>
    <t>https://mambodelivery.vteximg.com.br/arquivos/ids/231155/8445291159693-CafeemCapsulaNescafeFarmersOriginsAndes10Capsulas44g-4.jpg?v=638804008705900000</t>
  </si>
  <si>
    <t>https://mambodelivery.vteximg.com.br/arquivos/ids/231156/8445291159693-CafeemCapsulaNescafeFarmersOriginsAndes10Capsulas44g-5.jpg?v=638804008705900000</t>
  </si>
  <si>
    <t>https://mambodelivery.vteximg.com.br/arquivos/ids/231157/8445291159693-CafeemCapsulaNescafeFarmersOriginsAndes10Capsulas44g-6.jpg?v=638804008705900000</t>
  </si>
  <si>
    <t>https://mambodelivery.vteximg.com.br/arquivos/ids/231158/8445291159693-CafeemCapsulaNescafeFarmersOriginsAndes10Capsulas44g-7.jpg?v=638804008706030000</t>
  </si>
  <si>
    <t>https://mambodelivery.vteximg.com.br/arquivos/ids/231159/8445291159693-CafeemCapsulaNescafeFarmersOriginsAndes10Capsulas44g-8.jpg?v=638804008706030000</t>
  </si>
  <si>
    <t>https://mambodelivery.vteximg.com.br/arquivos/ids/231160/8445291159693-CafeemCapsulaNescafeFarmersOriginsAndes10Capsulas44g-9.jpg?v=638804008706030000</t>
  </si>
  <si>
    <t>https://mambodelivery.vteximg.com.br/arquivos/ids/231161/8445291159693-CafeemCapsulaNescafeFarmersOriginsAndes10Capsulas44g-1.jpg?v=638804008706030000</t>
  </si>
  <si>
    <t>24751</t>
  </si>
  <si>
    <t>Cápsula de Café Cappuccino Starbucks 100g com 10 Unidades</t>
  </si>
  <si>
    <t>7891000592007</t>
  </si>
  <si>
    <t>https://www.mambo.com.br/capsula-de-cafe-cappuccino-starbucks-100g-10-unidades/p</t>
  </si>
  <si>
    <t>https://mambodelivery.vteximg.com.br/arquivos/ids/242052/image-to-upload-0.jpg?v=639044181193700000</t>
  </si>
  <si>
    <t>https://mambodelivery.vteximg.com.br/arquivos/ids/242053/image-to-upload-1.jpg?v=639044181198400000</t>
  </si>
  <si>
    <t>https://mambodelivery.vteximg.com.br/arquivos/ids/242054/7891000592007-Starbucks%C3%82%C2%AECappuccinoByNescafe%C3%82%C2%AEDolceGusto%C3%82%C2%AE-10Capsulas-1.jpg?v=639044181201930000</t>
  </si>
  <si>
    <t>https://mambodelivery.vteximg.com.br/arquivos/ids/242055/7891000592007-Starbucks%C3%82%C2%AECappuccinoByNescafe%C3%82%C2%AEDolceGusto%C3%82%C2%AE-10Capsulas-2.jpg?v=639044181205230000</t>
  </si>
  <si>
    <t>https://mambodelivery.vteximg.com.br/arquivos/ids/242056/7891000592007-Starbucks%C3%82%C2%AECappuccinoByNescafe%C3%82%C2%AEDolceGusto%C3%82%C2%AE-10Capsulas-4.jpg?v=639044181208470000</t>
  </si>
  <si>
    <t>24752</t>
  </si>
  <si>
    <t>Cápsula de Café Espresso Colombia Starbucks com 10 Cápsulas</t>
  </si>
  <si>
    <t>https://www.mambo.com.br/capsula-de-cafe-espresso-colombia-starbucks-com-10-capsulas/p</t>
  </si>
  <si>
    <t>https://mambodelivery.vteximg.com.br/arquivos/ids/216736/280622-Cafe-em-Capsula-Colombia-Starbucks-55g-com-10-Capsulas.jpg?v=638578637254670000</t>
  </si>
  <si>
    <t>24754</t>
  </si>
  <si>
    <t>Cápsula de Café Americano House Blend Starbucks 85g com 10 Unidades</t>
  </si>
  <si>
    <t>7891000757260</t>
  </si>
  <si>
    <t>85</t>
  </si>
  <si>
    <t>https://www.mambo.com.br/capsula-de-cafe-americano-house-blend-starbucks-85g-com-10-unidades/p</t>
  </si>
  <si>
    <t>https://mambodelivery.vteximg.com.br/arquivos/ids/231026/7891000757260-Starbucks%C3%82%C2%AEAmericanoHouseBlendByNescafe%C3%82%C2%AEDolceGusto%C3%82%C2%AE-10Capsulas-10.jpg?v=638803340963270000</t>
  </si>
  <si>
    <t>https://mambodelivery.vteximg.com.br/arquivos/ids/231027/7891000757260_01.jpg?v=638803340963730000</t>
  </si>
  <si>
    <t>https://mambodelivery.vteximg.com.br/arquivos/ids/231028/7891000757260-Starbucks%C3%82%C2%AEAmericanoHouseBlendByNescafe%C3%82%C2%AEDolceGusto%C3%82%C2%AE-10Capsulas-1.jpg?v=638803340963870000</t>
  </si>
  <si>
    <t>https://mambodelivery.vteximg.com.br/arquivos/ids/231029/7891000757260-Starbucks%C3%82%C2%AEAmericanoHouseBlendByNescafe%C3%82%C2%AEDolceGusto%C3%82%C2%AE-10Capsulas-2.jpg?v=638803340963870000</t>
  </si>
  <si>
    <t>https://mambodelivery.vteximg.com.br/arquivos/ids/231030/7891000757260-Starbucks%C3%82%C2%AEAmericanoHouseBlendByNescafe%C3%82%C2%AEDolceGusto%C3%82%C2%AE-10Capsulas-3.jpg?v=638803340963870000</t>
  </si>
  <si>
    <t>https://mambodelivery.vteximg.com.br/arquivos/ids/231031/7891000757260-Starbucks%C3%82%C2%AEAmericanoHouseBlendByNescafe%C3%82%C2%AEDolceGusto%C3%82%C2%AE-10Capsulas-4.jpg?v=638803340963870000</t>
  </si>
  <si>
    <t>https://mambodelivery.vteximg.com.br/arquivos/ids/231032/7891000757260-Starbucks%C3%82%C2%AEAmericanoHouseBlendByNescafe%C3%82%C2%AEDolceGusto%C3%82%C2%AE-10Capsulas-8.jpg?v=638803340964030000</t>
  </si>
  <si>
    <t>https://mambodelivery.vteximg.com.br/arquivos/ids/231033/7891000757260-Starbucks%C3%82%C2%AEAmericanoHouseBlendByNescafe%C3%82%C2%AEDolceGusto%C3%82%C2%AE-10Capsulas-13.jpg?v=638803340964030000</t>
  </si>
  <si>
    <t>https://mambodelivery.vteximg.com.br/arquivos/ids/231034/7891000757260-Starbucks%C3%82%C2%AEAmericanoHouseBlendByNescafe%C3%82%C2%AEDolceGusto%C3%82%C2%AE-10Capsulas-15.jpg?v=638803340964330000</t>
  </si>
  <si>
    <t>https://mambodelivery.vteximg.com.br/arquivos/ids/231035/7891000757260-Starbucks%C3%82%C2%AEAmericanoHouseBlendByNescafe%C3%82%C2%AEDolceGusto%C3%82%C2%AE-10Capsulas-16.jpg?v=638803340964500000</t>
  </si>
  <si>
    <t>24755</t>
  </si>
  <si>
    <t>Cápsula de Café Caramel Macchiato Starbucks 106,5g com 10 Unidades</t>
  </si>
  <si>
    <t>7891000144572</t>
  </si>
  <si>
    <t>106.5</t>
  </si>
  <si>
    <t>https://www.mambo.com.br/capsula-de-cafe-caramel-macchiato-starbucks-106-5g-10-unidades/p</t>
  </si>
  <si>
    <t>https://mambodelivery.vteximg.com.br/arquivos/ids/242057/7891000144572_01.jpg?v=639044181493300000</t>
  </si>
  <si>
    <t>https://mambodelivery.vteximg.com.br/arquivos/ids/242058/image-to-upload-1.jpg?v=639044181497500000</t>
  </si>
  <si>
    <t>https://mambodelivery.vteximg.com.br/arquivos/ids/242059/image-to-upload-2.jpg?v=639044181500470000</t>
  </si>
  <si>
    <t>https://mambodelivery.vteximg.com.br/arquivos/ids/242060/7891000144572-Starbucks%C3%82%C2%AECaramelMacchiatoByNescafe%C3%82%C2%AEDolceGusto%C3%82%C2%AE-10Capsulas-2.jpg?v=639044181503770000</t>
  </si>
  <si>
    <t>https://mambodelivery.vteximg.com.br/arquivos/ids/242061/7891000144572-Starbucks%C3%82%C2%AECaramelMacchiatoByNescafe%C3%82%C2%AEDolceGusto%C3%82%C2%AE-10Capsulas-4.jpg?v=639044181507600000</t>
  </si>
  <si>
    <t>24756</t>
  </si>
  <si>
    <t>Cápsula de Café Espresso Cerrado Mineiro Nescafé+Dolce Gusto 60g com 10 Unidades</t>
  </si>
  <si>
    <t>https://www.mambo.com.br/capsula-de-cafe-espresso-cerrado-mineiro-nescafe-dolce-gusto-60g-10-unidades/p</t>
  </si>
  <si>
    <t>https://mambodelivery.vteximg.com.br/arquivos/ids/219782/7891000401583-CafeemCapsulaNescafeDolceGustoCerradoMineiro10Capsulas170g-1.jpg?v=638594495220630000</t>
  </si>
  <si>
    <t>https://mambodelivery.vteximg.com.br/arquivos/ids/219783/7891000401583-CafeemCapsulaNescafeDolceGustoCerradoMineiro10Capsulas170g-1.jpg?v=638594495224100000</t>
  </si>
  <si>
    <t>https://mambodelivery.vteximg.com.br/arquivos/ids/219784/7891000401583-CafeemCapsulaNescafeDolceGustoCerradoMineiro10Capsulas170g-3.jpg?v=638594495227070000</t>
  </si>
  <si>
    <t>https://mambodelivery.vteximg.com.br/arquivos/ids/219785/7891000401583-CafeemCapsulaNescafeDolceGustoCerradoMineiro10Capsulas170g-2.jpg?v=638594495229870000</t>
  </si>
  <si>
    <t>https://mambodelivery.vteximg.com.br/arquivos/ids/219786/7891000401583-CafeemCapsulaNescafeDolceGustoCerradoMineiro10Capsulas170g-4.jpg?v=638594495232500000</t>
  </si>
  <si>
    <t>https://mambodelivery.vteximg.com.br/arquivos/ids/219787/7891000401583-CafeemCapsulaNescafeDolceGustoCerradoMineiro10Capsulas170g-7.jpg?v=638594495235770000</t>
  </si>
  <si>
    <t>24759</t>
  </si>
  <si>
    <t>Cápsula de Café Doppio Espresso Nescafé+Dolce Gusto 80g com 10 Unidades</t>
  </si>
  <si>
    <t>7891000551615</t>
  </si>
  <si>
    <t>https://www.mambo.com.br/capsula-de-cafe-doppio-espresso-nescafe-dolce-gusto-80g-10-unidades/p</t>
  </si>
  <si>
    <t>https://mambodelivery.vteximg.com.br/arquivos/ids/220546/7891000551615-CapsuladeCafeNescafeDolceGustoDoppioEspresso10capsulas-1.jpg?v=638604632421730000</t>
  </si>
  <si>
    <t>https://mambodelivery.vteximg.com.br/arquivos/ids/220547/7891000551615-CapsuladeCafeNescafeDolceGustoDoppioEspresso10capsulas-1.jpg?v=638604632425830000</t>
  </si>
  <si>
    <t>https://mambodelivery.vteximg.com.br/arquivos/ids/220548/7891000551615-CapsuladeCafeNescafeDolceGustoDoppioEspresso10capsulas-3.jpg?v=638604632428700000</t>
  </si>
  <si>
    <t>https://mambodelivery.vteximg.com.br/arquivos/ids/220549/7891000551615-CapsuladeCafeNescafeDolceGustoDoppioEspresso10capsulas-4.jpg?v=638604632432430000</t>
  </si>
  <si>
    <t>https://mambodelivery.vteximg.com.br/arquivos/ids/220550/7891000551615-CapsuladeCafeNescafeDolceGustoDoppioEspresso10capsulas-7.jpg?v=638604632436200000</t>
  </si>
  <si>
    <t>https://mambodelivery.vteximg.com.br/arquivos/ids/220551/7891000551615-CapsuladeCafeNescafeDolceGustoDoppioEspresso10capsulas-8.jpg?v=638604632439400000</t>
  </si>
  <si>
    <t>24769</t>
  </si>
  <si>
    <t>Café Solúvel Latte com Castanha-de-Caju A Tal da Castanha &amp; 3 Corações 20g</t>
  </si>
  <si>
    <t>7896045111855</t>
  </si>
  <si>
    <t>5.59</t>
  </si>
  <si>
    <t>https://www.mambo.com.br/cafe-soluvel-latte-com-castanha-de-caju-a-tal-da-castanha---3-coracoes-20g/p</t>
  </si>
  <si>
    <t>https://mambodelivery.vteximg.com.br/arquivos/ids/216719/280641-Cafe-Latte-com-Castanha-de-Caju-A-Tal-da-Castanha-3-Coracoes-20g.jpg?v=638578627568200000</t>
  </si>
  <si>
    <t>24844</t>
  </si>
  <si>
    <t>Café Torrado e Moído Individual Gourmet Dark Roast Drip Coffee 3 Corações Sachê 11g</t>
  </si>
  <si>
    <t>7896045106868</t>
  </si>
  <si>
    <t>11</t>
  </si>
  <si>
    <t>https://www.mambo.com.br/cafe-torrado-e-moido-individual-gourmet-dark-roast-drip-coffee-3-coracoes-sache-11g/p</t>
  </si>
  <si>
    <t>https://mambodelivery.vteximg.com.br/arquivos/ids/219925/280747-CAFE-3-CORACOES-GOURMENT-DRIP-11G-DARK.png?v=638597571671530000</t>
  </si>
  <si>
    <t>24928</t>
  </si>
  <si>
    <t>Cápsula de Café Italiano Ristretto Carraro 55g com 10 Unidades</t>
  </si>
  <si>
    <t>Carraro</t>
  </si>
  <si>
    <t>8000604002686</t>
  </si>
  <si>
    <t>24.98</t>
  </si>
  <si>
    <t>https://www.mambo.com.br/capsula-de-cafe-italiano-ristretto-carraro-55g-com-10-unidades/p</t>
  </si>
  <si>
    <t>https://mambodelivery.vteximg.com.br/arquivos/ids/219328/277816_Cafe-Italiano-Ristretto-com-10-Capsulas-Carraro-55g.jpg?v=638591726432330000</t>
  </si>
  <si>
    <t>24929</t>
  </si>
  <si>
    <t>Cápsula de Café Italiano Gran Crema Carraro 55g com 10 Unidades</t>
  </si>
  <si>
    <t>8000604002662</t>
  </si>
  <si>
    <t>https://www.mambo.com.br/capsula-de-cafe-italiano-gran-crema-carraro-55g-com-10-unidades/p</t>
  </si>
  <si>
    <t>https://mambodelivery.vteximg.com.br/arquivos/ids/219322/277818_Cafe-Italiano-Gran-Crema-com-10-Capsulas-Carraro-55g.jpg?v=638591725743370000</t>
  </si>
  <si>
    <t>24930</t>
  </si>
  <si>
    <t>Cápsula de Café Italiano Dolce Arabica Carraro 55g com 10 Unidade</t>
  </si>
  <si>
    <t>8000604002655</t>
  </si>
  <si>
    <t>https://www.mambo.com.br/cafe-italiano-dolce-arabica-com-10-capsulas-carraro-55g/p</t>
  </si>
  <si>
    <t>https://mambodelivery.vteximg.com.br/arquivos/ids/219321/277819_Cafe-Italiano-Dolce-Arabica-com-10-Capsulas-Carraro-55g.jpg?v=638591725418700000</t>
  </si>
  <si>
    <t>24931</t>
  </si>
  <si>
    <t>Cápsula de Café Italiano Intenso Carraro 55g com 10 Unidades</t>
  </si>
  <si>
    <t>8000604002679</t>
  </si>
  <si>
    <t>https://www.mambo.com.br/capsula-de-cafe-italiano-intenso-carraro-55g-com-10-unidades/p</t>
  </si>
  <si>
    <t>https://mambodelivery.vteximg.com.br/arquivos/ids/219320/277821_Cafe-Italiano-Intenso-com-10-Capsulas-Carraro-55g.jpg?v=638591725048130000</t>
  </si>
  <si>
    <t>24935</t>
  </si>
  <si>
    <t>Cápsula de Café Pingado Dolce Gusto &amp; Nescafé 140g com 10 Unidades</t>
  </si>
  <si>
    <t>https://www.mambo.com.br/capsula-de-cafe-pingado-dolce-gusto---nescafe-140g-com-10-unidades/p</t>
  </si>
  <si>
    <t>https://mambodelivery.vteximg.com.br/arquivos/ids/220522/7891000158845-NescafeDolceGustoPingado10capsulas-1.jpg?v=638604631471370000</t>
  </si>
  <si>
    <t>https://mambodelivery.vteximg.com.br/arquivos/ids/220523/7891000158845-NescafeDolceGustoPingado10capsulas-1.jpg?v=638756581534000000</t>
  </si>
  <si>
    <t>https://mambodelivery.vteximg.com.br/arquivos/ids/220524/7891000158845-NescafeDolceGustoPingado10capsulas-3.jpg?v=638756581534330000</t>
  </si>
  <si>
    <t>https://mambodelivery.vteximg.com.br/arquivos/ids/220525/7891000158845-NescafeDolceGustoPingado10capsulas-4.jpg?v=638756581534330000</t>
  </si>
  <si>
    <t>https://mambodelivery.vteximg.com.br/arquivos/ids/220526/7891000158845-NescafeDolceGustoPingado10capsulas-8.jpg?v=638756581534330000</t>
  </si>
  <si>
    <t>https://mambodelivery.vteximg.com.br/arquivos/ids/220527/7891000158845-NescafeDolceGustoPingado10capsulas-9.jpg?v=638756581534330000</t>
  </si>
  <si>
    <t>25003</t>
  </si>
  <si>
    <t>Cafe Soluvel com Leite Descafeinado Sem Lactose 3 Coracoes Lata 200g</t>
  </si>
  <si>
    <t>7896045112654</t>
  </si>
  <si>
    <t>https://www.mambo.com.br/cafe-soluvel-com-leite-descafeinado-sem-lactose-3-coracoes-lata-200g/p</t>
  </si>
  <si>
    <t>https://mambodelivery.vteximg.com.br/arquivos/ids/224681/1---66b29082976c650012b0ed33_1.jpg?v=638688481760030000</t>
  </si>
  <si>
    <t>https://mambodelivery.vteximg.com.br/arquivos/ids/224682/2---66b29083976c650012b0ed34_1.jpg?v=638761898100430000</t>
  </si>
  <si>
    <t>25016</t>
  </si>
  <si>
    <t>Cápsula de Café Italiano Descafeinado Carraro 55g com 10 Unidades</t>
  </si>
  <si>
    <t>8000604002693</t>
  </si>
  <si>
    <t>https://www.mambo.com.br/cafe-italiano-em-capsula-descafeinado-carrato-55g/p</t>
  </si>
  <si>
    <t>https://mambodelivery.vteximg.com.br/arquivos/ids/219890/8000604002693.jpg?v=638596809008230000</t>
  </si>
  <si>
    <t>25018</t>
  </si>
  <si>
    <t>Cápsula de Café Alpino Tradicional Nescafé Dolce Gusto 178g com 10 Unidades</t>
  </si>
  <si>
    <t>7891000738481</t>
  </si>
  <si>
    <t>178</t>
  </si>
  <si>
    <t>https://www.mambo.com.br/capsula-de-cafe-alpino-tradicional-nescafe-dolce-gusto-178g-com-10-unidades-/p</t>
  </si>
  <si>
    <t>https://mambodelivery.vteximg.com.br/arquivos/ids/231149/7891000738481-CafeemCapsulaNESCAFEDOLCEGUSTOAlpinoTradicional10Unidades178g-1.jpg?v=638804003371330000</t>
  </si>
  <si>
    <t>https://mambodelivery.vteximg.com.br/arquivos/ids/231150/7891000738481-CafeemCapsulaNESCAFEDOLCEGUSTOAlpinoTradicional10Unidades178g-1.jpg?v=638804004671430000</t>
  </si>
  <si>
    <t>https://mambodelivery.vteximg.com.br/arquivos/ids/231151/7891000738481-CafeemCapsulaNESCAFEDOLCEGUSTOAlpinoTradicional10Unidades178g-1.jpg?v=638804004671430000</t>
  </si>
  <si>
    <t>25079</t>
  </si>
  <si>
    <t>Café Torrado e Moído Gourmet Ultimo L'or 250g</t>
  </si>
  <si>
    <t>https://www.mambo.com.br/cafe-torrado-e-moido-gourmet-ultimo-lor-250g/p</t>
  </si>
  <si>
    <t>https://mambodelivery.vteximg.com.br/arquivos/ids/220625/280794-Cafe-Torrado-e-Moido-Gourmet-Ultimo-L-or-250g.jpg?v=638608472311430000</t>
  </si>
  <si>
    <t>25080</t>
  </si>
  <si>
    <t>Café Torrado e Moído Gourmet Origens Mogiana L'or 250g</t>
  </si>
  <si>
    <t>https://www.mambo.com.br/cafe-torrado-e-moido-gourmet-origens-mogiana-lor-250g-/p</t>
  </si>
  <si>
    <t>https://mambodelivery.vteximg.com.br/arquivos/ids/232881/7896089060164_01.jpg?v=638844639735870000</t>
  </si>
  <si>
    <t>https://mambodelivery.vteximg.com.br/arquivos/ids/232882/7896089060164_02.jpg?v=638844639736030000</t>
  </si>
  <si>
    <t>25081</t>
  </si>
  <si>
    <t>Café Torrado e Moído Gourmet Sul Minas L'or 250g</t>
  </si>
  <si>
    <t>7896089060188</t>
  </si>
  <si>
    <t>https://www.mambo.com.br/cafe-torrado-e-moido-gourmet-sul-minas-lor-250g-/p</t>
  </si>
  <si>
    <t>https://mambodelivery.vteximg.com.br/arquivos/ids/232892/7896089060188_01.jpg?v=638844656734930000</t>
  </si>
  <si>
    <t>https://mambodelivery.vteximg.com.br/arquivos/ids/232893/7896089060188_02.jpg?v=638844656735100000</t>
  </si>
  <si>
    <t>25082</t>
  </si>
  <si>
    <t>Café Torrado e Moído Gourmet Cerrado L'or 250g</t>
  </si>
  <si>
    <t>7896089060171</t>
  </si>
  <si>
    <t>https://www.mambo.com.br/cafe-torrado-e-moido-gourmet-cerrado-lor-250g-/p</t>
  </si>
  <si>
    <t>https://mambodelivery.vteximg.com.br/arquivos/ids/232883/7896089060171_01.jpg?v=638844641588000000</t>
  </si>
  <si>
    <t>https://mambodelivery.vteximg.com.br/arquivos/ids/232884/7896089060171-02.jpg?v=638844641588100000</t>
  </si>
  <si>
    <t>25084</t>
  </si>
  <si>
    <t>Kit Cápsula de Café + Caneca Nespresso &amp; Starbucks Pack com 40 Unidades Kit Cápsula de Café + Caneca Nespresso &amp; Starbucks Caixa com 40 Unidades</t>
  </si>
  <si>
    <t>7891000576717</t>
  </si>
  <si>
    <t>127.49</t>
  </si>
  <si>
    <t>https://www.mambo.com.br/kit-capsula-de-cafe---caneca-nespresso---starbucks-caixa-com-40-unidades/p</t>
  </si>
  <si>
    <t>https://mambodelivery.vteximg.com.br/arquivos/ids/223364/7891000576717_01.jpg?v=638660774823700000</t>
  </si>
  <si>
    <t>https://mambodelivery.vteximg.com.br/arquivos/ids/223365/7891000576717_03.jpg?v=638760967110700000</t>
  </si>
  <si>
    <t>25087</t>
  </si>
  <si>
    <t>Café Solúvel Cappuccino Premium Baunilha L'or Sachê 162,4g com 8 Unidades</t>
  </si>
  <si>
    <t>7896089051063</t>
  </si>
  <si>
    <t>8</t>
  </si>
  <si>
    <t>162.4</t>
  </si>
  <si>
    <t>https://www.mambo.com.br/cafe-soluvel-cappuccino-premium-baunilha-l-or-sache-162-4g-com-8-unidades/p</t>
  </si>
  <si>
    <t>https://mambodelivery.vteximg.com.br/arquivos/ids/220617/280819-Cappuccino-Premium-Baunilha-L-or-1624g.jpg?v=638608467025300000</t>
  </si>
  <si>
    <t>25090</t>
  </si>
  <si>
    <t>Cápsula de Café Cappuccino Moça Brigadeiro Dolce Gusto &amp; Nescafé 180g com 10 Unidades</t>
  </si>
  <si>
    <t>7891000409404</t>
  </si>
  <si>
    <t>https://www.mambo.com.br/capsula-de-cafe-cappuccino-moca-brigadeiro-dolce-gusto---nescafe-180g-com-10-unidades/p</t>
  </si>
  <si>
    <t>https://mambodelivery.vteximg.com.br/arquivos/ids/221155/7891000409404-CafeemCapsulaNescafeDolceGustoMOCABRIGADEIRO10Capsulas170g-1.jpg?v=638632993291200000</t>
  </si>
  <si>
    <t>https://mambodelivery.vteximg.com.br/arquivos/ids/221156/7891000409404-CafeemCapsulaNescafeDolceGustoMOCABRIGADEIRO10Capsulas170g-1.jpg?v=638760964316530000</t>
  </si>
  <si>
    <t>https://mambodelivery.vteximg.com.br/arquivos/ids/221157/7891000409404-CafeemCapsulaNescafeDolceGustoMOCABRIGADEIRO10Capsulas170g-2.jpg?v=638760964316530000</t>
  </si>
  <si>
    <t>https://mambodelivery.vteximg.com.br/arquivos/ids/221158/7891000409404-CafeemCapsulaNescafeDolceGustoMOCABRIGADEIRO10Capsulas170g-3.jpg?v=638760964316530000</t>
  </si>
  <si>
    <t>https://mambodelivery.vteximg.com.br/arquivos/ids/221159/7891000409404-CafeemCapsulaNescafeDolceGustoMOCABRIGADEIRO10Capsulas170g-4.jpg?v=638760964316670000</t>
  </si>
  <si>
    <t>https://mambodelivery.vteximg.com.br/arquivos/ids/221160/7891000409404-CafeemCapsulaNescafeDolceGustoMOCABRIGADEIRO10Capsulas170g-9.jpg?v=638760964316670000</t>
  </si>
  <si>
    <t>25091</t>
  </si>
  <si>
    <t>Cápsula de Achocolatado KitKat Dolce Gusto &amp; Nescafé170g com 10 Cápsulas</t>
  </si>
  <si>
    <t>7891000403587</t>
  </si>
  <si>
    <t>https://www.mambo.com.br/capsula-de-achocolatado-kitkat-dolce-gusto---nescafe170g-com-10-capsulas/p</t>
  </si>
  <si>
    <t>https://mambodelivery.vteximg.com.br/arquivos/ids/231099/7891000403587-CafeemCapsulaNescafeDolceGustoKitKat10Capsulas170g-1.jpg?v=638803425402130000</t>
  </si>
  <si>
    <t>https://mambodelivery.vteximg.com.br/arquivos/ids/231100/7891000403587-CafeemCapsulaNescafeDolceGustoKitKat10Capsulas170g-1.jpg?v=638803430378070000</t>
  </si>
  <si>
    <t>https://mambodelivery.vteximg.com.br/arquivos/ids/231101/7891000403587-CafeemCapsulaNescafeDolceGustoKitKat10Capsulas170g-2.jpg?v=638803430378070000</t>
  </si>
  <si>
    <t>https://mambodelivery.vteximg.com.br/arquivos/ids/231102/7891000403587-CafeemCapsulaNescafeDolceGustoKitKat10Capsulas170g-3.jpg?v=638803430378200000</t>
  </si>
  <si>
    <t>https://mambodelivery.vteximg.com.br/arquivos/ids/231103/7891000403587-CafeemCapsulaNescafeDolceGustoKitKat10Capsulas170g-4.jpg?v=638803430378200000</t>
  </si>
  <si>
    <t>https://mambodelivery.vteximg.com.br/arquivos/ids/231104/7891000403587-CafeemCapsulaNescafeDolceGustoKitKat10Capsulas170g-5.jpg?v=638803430378370000</t>
  </si>
  <si>
    <t>https://mambodelivery.vteximg.com.br/arquivos/ids/231105/7891000403587-CafeemCapsulaNescafeDolceGustoKitKat10Capsulas170g-6.jpg?v=638803430378370000</t>
  </si>
  <si>
    <t>https://mambodelivery.vteximg.com.br/arquivos/ids/231106/7891000403587-CafeemCapsulaNescafeDolceGustoKitKat10Capsulas170g-7.jpg?v=638803430378530000</t>
  </si>
  <si>
    <t>https://mambodelivery.vteximg.com.br/arquivos/ids/231107/7891000403587-CafeemCapsulaNescafeDolceGustoKitKat10Capsulas170g-8.jpg?v=638803430378530000</t>
  </si>
  <si>
    <t>281425</t>
  </si>
  <si>
    <t>Café Solúvel Cappuccino Doce de Leite Melitta 200g</t>
  </si>
  <si>
    <t>7896348301496</t>
  </si>
  <si>
    <t>https://www.mambo.com.br/cafe-soluvel-cappuccino-doce-de-leite-melitta-200g/p</t>
  </si>
  <si>
    <t>https://mambodelivery.vteximg.com.br/arquivos/ids/220971/280952-Cappuccino-Doce-de-Leite-Melitta-200g.jpg?v=638629585418100000</t>
  </si>
  <si>
    <t>281426</t>
  </si>
  <si>
    <t>Cápsula de Café Audacce Melitta 53g com 10 Unidades</t>
  </si>
  <si>
    <t>7896348301076</t>
  </si>
  <si>
    <t>53</t>
  </si>
  <si>
    <t>https://www.mambo.com.br/capsula-de-cafe-audacce-melitta-53g-10-unidades/p</t>
  </si>
  <si>
    <t>https://mambodelivery.vteximg.com.br/arquivos/ids/220967/280953-Cafe-em-Capsula-Audacce-Melitta-53g-com-10-Unidades.jpg?v=638629583244930000</t>
  </si>
  <si>
    <t>281427</t>
  </si>
  <si>
    <t>Cápsula de Café Descafeinado Intenso Melitta 53g com 10 Unidades</t>
  </si>
  <si>
    <t>7896348301106</t>
  </si>
  <si>
    <t>https://www.mambo.com.br/cafe-em-capsula-descafeinado-intenso-melitta-53g-com-10-unidades/p</t>
  </si>
  <si>
    <t>https://mambodelivery.vteximg.com.br/arquivos/ids/220968/280954-Cafe-em-Capsula-Descafeinado-Intenso-Melitta-53g-com-10-Unidades.jpg?v=638629583938400000</t>
  </si>
  <si>
    <t>281428</t>
  </si>
  <si>
    <t>Cápsula de Café Lungo Intenso Melitta 53g com 10 Unidades</t>
  </si>
  <si>
    <t>7896348301090</t>
  </si>
  <si>
    <t>https://www.mambo.com.br/capsula-de-cafe-lungo-intenso-melitta-53g-10-unidades/p</t>
  </si>
  <si>
    <t>https://mambodelivery.vteximg.com.br/arquivos/ids/220969/280955-Cafe-em-Capsula-Lungo-Intenso-Melitta-53g-com-10-Unidades.jpg?v=638629584360900000</t>
  </si>
  <si>
    <t>281429</t>
  </si>
  <si>
    <t>Cápsula de Café Marcato Melitta 53g com 10 Unidades</t>
  </si>
  <si>
    <t>7896348301083</t>
  </si>
  <si>
    <t>https://www.mambo.com.br/capsula-de-cafe-marcato-melitta-53g-10-unidades/p</t>
  </si>
  <si>
    <t>https://mambodelivery.vteximg.com.br/arquivos/ids/220970/280956-Cafe-em-Capsula-Marcato-Melitta-53g-com-10-Unidades.jpg?v=638629584731170000</t>
  </si>
  <si>
    <t>281430</t>
  </si>
  <si>
    <t>Café Solúvel Extraforte Melitta 40g</t>
  </si>
  <si>
    <t>7896348300901</t>
  </si>
  <si>
    <t>https://www.mambo.com.br/cafe-soluvel-extraforte-melitta-40g/p</t>
  </si>
  <si>
    <t>https://mambodelivery.vteximg.com.br/arquivos/ids/220972/280948-Cafe-Soluvel-Extraforte-Melitta-40g.png?v=638629588091330000</t>
  </si>
  <si>
    <t>281431</t>
  </si>
  <si>
    <t>Café Solúvel Tradicional Melitta 40g</t>
  </si>
  <si>
    <t>7896348300895</t>
  </si>
  <si>
    <t>https://www.mambo.com.br/cafe-soluvel-tradicional-melitta-40g/p</t>
  </si>
  <si>
    <t>https://mambodelivery.vteximg.com.br/arquivos/ids/220973/280949-Cafe-Soluvel-Tradicional-Melitta-40g.jpg?v=638629589434330000</t>
  </si>
  <si>
    <t>281433</t>
  </si>
  <si>
    <t>Cápsula de Café Ristretto Melitta 53g com 10 Unidades</t>
  </si>
  <si>
    <t>7896348301069</t>
  </si>
  <si>
    <t>https://www.mambo.com.br/capsula-de-cafe-ristretto-melitta-53g-10-unidades/p</t>
  </si>
  <si>
    <t>https://mambodelivery.vteximg.com.br/arquivos/ids/220966/280957-Cafe-em-Capsula-Ristretto-Melitta-53g-com-10-Unidades.jpg?v=638629582063300000</t>
  </si>
  <si>
    <t>281442</t>
  </si>
  <si>
    <t>Cápsula de Café Compatível com Nespresso Nescafé Farmers Origins Colombia 44g com 10 Unidades</t>
  </si>
  <si>
    <t>https://www.mambo.com.br/-capsula-de-cafe-compativel-com-nespresso-nescafe-farmers-origins-colombia-44g-com-10-unidades-/p</t>
  </si>
  <si>
    <t>https://mambodelivery.vteximg.com.br/arquivos/ids/231084/8445291111257-CafeemCapsulaNescafeFarmersOriginsColombia10Capsulas44g-1.jpg?v=638803388466670000</t>
  </si>
  <si>
    <t>https://mambodelivery.vteximg.com.br/arquivos/ids/231085/8445291111257-CafeemCapsulaNescafeFarmersOriginsColombia10Capsulas44g-3.jpg?v=638803388469930000</t>
  </si>
  <si>
    <t>https://mambodelivery.vteximg.com.br/arquivos/ids/231086/8445291111257-CafeemCapsulaNescafeFarmersOriginsColombia10Capsulas44g-4.jpg?v=638803388473070000</t>
  </si>
  <si>
    <t>https://mambodelivery.vteximg.com.br/arquivos/ids/231087/8445291111257-CafeemCapsulaNescafeFarmersOriginsColombia10Capsulas44g-5.jpg?v=638803388476200000</t>
  </si>
  <si>
    <t>https://mambodelivery.vteximg.com.br/arquivos/ids/231088/8445291111257-CafeemCapsulaNescafeFarmersOriginsColombia10Capsulas44g-6.jpg?v=638803388479470000</t>
  </si>
  <si>
    <t>https://mambodelivery.vteximg.com.br/arquivos/ids/231089/8445291111257-CafeemCapsulaNescafeFarmersOriginsColombia10Capsulas44g-7.jpg?v=638803388483930000</t>
  </si>
  <si>
    <t>https://mambodelivery.vteximg.com.br/arquivos/ids/231090/8445291111257-CafeemCapsulaNescafeFarmersOriginsColombia10Capsulas44g-8.jpg?v=638803388486770000</t>
  </si>
  <si>
    <t>https://mambodelivery.vteximg.com.br/arquivos/ids/231091/8445291111257-CafeemCapsulaNescafeFarmersOriginsColombia10Capsulas44g-9.jpg?v=638803388489900000</t>
  </si>
  <si>
    <t>https://mambodelivery.vteximg.com.br/arquivos/ids/231092/8445291111257-CafeemCapsulaNescafeFarmersOriginsColombia10Capsulas44g-1.jpg?v=638803388492870000</t>
  </si>
  <si>
    <t>281443</t>
  </si>
  <si>
    <t>Cápsula de Café Compatível com Nespresso Nescafé Farmers Origins Índia 44g com 10 Unidades</t>
  </si>
  <si>
    <t>https://www.mambo.com.br/capsula-de-cafe-compativel-com-nespresso-nescafe-farmers-origins-india-44g-com-10-unidades/p</t>
  </si>
  <si>
    <t>https://mambodelivery.vteximg.com.br/arquivos/ids/231075/8445291150249-CafeemCapsulaNescafeFarmersOriginsIndia10Capsulas44g-1.jpg?v=638803383431370000</t>
  </si>
  <si>
    <t>https://mambodelivery.vteximg.com.br/arquivos/ids/231076/8445291150249-CafeemCapsulaNescafeFarmersOriginsIndia10Capsulas44g-3.jpg?v=638803383435030000</t>
  </si>
  <si>
    <t>https://mambodelivery.vteximg.com.br/arquivos/ids/231077/8445291150249-CafeemCapsulaNescafeFarmersOriginsIndia10Capsulas44g-4.jpg?v=638803383437700000</t>
  </si>
  <si>
    <t>https://mambodelivery.vteximg.com.br/arquivos/ids/231078/8445291150249-CafeemCapsulaNescafeFarmersOriginsIndia10Capsulas44g-5.jpg?v=638803383441030000</t>
  </si>
  <si>
    <t>https://mambodelivery.vteximg.com.br/arquivos/ids/231079/8445291150249-CafeemCapsulaNescafeFarmersOriginsIndia10Capsulas44g-6.jpg?v=638803383445270000</t>
  </si>
  <si>
    <t>https://mambodelivery.vteximg.com.br/arquivos/ids/231080/8445291150249-CafeemCapsulaNescafeFarmersOriginsIndia10Capsulas44g-7.jpg?v=638803383448400000</t>
  </si>
  <si>
    <t>https://mambodelivery.vteximg.com.br/arquivos/ids/231081/8445291150249-CafeemCapsulaNescafeFarmersOriginsIndia10Capsulas44g-8.jpg?v=638803383451670000</t>
  </si>
  <si>
    <t>https://mambodelivery.vteximg.com.br/arquivos/ids/231082/8445291150249-CafeemCapsulaNescafeFarmersOriginsIndia10Capsulas44g-9.jpg?v=638803383454170000</t>
  </si>
  <si>
    <t>https://mambodelivery.vteximg.com.br/arquivos/ids/231083/8445291150249-CafeemCapsulaNescafeFarmersOriginsIndia10Capsulas44g-1.jpg?v=638803383457130000</t>
  </si>
  <si>
    <t>281444</t>
  </si>
  <si>
    <t>Cápsula de Café Compatível com Nespresso Nescafé Farmers Origins Brasil 44g com 10 Unidades</t>
  </si>
  <si>
    <t>https://www.mambo.com.br/capsula-de-cafe-compativel-com-nespresso-nescafe-farmers-origins-brasil-44g-com-10-unidades/p</t>
  </si>
  <si>
    <t>https://mambodelivery.vteximg.com.br/arquivos/ids/223155/8445291144385-CafeemCapsulaNescafeFarmersOriginsBrazil10Capsulas44g-1.jpg?v=638658268827570000</t>
  </si>
  <si>
    <t>https://mambodelivery.vteximg.com.br/arquivos/ids/223156/8445291144385-CafeemCapsulaNescafeFarmersOriginsBrazil10Capsulas44g-1.jpg?v=638803218061000000</t>
  </si>
  <si>
    <t>https://mambodelivery.vteximg.com.br/arquivos/ids/223157/8445291144385-CafeemCapsulaNescafeFarmersOriginsBrazil10Capsulas44g-2.jpg?v=638803218062730000</t>
  </si>
  <si>
    <t>https://mambodelivery.vteximg.com.br/arquivos/ids/223158/8445291144385-CafeemCapsulaNescafeFarmersOriginsBrazil10Capsulas44g-3.jpg?v=638803218062730000</t>
  </si>
  <si>
    <t>https://mambodelivery.vteximg.com.br/arquivos/ids/223159/8445291144385-CafeemCapsulaNescafeFarmersOriginsBrazil10Capsulas44g-4.jpg?v=638803218062730000</t>
  </si>
  <si>
    <t>https://mambodelivery.vteximg.com.br/arquivos/ids/223160/8445291144385-CafeemCapsulaNescafeFarmersOriginsBrazil10Capsulas44g-5.jpg?v=638803218062730000</t>
  </si>
  <si>
    <t>https://mambodelivery.vteximg.com.br/arquivos/ids/223161/8445291144385-CafeemCapsulaNescafeFarmersOriginsBrazil10Capsulas44g-6.jpg?v=638803218062900000</t>
  </si>
  <si>
    <t>https://mambodelivery.vteximg.com.br/arquivos/ids/223162/8445291144385-CafeemCapsulaNescafeFarmersOriginsBrazil10Capsulas44g-7.jpg?v=638803218062900000</t>
  </si>
  <si>
    <t>https://mambodelivery.vteximg.com.br/arquivos/ids/223163/8445291144385-CafeemCapsulaNescafeFarmersOriginsBrazil10Capsulas44g-8.jpg?v=638803218062900000</t>
  </si>
  <si>
    <t>https://mambodelivery.vteximg.com.br/arquivos/ids/223164/8445291144385-CafeemCapsulaNescafeFarmersOriginsBrazil10Capsulas44g-9.jpg?v=638803218062900000</t>
  </si>
  <si>
    <t>281445</t>
  </si>
  <si>
    <t>Cápsula de Café Farmers Origins México Nescafé 44g com 10 Unidades</t>
  </si>
  <si>
    <t>https://www.mambo.com.br/capsula-de-cafe-farmers-origins-mexico-nescafe-44g-com-10-unidades/p</t>
  </si>
  <si>
    <t>https://mambodelivery.vteximg.com.br/arquivos/ids/231164/8445291143968-CafeemCapsulaNescafeFarmersOriginsMexico10Capsulas44g-1.jpg?v=638804010115300000</t>
  </si>
  <si>
    <t>https://mambodelivery.vteximg.com.br/arquivos/ids/231165/8445291143968-CafeemCapsulaNescafeFarmersOriginsMexico10Capsulas44g-2.jpg?v=638804010643300000</t>
  </si>
  <si>
    <t>https://mambodelivery.vteximg.com.br/arquivos/ids/231166/8445291143968-CafeemCapsulaNescafeFarmersOriginsMexico10Capsulas44g-3.jpg?v=638804010643300000</t>
  </si>
  <si>
    <t>https://mambodelivery.vteximg.com.br/arquivos/ids/231167/8445291143968-CafeemCapsulaNescafeFarmersOriginsMexico10Capsulas44g-4.jpg?v=638804010643300000</t>
  </si>
  <si>
    <t>https://mambodelivery.vteximg.com.br/arquivos/ids/231168/8445291143968-CafeemCapsulaNescafeFarmersOriginsMexico10Capsulas44g-5.jpg?v=638804010643430000</t>
  </si>
  <si>
    <t>https://mambodelivery.vteximg.com.br/arquivos/ids/231169/8445291143968-CafeemCapsulaNescafeFarmersOriginsMexico10Capsulas44g-6.jpg?v=638804010643430000</t>
  </si>
  <si>
    <t>https://mambodelivery.vteximg.com.br/arquivos/ids/231170/8445291143968-CafeemCapsulaNescafeFarmersOriginsMexico10Capsulas44g-7.jpg?v=638804010643430000</t>
  </si>
  <si>
    <t>https://mambodelivery.vteximg.com.br/arquivos/ids/231171/8445291143968-CafeemCapsulaNescafeFarmersOriginsMexico10Capsulas44g-8.jpg?v=638804010643430000</t>
  </si>
  <si>
    <t>https://mambodelivery.vteximg.com.br/arquivos/ids/231172/8445291143968-CafeemCapsulaNescafeFarmersOriginsMexico10Capsulas44g-9.jpg?v=638804010643430000</t>
  </si>
  <si>
    <t>https://mambodelivery.vteximg.com.br/arquivos/ids/231173/8445291143968-CafeemCapsulaNescafeFarmersOriginsMexico10Capsulas44g-1.jpg?v=638804010643430000</t>
  </si>
  <si>
    <t>281465</t>
  </si>
  <si>
    <t>Café Solúvel Descafeinado Melitta 40g</t>
  </si>
  <si>
    <t>7896348300918</t>
  </si>
  <si>
    <t>18.98</t>
  </si>
  <si>
    <t>https://www.mambo.com.br/cafe-soluvel-descafeinado-melitta-40g-/p</t>
  </si>
  <si>
    <t>https://mambodelivery.vteximg.com.br/arquivos/ids/220984/280950-Cafe-Soluvel-Descafeinado-Melitta-40g.jpg?v=638629614066170000</t>
  </si>
  <si>
    <t>281492</t>
  </si>
  <si>
    <t>Café em Grãos Spresso Melitta 500g</t>
  </si>
  <si>
    <t>7896348300970</t>
  </si>
  <si>
    <t>80.98</t>
  </si>
  <si>
    <t>https://www.mambo.com.br/cafe-em-graos-spresso-melitta-500g/p</t>
  </si>
  <si>
    <t>https://mambodelivery.vteximg.com.br/arquivos/ids/221018/281178-Cafe-Torrado-Graos-Spresso-Melitta-500g.jpg?v=638630376767500000</t>
  </si>
  <si>
    <t>281535</t>
  </si>
  <si>
    <t>Café Torrado e Moído Frutas Secas Rituais 3 Corações 250g</t>
  </si>
  <si>
    <t>https://www.mambo.com.br/cafe-torrado-e-moido-frutas-secas-rituais-3-coracoes-250g-/p</t>
  </si>
  <si>
    <t>https://mambodelivery.vteximg.com.br/arquivos/ids/226613/281235-Cafe-Torrado-e-Moido-Frutas-Secas-Rituais-3-Coracoes-250g.jpg?v=638750470160300000</t>
  </si>
  <si>
    <t>https://mambodelivery.vteximg.com.br/arquivos/ids/226614/7896045113620-Cafe-em-po-Rituais-Frutas-Secas-3-Coracoes-250g.jpg.jpg?v=638750470160600000</t>
  </si>
  <si>
    <t>https://mambodelivery.vteximg.com.br/arquivos/ids/226615/7896045113620-Cafe-em-po-Rituais-Frutas-Secas-3-Coracoes-250g--1-.jpg.jpg?v=638750470160930000</t>
  </si>
  <si>
    <t>https://mambodelivery.vteximg.com.br/arquivos/ids/226616/7896045113620-Cafe-em-po-Rituais-Frutas-Secas-3-Coracoes-250g--2-.jpg.jpg?v=638750470160930000</t>
  </si>
  <si>
    <t>https://mambodelivery.vteximg.com.br/arquivos/ids/226617/7896045113620-Cafe-em-po-Rituais-Frutas-Secas-3-Coracoes-250g--3-.jpg.jpg?v=638750470161100000</t>
  </si>
  <si>
    <t>https://mambodelivery.vteximg.com.br/arquivos/ids/226618/7896045113620-Cafe-em-po-Rituais-Frutas-Secas-3-Coracoes-250g--4-.jpg.jpg?v=638750470161100000</t>
  </si>
  <si>
    <t>281536</t>
  </si>
  <si>
    <t>Café Torrado e Moído Exótico Rituais 3 Corações 250g</t>
  </si>
  <si>
    <t>https://www.mambo.com.br/cafe-torrado-e-moido-exotico-rituais-3-coracoes-250g/p</t>
  </si>
  <si>
    <t>https://mambodelivery.vteximg.com.br/arquivos/ids/221273/281238-Cafe-Torrado-e-Moido-Exotico-Rituais-3-Coracoes-250g.jpg?v=638634003853030000</t>
  </si>
  <si>
    <t>281537</t>
  </si>
  <si>
    <t>Café Torrado e Moído Chocolate Rituais 3 Corações 250g</t>
  </si>
  <si>
    <t>https://www.mambo.com.br/cafe-torrado-e-moido-chocolate-rituais-3-coracoes-250g-/p</t>
  </si>
  <si>
    <t>https://mambodelivery.vteximg.com.br/arquivos/ids/221272/281236-Cafe-Torrado-e-Moido-Chocolate-Rituais-3-Coracoes-250g.jpg?v=638634003217500000</t>
  </si>
  <si>
    <t>281538</t>
  </si>
  <si>
    <t>Café Torrado e Moído Frutas Vermelhas Rituais 3 Corações 250g</t>
  </si>
  <si>
    <t>Vermelha</t>
  </si>
  <si>
    <t>https://www.mambo.com.br/cafe-torrado-e-moido-frutas-vermelhas-rituais-3-coracoes-250g/p</t>
  </si>
  <si>
    <t>https://mambodelivery.vteximg.com.br/arquivos/ids/221271/281237-Cafe-Torrado-e-Moido-Frutas-Vermelhas-Rituais-3-Coracoes-250g.jpg?v=638634002643400000</t>
  </si>
  <si>
    <t>281587</t>
  </si>
  <si>
    <t>Café Torrado e Moído Individual Portinari Drip Coffee 3 Corações Sachê 11g</t>
  </si>
  <si>
    <t>7896045109692</t>
  </si>
  <si>
    <t>4.59</t>
  </si>
  <si>
    <t>https://www.mambo.com.br/cafe-torrado-e-moido-individual-portinari-drip-coffee-3-coracoes-sache-11g/p</t>
  </si>
  <si>
    <t>https://mambodelivery.vteximg.com.br/arquivos/ids/227099/281386.png.png?v=638755885685600000</t>
  </si>
  <si>
    <t>281658</t>
  </si>
  <si>
    <t>Café Solúvel Cappuccino Tradicional Nescafé Lata 180g</t>
  </si>
  <si>
    <t>7891000613597</t>
  </si>
  <si>
    <t>https://www.mambo.com.br/cappuccino-de-chocolate-nescafe-180g-/p</t>
  </si>
  <si>
    <t>https://mambodelivery.vteximg.com.br/arquivos/ids/223535/7891000613597-CafeSoluvelNESCAFECAPPUCCINOTradicionalLata180g-1.jpg?v=638664166987930000</t>
  </si>
  <si>
    <t>https://mambodelivery.vteximg.com.br/arquivos/ids/223536/7891000613597-CafeSoluvelNESCAFECAPPUCCINOTradicionalLata180g-2.jpg?v=638664166992000000</t>
  </si>
  <si>
    <t>https://mambodelivery.vteximg.com.br/arquivos/ids/223537/7891000613597-CafeSoluvelNESCAFECAPPUCCINOTradicionalLata180g-3.jpg?v=638664166995570000</t>
  </si>
  <si>
    <t>https://mambodelivery.vteximg.com.br/arquivos/ids/223538/7891000613597-CafeSoluvelNESCAFECAPPUCCINOTradicionalLata180g-4.jpg?v=638664166998200000</t>
  </si>
  <si>
    <t>https://mambodelivery.vteximg.com.br/arquivos/ids/223539/7891000613597-CafeSoluvelNESCAFECAPPUCCINOTradicionalLata180g-5.jpg?v=638664167001170000</t>
  </si>
  <si>
    <t>281679</t>
  </si>
  <si>
    <t>Cápsula de Café Mujeres Cafeteras Juan Valdez 44,8g com 8 Unidades</t>
  </si>
  <si>
    <t>44.8</t>
  </si>
  <si>
    <t>https://www.mambo.com.br/cafe-em-capsula-mujeres-cafeteras-juan-valdez-44-8g/p</t>
  </si>
  <si>
    <t>https://mambodelivery.vteximg.com.br/arquivos/ids/221322/281451-Cafe-em-Capsula-Mujeres-Cafeteras-Juan-Valdez-448g.jpg?v=638635546975230000</t>
  </si>
  <si>
    <t>281680</t>
  </si>
  <si>
    <t>Cápsula de Café Paisaje Cultural Juan Valdez 44,8g com 8 Unidades</t>
  </si>
  <si>
    <t>7707280887811</t>
  </si>
  <si>
    <t>https://www.mambo.com.br/capsula-de-cafe-paisaje-cultural-juan-valdez-44-8g-8-unidades/p</t>
  </si>
  <si>
    <t>https://mambodelivery.vteximg.com.br/arquivos/ids/221321/281452-Cafe-em-Capsula-Paisaje-Cultural-Juan-Valdez-448g.jpg?v=638635546278770000</t>
  </si>
  <si>
    <t>281681</t>
  </si>
  <si>
    <t>Café Torrado e Moído Premium Bialetti 250g</t>
  </si>
  <si>
    <t>Bialetti</t>
  </si>
  <si>
    <t>606529593285</t>
  </si>
  <si>
    <t>49.49</t>
  </si>
  <si>
    <t>https://www.mambo.com.br/cafe-torrado-e-moido-premium-bialetti-250g-/p</t>
  </si>
  <si>
    <t>https://mambodelivery.vteximg.com.br/arquivos/ids/221320/281453-Cafe-Torrado-e-Moido-Premium-Bialetti-250g.jpg?v=638635545053270000</t>
  </si>
  <si>
    <t>281701</t>
  </si>
  <si>
    <t>Café Torrado e Moído Perfetto Moka Bialetti 250g</t>
  </si>
  <si>
    <t>606529593261</t>
  </si>
  <si>
    <t>https://www.mambo.com.br/cafe-torrado-e-moido-perfetto-moka-bialetti-250g/p</t>
  </si>
  <si>
    <t>https://mambodelivery.vteximg.com.br/arquivos/ids/221548/281472-Cafe-Torrado-e-Moido-Perfetto-Moka-Bialetti-250g.jpg?v=638639061227200000</t>
  </si>
  <si>
    <t>281721</t>
  </si>
  <si>
    <t>Cápsula de Café Caparaó Coffee++ 50g com 10 Unidades</t>
  </si>
  <si>
    <t>630941679968</t>
  </si>
  <si>
    <t>https://www.mambo.com.br/capsula-de-cafe-caparao-coffee-50g-10-unidades/p</t>
  </si>
  <si>
    <t>https://mambodelivery.vteximg.com.br/arquivos/ids/221522/281494-Cafe-em-Capsulas-Caparao-Coffee----50g.jpg?v=638639044443230000</t>
  </si>
  <si>
    <t>281727</t>
  </si>
  <si>
    <t>Café em Grãos Rituais Frutas Vermelhas 3 Corações 250g</t>
  </si>
  <si>
    <t>7896045113361</t>
  </si>
  <si>
    <t>https://www.mambo.com.br/cafe-torrado-em-graos-rituais-frutas-vermelhas-3-coracoes-250g/p</t>
  </si>
  <si>
    <t>https://mambodelivery.vteximg.com.br/arquivos/ids/221516/281503-Cafe-Torrado-em-Graos-Rituais-Frutas-Vermelhas-3-Coracoes-250g.jpg?v=638639033572570000</t>
  </si>
  <si>
    <t>281728</t>
  </si>
  <si>
    <t>Café em Grãos Rituais Frutas Secas 3 Corações 250g</t>
  </si>
  <si>
    <t>7896045113385</t>
  </si>
  <si>
    <t>https://www.mambo.com.br/cafe-torrado-em-graos-rituais-frutas-secas-3-coracoes-250g/p</t>
  </si>
  <si>
    <t>https://mambodelivery.vteximg.com.br/arquivos/ids/221515/281504-Cafe-Torrado-em-Graos-Rituais-Frutas-Secas-3-Coracoes-250g.jpg?v=638639032379400000</t>
  </si>
  <si>
    <t>281729</t>
  </si>
  <si>
    <t>Café em Grãos Rituais Exótico 3 Corações 250g</t>
  </si>
  <si>
    <t>7896045113354</t>
  </si>
  <si>
    <t>https://www.mambo.com.br/cafe-torrado-em-graos-rituais-exotico-3-coracoes-250g/p</t>
  </si>
  <si>
    <t>https://mambodelivery.vteximg.com.br/arquivos/ids/221514/281505-Cafe-Torrado-em-Graos-Rituais-Exotico-3-Coracoes-250g.jpg?v=638639031864830000</t>
  </si>
  <si>
    <t>281730</t>
  </si>
  <si>
    <t>Café em Grãos Rituais Chocolate 3 Corações 250g</t>
  </si>
  <si>
    <t>7896045113378</t>
  </si>
  <si>
    <t>https://www.mambo.com.br/cafe-torrado-em-graos-rituais-chocolate-3-coracoes-250g/p</t>
  </si>
  <si>
    <t>https://mambodelivery.vteximg.com.br/arquivos/ids/221513/281506-Cafe-Torrado-em-Graos-Rituais-Chocolate-3-Coracoes-250g.jpg?v=638639031381200000</t>
  </si>
  <si>
    <t>281748</t>
  </si>
  <si>
    <t>Café Solúvel Granulado Descafeinado 3 Corações Refil 40g</t>
  </si>
  <si>
    <t>https://www.mambo.com.br/cafe-soluvel-granulado-descafeinado-3-coracoes-refil-40g/p</t>
  </si>
  <si>
    <t>https://mambodelivery.vteximg.com.br/arquivos/ids/221457/281525-Cafe-Soluvel-Granulado-Descafeinado-3-Coracoes-Refil-40g.jpg?v=638639003741230000</t>
  </si>
  <si>
    <t>281767</t>
  </si>
  <si>
    <t>Café Torrado e Moído Caparaó Coffee++ 250g</t>
  </si>
  <si>
    <t>630941446201</t>
  </si>
  <si>
    <t>https://www.mambo.com.br/cafe-torrado-e-moido-caparao-coffee-mais-mais-250g/p</t>
  </si>
  <si>
    <t>https://mambodelivery.vteximg.com.br/arquivos/ids/228828/281547.png.png?v=638778099978370000</t>
  </si>
  <si>
    <t>281800</t>
  </si>
  <si>
    <t>Café em Grãos Torrado Gourmet Luvizotto 1kg</t>
  </si>
  <si>
    <t>Luvizotto</t>
  </si>
  <si>
    <t>7898965826024</t>
  </si>
  <si>
    <t>194.98</t>
  </si>
  <si>
    <t>https://www.mambo.com.br/cafe-em-graos-torrado-gourmet-luvizotto-1kg/p</t>
  </si>
  <si>
    <t>https://mambodelivery.vteximg.com.br/arquivos/ids/221591/281590-Cafe-em-Graos-Torrado-Gourmet-Luvizotto-1kg.jpg?v=638639932392930000</t>
  </si>
  <si>
    <t>281801</t>
  </si>
  <si>
    <t>Cápsula de Café Descafeinado 3 Corações 56g com 10 Unidades</t>
  </si>
  <si>
    <t>https://www.mambo.com.br/cafe-em-capsula-descafeinado-3-coracoes-56g-com-10-unidades/p</t>
  </si>
  <si>
    <t>https://mambodelivery.vteximg.com.br/arquivos/ids/221589/281591-Cafe-em-Capsula-Descafeinado-3-Coracoes-56g-com-10-Unidades.jpg?v=638639930048100000</t>
  </si>
  <si>
    <t>281802</t>
  </si>
  <si>
    <t>Café Torrado e Moído Gourmet Luvizotto 500g</t>
  </si>
  <si>
    <t>7898965826017</t>
  </si>
  <si>
    <t>98.49</t>
  </si>
  <si>
    <t>https://www.mambo.com.br/cafe-torrado-e-moido-gourmet-luvizotto-500g/p</t>
  </si>
  <si>
    <t>https://mambodelivery.vteximg.com.br/arquivos/ids/221588/281592-Cafe-Torrado-e-Moido-Gourmet-Luvizotto-500g.jpg?v=638639929544370000</t>
  </si>
  <si>
    <t>281833</t>
  </si>
  <si>
    <t>Café em Grãos Caparaó Coffee++ 250g</t>
  </si>
  <si>
    <t>630941446218</t>
  </si>
  <si>
    <t>https://www.mambo.com.br/cafe-torrado-em-graos-caparao-coffee-mais-mais-250g/p</t>
  </si>
  <si>
    <t>https://mambodelivery.vteximg.com.br/arquivos/ids/228818/281628.png.png?v=638778097005070000</t>
  </si>
  <si>
    <t>281845</t>
  </si>
  <si>
    <t>Café Torrado e Moído Gourmet Ituano 250g</t>
  </si>
  <si>
    <t>7896038025480</t>
  </si>
  <si>
    <t>27.98</t>
  </si>
  <si>
    <t>https://www.mambo.com.br/cafe-torrado-e-moido-gourmet-ituano-250g/p</t>
  </si>
  <si>
    <t>https://mambodelivery.vteximg.com.br/arquivos/ids/233848/281640.jpg?v=638857542224970000</t>
  </si>
  <si>
    <t>281858</t>
  </si>
  <si>
    <t>Cápsulas de Cappuccino Napolitano 3 Corações 110g com 10 Unidades</t>
  </si>
  <si>
    <t>7896045114092</t>
  </si>
  <si>
    <t>https://www.mambo.com.br/capsulas-de-cappuccino-napolitano-3-coracoes-110g-com-10-unidades/p</t>
  </si>
  <si>
    <t>https://mambodelivery.vteximg.com.br/arquivos/ids/221620/281653-Cappuccino-em-Capsulas-Napolitano-3-Coracoes-110g-com-10-Unidades.jpg?v=638640709608530000</t>
  </si>
  <si>
    <t>281960</t>
  </si>
  <si>
    <t>Café Solúvel Gelado Nescafé 100g</t>
  </si>
  <si>
    <t>https://www.mambo.com.br/cafe-soluvel-gelado-nescafe-100g/p</t>
  </si>
  <si>
    <t>https://mambodelivery.vteximg.com.br/arquivos/ids/230970/image-to-upload-0.jpg?v=638803200868770000</t>
  </si>
  <si>
    <t>https://mambodelivery.vteximg.com.br/arquivos/ids/230971/7891000411667-CafeSoluvelNESCAFEGelado100g-1.jpg?v=638803200873530000</t>
  </si>
  <si>
    <t>https://mambodelivery.vteximg.com.br/arquivos/ids/230972/7891000411667-CafeSoluvelNESCAFEGelado100g-1.jpg?v=638803200876670000</t>
  </si>
  <si>
    <t>https://mambodelivery.vteximg.com.br/arquivos/ids/230973/7891000411667-CafeSoluvelNESCAFEGelado100g-2.jpg?v=638803200880700000</t>
  </si>
  <si>
    <t>https://mambodelivery.vteximg.com.br/arquivos/ids/230974/7891000411667-CafeSoluvelNESCAFEGelado100g-1.jpg?v=638803200884330000</t>
  </si>
  <si>
    <t>https://mambodelivery.vteximg.com.br/arquivos/ids/230975/7891000411667-CafeSoluvelNESCAFEGelado100g-2.jpg?v=638803200887400000</t>
  </si>
  <si>
    <t>https://mambodelivery.vteximg.com.br/arquivos/ids/230976/7891000411667-CafeSoluvelNESCAFEGelado100g-3.jpg?v=638803200890500000</t>
  </si>
  <si>
    <t>https://mambodelivery.vteximg.com.br/arquivos/ids/230977/7891000411667-CafeSoluvelNESCAFEGelado100g-4.jpg?v=638803200893800000</t>
  </si>
  <si>
    <t>281988</t>
  </si>
  <si>
    <t>Café em Grãos Torrado Espresso Arábica Gaggia 500g</t>
  </si>
  <si>
    <t>Gaggia</t>
  </si>
  <si>
    <t>7898976782104</t>
  </si>
  <si>
    <t>https://www.mambo.com.br/cafe-em-graos-torrado-espresso-arabica-gaggia-500g/p</t>
  </si>
  <si>
    <t>https://mambodelivery.vteximg.com.br/arquivos/ids/221981/281695-Cafe-em-Graos-Torrado-Espresso-Arabica-Gaggia-500g.jpg?v=638646980031700000</t>
  </si>
  <si>
    <t>282027</t>
  </si>
  <si>
    <t>Cápsula de Café Matas de Minas Luvizotto 50g com 10 Unidades</t>
  </si>
  <si>
    <t>7898965826116</t>
  </si>
  <si>
    <t>https://www.mambo.com.br/capsula-de-cafe-matas-de-minas-luvizotto-50g-com-10-unidades/p</t>
  </si>
  <si>
    <t>https://mambodelivery.vteximg.com.br/arquivos/ids/222070/281755-Cafe-Torrado-e-Moido-em-Capsulas-Matas-de-Minas-Luvizotto-50g-com-10-Unidades.jpg?v=638648487257830000</t>
  </si>
  <si>
    <t>282174</t>
  </si>
  <si>
    <t>Cápsula de Café Iperespresso Intenso Illy 120,6g com 18 Unidades</t>
  </si>
  <si>
    <t>8003753198163</t>
  </si>
  <si>
    <t>18</t>
  </si>
  <si>
    <t>120.6</t>
  </si>
  <si>
    <t>59.98</t>
  </si>
  <si>
    <t>https://www.mambo.com.br/capsula-de-cafe-iperespresso-intenso-illy-120-6g-18-unidades/p</t>
  </si>
  <si>
    <t>https://mambodelivery.vteximg.com.br/arquivos/ids/223279/281915-Cafe-em-Capsulas-Iperespresso-Intenso-Illy-1206g-com-18-Unidades.jpg?v=638658889776930000</t>
  </si>
  <si>
    <t>282175</t>
  </si>
  <si>
    <t>Cápsula de Café Iperespresso Clássico Illy 120,6g com 18 Unidades</t>
  </si>
  <si>
    <t>8003753198149</t>
  </si>
  <si>
    <t>https://www.mambo.com.br/capsula-de-cafe-iperespresso-classico-illy-120-6g-18-unidades/p</t>
  </si>
  <si>
    <t>https://mambodelivery.vteximg.com.br/arquivos/ids/223278/281916-Cafe-em-Capsulas-Iperespresso-Classico-Illy-1206g-com-18-Unidades.jpg?v=638658886998070000</t>
  </si>
  <si>
    <t>282176</t>
  </si>
  <si>
    <t>Cápsula de Café Iperespresso Descafeinado Illy 120,6g com 18 Unidades</t>
  </si>
  <si>
    <t>8003753198224</t>
  </si>
  <si>
    <t>https://www.mambo.com.br/cafe-em-capsulas-iperespresso-descafeinado-illy-1206g-com-18-unidades/p</t>
  </si>
  <si>
    <t>https://mambodelivery.vteximg.com.br/arquivos/ids/223277/281917-Cafe-em-Capsulas-Iperespresso-Descafeinado-Illy-1206g-com-18-Unidades.jpg?v=638658882682900000</t>
  </si>
  <si>
    <t>282185</t>
  </si>
  <si>
    <t>Café Torrado e Moído Etiópia Illy Lata 125g</t>
  </si>
  <si>
    <t>https://www.mambo.com.br/cafe-torrado-e-moido-etiopia-illy-lata-125g/p</t>
  </si>
  <si>
    <t>https://mambodelivery.vteximg.com.br/arquivos/ids/223238/281926-Cafe-Moido-Etiopia-Illy-Lata-125g.jpg?v=638658846815470000</t>
  </si>
  <si>
    <t>282210</t>
  </si>
  <si>
    <t>Cápsula de Café com Leite Italle 75g com 10 Unidades</t>
  </si>
  <si>
    <t>7898968710733</t>
  </si>
  <si>
    <t>15.99</t>
  </si>
  <si>
    <t>https://www.mambo.com.br/capsula-de-cafe-com-leite-italle-75g-com-10-unidades/p</t>
  </si>
  <si>
    <t>https://mambodelivery.vteximg.com.br/arquivos/ids/223080/281952-Cafe-com-Leite-em-Capsulas-Italle-75g-com-10-Unidades.jpg?v=638657300391300000</t>
  </si>
  <si>
    <t>282474</t>
  </si>
  <si>
    <t>Cápsula de Café Gourmet Napoli Italle 50g com 10 Unidades</t>
  </si>
  <si>
    <t>7898994748717</t>
  </si>
  <si>
    <t>https://www.mambo.com.br/capsula-de-cafe-gourmet-napoli-italle-50g-com-10-unidades/p</t>
  </si>
  <si>
    <t>https://mambodelivery.vteximg.com.br/arquivos/ids/224529/produto_ecommerce260174_11046.jpg?v=638687405229070000</t>
  </si>
  <si>
    <t>282528</t>
  </si>
  <si>
    <t>Café Gourmet em Cápsulas Torra Italiana Santa Monica 52g com 10 Unidades</t>
  </si>
  <si>
    <t>https://www.mambo.com.br/cafe-gourmet-em-capsulas-torra-italiana-santa-monica-52g-com-10-unidades/p</t>
  </si>
  <si>
    <t>https://mambodelivery.vteximg.com.br/arquivos/ids/224747/_--9-.jpg?v=638689137114630000</t>
  </si>
  <si>
    <t>283185</t>
  </si>
  <si>
    <t>Café em Grãos Gourmet Torra Italiana Santa Monica 1kg</t>
  </si>
  <si>
    <t>159.98</t>
  </si>
  <si>
    <t>https://www.mambo.com.br/cafe-gourmet-em-graos-torra-italiana-santa-monica-1kg/p</t>
  </si>
  <si>
    <t>https://mambodelivery.vteximg.com.br/arquivos/ids/226329/282545.png.png?v=638742806034230000</t>
  </si>
  <si>
    <t>283653</t>
  </si>
  <si>
    <t>Café Solúvel Ultimo L'or 84g</t>
  </si>
  <si>
    <t>https://www.mambo.com.br/cafe-soluvel-ultimo-lor-84g/p</t>
  </si>
  <si>
    <t>https://mambodelivery.vteximg.com.br/arquivos/ids/231296/283118.png.png?v=638810002924200000</t>
  </si>
  <si>
    <t>283655</t>
  </si>
  <si>
    <t>Cápsula de Café Passione Rossa L'or 52g com 10 Unidades</t>
  </si>
  <si>
    <t>https://www.mambo.com.br/capsula-de-cafe-passione-rossa-lor-52g-com-10-unidades-/p</t>
  </si>
  <si>
    <t>https://mambodelivery.vteximg.com.br/arquivos/ids/231298/283120.png.png?v=638810004384030000</t>
  </si>
  <si>
    <t>283660</t>
  </si>
  <si>
    <t>Cápsula de Café Maranello Espresso L'or 52g com 10 Unidades</t>
  </si>
  <si>
    <t>https://www.mambo.com.br/capsula-de-cafe-maranello-espresso-lor-52g-com-10-unidades/p</t>
  </si>
  <si>
    <t>https://mambodelivery.vteximg.com.br/arquivos/ids/231307/283133.png.png?v=638810017583200000</t>
  </si>
  <si>
    <t>283661</t>
  </si>
  <si>
    <t>Cápsula de Café Espresso Brasil L'or 52g com 10 Unidades</t>
  </si>
  <si>
    <t>https://www.mambo.com.br/capsula-de-cafe-espresso-brasil-lor-52g-com-10-unidades/p</t>
  </si>
  <si>
    <t>https://mambodelivery.vteximg.com.br/arquivos/ids/231308/283134.png.png?v=638810018072370000</t>
  </si>
  <si>
    <t>283855</t>
  </si>
  <si>
    <t>Cápsula de Café Colômbia Compagnia Dell' Arabica Caffè Corsini 52g com 10 Unidades</t>
  </si>
  <si>
    <t>8001684910533</t>
  </si>
  <si>
    <t>38.49</t>
  </si>
  <si>
    <t>https://www.mambo.com.br/capsula-de-cafe-colombia-compagnia-dellarabica-caffe-corsini-52g-com-10-unidades/p</t>
  </si>
  <si>
    <t>https://mambodelivery.vteximg.com.br/arquivos/ids/231754/283380.jpg.jpg?v=638821445034370000</t>
  </si>
  <si>
    <t>283856</t>
  </si>
  <si>
    <t>Cápsula de Café Costa Rica Compagnia Dell' Arabica Caffè Corsini 52g com 10 Unidades</t>
  </si>
  <si>
    <t>8001684911660</t>
  </si>
  <si>
    <t>https://www.mambo.com.br/capsula-de-cafe-costa-rica-compagnia-dellarabica-caffe-corsini-52g-com-10-unidades/p</t>
  </si>
  <si>
    <t>https://mambodelivery.vteximg.com.br/arquivos/ids/231755/283381.jpg.jpg?v=638821446574800000</t>
  </si>
  <si>
    <t>283857</t>
  </si>
  <si>
    <t>Cápsula de Café Índia Compagnia Dell' Arabica Caffè Corsini 52g com 10 Unidades</t>
  </si>
  <si>
    <t>8001684911639</t>
  </si>
  <si>
    <t>https://www.mambo.com.br/capsula-de-cafe-india-compagnia-dellarabica-caffe-corsini-52g-com-10-unidades/p</t>
  </si>
  <si>
    <t>https://mambodelivery.vteximg.com.br/arquivos/ids/231756/283382.jpg.jpg?v=638821447713830000</t>
  </si>
  <si>
    <t>283858</t>
  </si>
  <si>
    <t>Cápsula de Café Kenya Compagnia Dell' Arabica Caffè Corsini 52g com 10 Unidades</t>
  </si>
  <si>
    <t>8001684910540</t>
  </si>
  <si>
    <t>https://www.mambo.com.br/capsula-de-cafe-kenya-compagnia-dellarabica-caffe-corsini-52g-com-10-unidades/p</t>
  </si>
  <si>
    <t>https://mambodelivery.vteximg.com.br/arquivos/ids/231757/283383.jpg.jpg?v=638821448048500000</t>
  </si>
  <si>
    <t>283923</t>
  </si>
  <si>
    <t>Cápsula de Café Clássico Baggio 70g com 10 Unidades</t>
  </si>
  <si>
    <t>7898952174893</t>
  </si>
  <si>
    <t>https://www.mambo.com.br/capsula-de-cafe-classico-baggio-70g-com-10-unidades/p</t>
  </si>
  <si>
    <t>https://mambodelivery.vteximg.com.br/arquivos/ids/232380/283463.jpg.jpg?v=638829986151400000</t>
  </si>
  <si>
    <t>283924</t>
  </si>
  <si>
    <t>Cápsula de Café Aromas Caramelo Baggio 70g com 10 Unidades</t>
  </si>
  <si>
    <t>7898952174909</t>
  </si>
  <si>
    <t>https://www.mambo.com.br/capsula-de-cafe-aromas-caramelo-baggio-70g-com-10-unidades/p</t>
  </si>
  <si>
    <t>https://mambodelivery.vteximg.com.br/arquivos/ids/232381/283464.jpg.jpg?v=638829986802630000</t>
  </si>
  <si>
    <t>283925</t>
  </si>
  <si>
    <t>Cápsula de Café Aromas Chocolate Trufado Baggio 70g com 10 Unidades</t>
  </si>
  <si>
    <t>7898952174916</t>
  </si>
  <si>
    <t>https://www.mambo.com.br/capsula-de-cafe-aromas-chocolate-trufado-baggio-70g-com-10-unidades/p</t>
  </si>
  <si>
    <t>https://mambodelivery.vteximg.com.br/arquivos/ids/232382/283465.jpg.jpg?v=638829987163100000</t>
  </si>
  <si>
    <t>283926</t>
  </si>
  <si>
    <t>Cápsula de Café Aromas Chocolate com Avelã Baggio 70g com 10 Unidades</t>
  </si>
  <si>
    <t>7898952174923</t>
  </si>
  <si>
    <t>https://www.mambo.com.br/capsula-de-cafe-aromas-chocolate-com-avela-baggio-70g-com-10-unidades/p</t>
  </si>
  <si>
    <t>https://mambodelivery.vteximg.com.br/arquivos/ids/232383/283466.jpg.jpg?v=638829987646930000</t>
  </si>
  <si>
    <t>284199</t>
  </si>
  <si>
    <t>Cápsula de Café Lungo Chapada Diamantina Dolce Gusto &amp; Nescafé 60g com 10 Unidades</t>
  </si>
  <si>
    <t>https://www.mambo.com.br/capsula-de-cafe-lungo-chapada-diamantina-dolce-gusto-e-nescafe-60g-com-10-unidades/p</t>
  </si>
  <si>
    <t>https://mambodelivery.vteximg.com.br/arquivos/ids/238040/7891000411537-CapsuladeCafeDolceGustoChapadaDiamantina10Caps60g-1.jpg?v=638941424574870000</t>
  </si>
  <si>
    <t>https://mambodelivery.vteximg.com.br/arquivos/ids/238041/7891000411537-CapsuladeCafeDolceGustoChapadaDiamantina10Caps60g-1.jpg?v=638941424578900000</t>
  </si>
  <si>
    <t>https://mambodelivery.vteximg.com.br/arquivos/ids/238042/7891000411537-CapsuladeCafeDolceGustoChapadaDiamantina10Caps60g-2.jpg?v=638941424581570000</t>
  </si>
  <si>
    <t>https://mambodelivery.vteximg.com.br/arquivos/ids/238043/7891000411537-CapsuladeCafeDolceGustoChapadaDiamantina10Caps60g-3.jpg?v=638941424584070000</t>
  </si>
  <si>
    <t>https://mambodelivery.vteximg.com.br/arquivos/ids/238044/7891000411537-CapsuladeCafeDolceGustoChapadaDiamantina10Caps60g-4.jpg?v=638941424587030000</t>
  </si>
  <si>
    <t>284228</t>
  </si>
  <si>
    <t>Cápsula de Café Espresso Avelã L'or 52g com 10 Unidades</t>
  </si>
  <si>
    <t>https://www.mambo.com.br/capsula-de-cafe-espresso-avela-lor-52g-com-10-unidades/p</t>
  </si>
  <si>
    <t>https://mambodelivery.vteximg.com.br/arquivos/ids/234023/283810.jpg?v=638858600070570000</t>
  </si>
  <si>
    <t>284235</t>
  </si>
  <si>
    <t>Cápsula de Café Notas Trufadas Gold Dolce Gusto &amp; Nescafé 60g com 10 Unidades</t>
  </si>
  <si>
    <t>https://www.mambo.com.br/capsula-de-cafe-notas-trufadas-gold-dolce-gusto-e-nescafe-60g-com-10-unidades/p</t>
  </si>
  <si>
    <t>https://mambodelivery.vteximg.com.br/arquivos/ids/238059/7891000420782_1.jpg?v=638941425064700000</t>
  </si>
  <si>
    <t>https://mambodelivery.vteximg.com.br/arquivos/ids/238060/7891000420782_2.jpg?v=638941425068130000</t>
  </si>
  <si>
    <t>https://mambodelivery.vteximg.com.br/arquivos/ids/238061/7891000420782_3.jpg?v=638941425070800000</t>
  </si>
  <si>
    <t>https://mambodelivery.vteximg.com.br/arquivos/ids/238062/7891000420782_4.jpg?v=638941425073900000</t>
  </si>
  <si>
    <t>https://mambodelivery.vteximg.com.br/arquivos/ids/238063/7891000420782-CafeemCapsulaDolceGustoGoldIntensidade6-10capsulas-3.jpg?v=638941425076730000</t>
  </si>
  <si>
    <t>284236</t>
  </si>
  <si>
    <t>Cápsula de Café Espresso Serras do Alto Paranaíba Dolce Gusto &amp; Nescafé 60g com 10 Unidades</t>
  </si>
  <si>
    <t>7891000411568</t>
  </si>
  <si>
    <t>https://www.mambo.com.br/capsula-de-cafe-espresso-serras-do-alto-paranaiba-dolce-gusto-e-nescafe-60g-com-10-unidades/p</t>
  </si>
  <si>
    <t>https://mambodelivery.vteximg.com.br/arquivos/ids/238045/7891000411568-CapsuladeCafeDolceGustoEspressoAltoParanaiba10Caps60g-1.jpg?v=638941424667500000</t>
  </si>
  <si>
    <t>https://mambodelivery.vteximg.com.br/arquivos/ids/238046/7891000411568-CapsuladeCafeDolceGustoEspressoAltoParanaiba10Caps60g-2.jpg?v=638941424672000000</t>
  </si>
  <si>
    <t>https://mambodelivery.vteximg.com.br/arquivos/ids/238047/7891000411568-CapsuladeCafeDolceGustoEspressoAltoParanaiba10Caps60g-3.jpg?v=638941424675430000</t>
  </si>
  <si>
    <t>https://mambodelivery.vteximg.com.br/arquivos/ids/238048/7891000411568-CapsuladeCafeDolceGustoEspressoAltoParanaiba10Caps60g-4.jpg?v=638941424679030000</t>
  </si>
  <si>
    <t>https://mambodelivery.vteximg.com.br/arquivos/ids/238049/7891000411568-CapsuladeCafeDolceGustoEspressoAltoParanaiba10Caps60g-5.jpg?v=638941424682170000</t>
  </si>
  <si>
    <t>284240</t>
  </si>
  <si>
    <t>Cápsula de Café Mochaccino Lajotinha Kopenhagen &amp; Dolce Gusto 170g com 10 Unidades Cápsula de Café Mochaccino Lajotinha Dolce Gusto &amp; Nescafé 170g com 10 Unidades</t>
  </si>
  <si>
    <t>7891000423707</t>
  </si>
  <si>
    <t>https://www.mambo.com.br/capsula-de-cafe-mochaccino-lajotinha-dolce-gusto-e-nescafe-170g-com-10-unidades/p</t>
  </si>
  <si>
    <t>https://mambodelivery.vteximg.com.br/arquivos/ids/237375/7891000423707_1.jpg?v=638935374095500000</t>
  </si>
  <si>
    <t>https://mambodelivery.vteximg.com.br/arquivos/ids/237376/7891000423707_2.jpg?v=638935374099270000</t>
  </si>
  <si>
    <t>284241</t>
  </si>
  <si>
    <t>Cápsula de Achocolatado Língua de Gato Kopenhagen Nescafé &amp; Dolce Gusto 162,5g com 10 Unidades Cápsula de Achocolatado Língua de Gato Nescafé 162,5g com 10 Unidades</t>
  </si>
  <si>
    <t>7891000423523</t>
  </si>
  <si>
    <t>162.5</t>
  </si>
  <si>
    <t>https://www.mambo.com.br/capsula-de-achocolatado-lingua-de-gato-dolce-gusto-e-nescafe-1625g-com-10-unidades/p</t>
  </si>
  <si>
    <t>https://mambodelivery.vteximg.com.br/arquivos/ids/237392/7891000423523-AchocolatadoemCapsulaNescafeDolceGustoKopenhagenLinguadeGato10capsulas-1.jpg?v=638935374564570000</t>
  </si>
  <si>
    <t>https://mambodelivery.vteximg.com.br/arquivos/ids/237393/7891000423523-AchocolatadoemCapsulaNescafeDolceGustoKopenhagenLinguadeGato10capsulas-1.jpg?v=638935374567530000</t>
  </si>
  <si>
    <t>284270</t>
  </si>
  <si>
    <t>Cápsula de Café Torra Média Gold Dolce Gusto &amp; Nescafé 80g com 10 Unidades</t>
  </si>
  <si>
    <t>https://www.mambo.com.br/capsula-de-cafe-torra-media-gold-dolce-gusto-e-nescafe-80g-com-10-unidades/p</t>
  </si>
  <si>
    <t>https://mambodelivery.vteximg.com.br/arquivos/ids/234359/7891000418659_01.jpg?v=638866221145370000</t>
  </si>
  <si>
    <t>https://mambodelivery.vteximg.com.br/arquivos/ids/234360/7891000418659_02.jpg?v=638866221145830000</t>
  </si>
  <si>
    <t>https://mambodelivery.vteximg.com.br/arquivos/ids/234361/7891000418659_03.jpg?v=638866221146000000</t>
  </si>
  <si>
    <t>https://mambodelivery.vteximg.com.br/arquivos/ids/234362/7891000418659_04.jpg?v=638866221146000000</t>
  </si>
  <si>
    <t>https://mambodelivery.vteximg.com.br/arquivos/ids/234363/7891000418659_05.jpg?v=638866221146170000</t>
  </si>
  <si>
    <t>https://mambodelivery.vteximg.com.br/arquivos/ids/234364/7891000418659_06.jpg?v=638866221146170000</t>
  </si>
  <si>
    <t>https://mambodelivery.vteximg.com.br/arquivos/ids/234365/7891000418659_07.jpg?v=638866221146300000</t>
  </si>
  <si>
    <t>284315</t>
  </si>
  <si>
    <t>Café Torrado e Moído Maestro Torra Média Bravo Café 250g</t>
  </si>
  <si>
    <t>7898204020480</t>
  </si>
  <si>
    <t>https://www.mambo.com.br/cafe-torrado-e-moido-maestro-torra-media-bravo-cafe-250g/p</t>
  </si>
  <si>
    <t>https://mambodelivery.vteximg.com.br/arquivos/ids/234461/283899.jpg?v=638875096948030000</t>
  </si>
  <si>
    <t>284342</t>
  </si>
  <si>
    <t>Café em Grãos Gourmet Forza Espresso L'or 500g</t>
  </si>
  <si>
    <t>88.49</t>
  </si>
  <si>
    <t>https://www.mambo.com.br/cafe-em-graos-gourmet-forza-espresso-lor-500g/p</t>
  </si>
  <si>
    <t>https://mambodelivery.vteximg.com.br/arquivos/ids/234496/283929.jpg?v=638875132673200000</t>
  </si>
  <si>
    <t>284345</t>
  </si>
  <si>
    <t>Café Torrado e Moído Intenso Torra Média Coffee++ 250g</t>
  </si>
  <si>
    <t>74468798465</t>
  </si>
  <si>
    <t>https://www.mambo.com.br/cafe-torrado-e-moido-intenso-torra-media-coffee-250g/p</t>
  </si>
  <si>
    <t>https://mambodelivery.vteximg.com.br/arquivos/ids/234499/283932.jpg?v=638875139378000000</t>
  </si>
  <si>
    <t>284346</t>
  </si>
  <si>
    <t>Cápsula de Achocolatado Alpino Intense Dolce Gusto &amp; Nescafé 180g com 10 Cápsulas</t>
  </si>
  <si>
    <t>7891000905845</t>
  </si>
  <si>
    <t>https://www.mambo.com.br/capsula-de-achocolatado-alpino-intense-dolce-gusto-e-nescafe-180g-com-10-capsulas/p</t>
  </si>
  <si>
    <t>https://mambodelivery.vteximg.com.br/arquivos/ids/237336/7891000905845_01.jpg?v=638935363774730000</t>
  </si>
  <si>
    <t>https://mambodelivery.vteximg.com.br/arquivos/ids/237337/7891000905845_02.jpg?v=638935363778800000</t>
  </si>
  <si>
    <t>https://mambodelivery.vteximg.com.br/arquivos/ids/237338/7891000905845_03.jpg?v=638935363783200000</t>
  </si>
  <si>
    <t>https://mambodelivery.vteximg.com.br/arquivos/ids/237339/7891000905845_04.jpg?v=638935363786000000</t>
  </si>
  <si>
    <t>https://mambodelivery.vteximg.com.br/arquivos/ids/237340/7891000905845_06.jpg?v=638935363788970000</t>
  </si>
  <si>
    <t>284550</t>
  </si>
  <si>
    <t>Café Torrado e Moído Torra Média Clara Varietais Catucaí Orfeu 250g</t>
  </si>
  <si>
    <t>7898665833049</t>
  </si>
  <si>
    <t>https://www.mambo.com.br/cafe-torrado-e-moido-torra-media-clara-varietais-catucai-orfeu-250g/p</t>
  </si>
  <si>
    <t>https://mambodelivery.vteximg.com.br/arquivos/ids/234745/284169.jpg?v=638881960274530000</t>
  </si>
  <si>
    <t>284551</t>
  </si>
  <si>
    <t>Cápsula de Café Forte Orfeu 50g com 10 Unidades</t>
  </si>
  <si>
    <t>7898665833117</t>
  </si>
  <si>
    <t>https://www.mambo.com.br/capsula-de-cafe-forte-orfeu-50g-com-10-unidades/p</t>
  </si>
  <si>
    <t>https://mambodelivery.vteximg.com.br/arquivos/ids/234746/284170.jpg?v=638881960977100000</t>
  </si>
  <si>
    <t>284552</t>
  </si>
  <si>
    <t>Café em Grãos Torra Média Clara Varietais Catucaí Orfeu 250g</t>
  </si>
  <si>
    <t>7898665833063</t>
  </si>
  <si>
    <t>https://www.mambo.com.br/cafe-em-graos-torra-media-clara-varietais-catucai-orfeu-250g/p</t>
  </si>
  <si>
    <t>https://mambodelivery.vteximg.com.br/arquivos/ids/234747/284171.jpg?v=638881961456230000</t>
  </si>
  <si>
    <t>284554</t>
  </si>
  <si>
    <t>Cápsula de Café Catucaí Varietais Orfeu 50g com 10 Unidades</t>
  </si>
  <si>
    <t>7898665833056</t>
  </si>
  <si>
    <t>https://www.mambo.com.br/capsula-de-cafe-catucai-varietais-orfeu-50g-com-10-unidades/p</t>
  </si>
  <si>
    <t>https://mambodelivery.vteximg.com.br/arquivos/ids/235061/284172.jpg?v=638884641981200000</t>
  </si>
  <si>
    <t>284572</t>
  </si>
  <si>
    <t>Café Torrado e Moído Premium Estrada Real 3 Corações 500g</t>
  </si>
  <si>
    <t>7896005800829</t>
  </si>
  <si>
    <t>https://www.mambo.com.br/cafe-torrado-e-moido-premium-estrada-real-3-coracoes-500g/p</t>
  </si>
  <si>
    <t>https://mambodelivery.vteximg.com.br/arquivos/ids/235060/165206.jpg?v=638884639730800000</t>
  </si>
  <si>
    <t>284579</t>
  </si>
  <si>
    <t>Café Torrado e Moído Regiões Brasileiras Terras Capixabas Melitta 250g</t>
  </si>
  <si>
    <t>7896348301441</t>
  </si>
  <si>
    <t>https://www.mambo.com.br/cafe-torrado-e-moido-regioes-brasileiras-terras-capixabas-melitta-250g/p</t>
  </si>
  <si>
    <t>https://mambodelivery.vteximg.com.br/arquivos/ids/235234/280967.jpg?v=638889515815470000</t>
  </si>
  <si>
    <t>284585</t>
  </si>
  <si>
    <t>Cápsula de Café Cappuccino Paçoca Três Corações 110g com 10 Unidades</t>
  </si>
  <si>
    <t>7896045114108</t>
  </si>
  <si>
    <t>https://www.mambo.com.br/capsula-de-cafe-cappuccino-pacoca-tres-coracoes-110g-com-10-unidades/p</t>
  </si>
  <si>
    <t>https://mambodelivery.vteximg.com.br/arquivos/ids/235446/284200.jpg?v=638900187887630000</t>
  </si>
  <si>
    <t>284608</t>
  </si>
  <si>
    <t>Cápsula de Café Amaro União 52g com 10 Unidades</t>
  </si>
  <si>
    <t>https://www.mambo.com.br/capsula-de-cafe-amaro-uniao-52g-com-10-unidades/p</t>
  </si>
  <si>
    <t>https://mambodelivery.vteximg.com.br/arquivos/ids/235483/284225.jpg?v=638900953925100000</t>
  </si>
  <si>
    <t>284609</t>
  </si>
  <si>
    <t>Cápsula de Café Ristretto União 52g com 10 Unidades</t>
  </si>
  <si>
    <t>https://www.mambo.com.br/capsula-de-cafe-ristretto-uniao-52g-com-10-unidades/p</t>
  </si>
  <si>
    <t>https://mambodelivery.vteximg.com.br/arquivos/ids/235484/284226.jpg?v=638900954512470000</t>
  </si>
  <si>
    <t>284610</t>
  </si>
  <si>
    <t>Cápsula de Café Classico União 52g com 10 Unidades</t>
  </si>
  <si>
    <t>https://www.mambo.com.br/capsula-de-cafe-classico-uniao-52g-com-10-unidades/p</t>
  </si>
  <si>
    <t>https://mambodelivery.vteximg.com.br/arquivos/ids/235485/284227.jpg?v=638900955394970000</t>
  </si>
  <si>
    <t>284611</t>
  </si>
  <si>
    <t>Cápsula de Café Velluto União 52g com 10 Unidades</t>
  </si>
  <si>
    <t>https://www.mambo.com.br/capsula-de-cafe-velluto-uniao-52g-com-10-unidades/p</t>
  </si>
  <si>
    <t>https://mambodelivery.vteximg.com.br/arquivos/ids/235486/284228.jpg?v=638900955737500000</t>
  </si>
  <si>
    <t>284612</t>
  </si>
  <si>
    <t>Cápsula de Café Ristretto Descafeinado União 52g com 10 Unidades</t>
  </si>
  <si>
    <t>https://www.mambo.com.br/capsula-de-cafe-ristretto-descafeinado-uniao-52g-com-10-unidades/p</t>
  </si>
  <si>
    <t>https://mambodelivery.vteximg.com.br/arquivos/ids/235487/284229.jpg?v=638900955967300000</t>
  </si>
  <si>
    <t>284621</t>
  </si>
  <si>
    <t>Café Torrado e Moído Tradicional Café Brasileiro 500g</t>
  </si>
  <si>
    <t>https://www.mambo.com.br/cafe-torrado-e-moido-tradicional-cafe-brasileiro-500g/p</t>
  </si>
  <si>
    <t>https://mambodelivery.vteximg.com.br/arquivos/ids/235497/284239.jpg?v=638900961986970000</t>
  </si>
  <si>
    <t>284622</t>
  </si>
  <si>
    <t>Café Torrado e Moído Extra Forte Café Brasileiro 500g</t>
  </si>
  <si>
    <t>7891018427643</t>
  </si>
  <si>
    <t>https://www.mambo.com.br/cafe-torrado-e-moido-extra-forte-cafe-brasileiro-500g/p</t>
  </si>
  <si>
    <t>https://mambodelivery.vteximg.com.br/arquivos/ids/235498/284240.jpg?v=638900962349330000</t>
  </si>
  <si>
    <t>284631</t>
  </si>
  <si>
    <t>Café Torrado e Moído Gourmet Ã Vácuo Café Toledo 250g</t>
  </si>
  <si>
    <t>7898376450214</t>
  </si>
  <si>
    <t>36.99</t>
  </si>
  <si>
    <t>https://www.mambo.com.br/cafe-torrado-e-moido-gourmet-a-vacuo-cafe-toledo-250g/p</t>
  </si>
  <si>
    <t>https://mambodelivery.vteximg.com.br/arquivos/ids/235444/7898376450214.jpg?v=638900147918000000</t>
  </si>
  <si>
    <t>284752</t>
  </si>
  <si>
    <t>Cápsula de Cappuccino com Cacau Kopenhagen &amp; Nescafé 135g com 10 Unidades</t>
  </si>
  <si>
    <t>7891000423615</t>
  </si>
  <si>
    <t>29.49</t>
  </si>
  <si>
    <t>https://www.mambo.com.br/capsula-de-cappuccino-com-cacau-kopenhagen-e-nescafe-135g-com-10-unidades/p</t>
  </si>
  <si>
    <t>https://mambodelivery.vteximg.com.br/arquivos/ids/241018/7891000423615_1.jpg?v=639004467248870000</t>
  </si>
  <si>
    <t>https://mambodelivery.vteximg.com.br/arquivos/ids/241019/7891000423615_2.jpg?v=639004467253730000</t>
  </si>
  <si>
    <t>https://mambodelivery.vteximg.com.br/arquivos/ids/241020/7891000423615_3.jpg?v=639004467256370000</t>
  </si>
  <si>
    <t>https://mambodelivery.vteximg.com.br/arquivos/ids/241021/7891000423615_4.jpg?v=639004467259330000</t>
  </si>
  <si>
    <t>284762</t>
  </si>
  <si>
    <t>Cápsula de Café Espresso Kopenhagen &amp; Nescafé 60g com 10 Unidades</t>
  </si>
  <si>
    <t>https://www.mambo.com.br/capsula-de-cafe-espresso-kopenhagen-e-nescafe-60g-com-10-unidades/p</t>
  </si>
  <si>
    <t>https://mambodelivery.vteximg.com.br/arquivos/ids/242098/7891000423431_1.jpg?v=639044192912430000</t>
  </si>
  <si>
    <t>https://mambodelivery.vteximg.com.br/arquivos/ids/242099/image-to-upload-1.jpg?v=639044192915530000</t>
  </si>
  <si>
    <t>https://mambodelivery.vteximg.com.br/arquivos/ids/242100/image-to-upload-2.jpg?v=639044192918030000</t>
  </si>
  <si>
    <t>https://mambodelivery.vteximg.com.br/arquivos/ids/242101/7891000423431_4.jpg?v=639044192920500000</t>
  </si>
  <si>
    <t>284815</t>
  </si>
  <si>
    <t>Cápsula de Achocolatado Alpino &amp; Galak Nescafé 286,4g com 16 Unidades</t>
  </si>
  <si>
    <t>7891000427095</t>
  </si>
  <si>
    <t>16</t>
  </si>
  <si>
    <t>286.4</t>
  </si>
  <si>
    <t>https://www.mambo.com.br/capsula-de-achocolatado-alpino-galak-nescafe-2864g-com-16-unidades/p</t>
  </si>
  <si>
    <t>https://mambodelivery.vteximg.com.br/arquivos/ids/236143/284412.jpg?v=638917383657000000</t>
  </si>
  <si>
    <t>284826</t>
  </si>
  <si>
    <t>Café em Grãos Intenso Especial Super Crema Coffee++ 250g</t>
  </si>
  <si>
    <t>40141882486</t>
  </si>
  <si>
    <t>https://www.mambo.com.br/cafe-em-graos-intenso-especial-super-crema-coffee-250g/p</t>
  </si>
  <si>
    <t>https://mambodelivery.vteximg.com.br/arquivos/ids/236154/284424.jpg?v=638917391043130000</t>
  </si>
  <si>
    <t>284827</t>
  </si>
  <si>
    <t>Café em Grãos Especial Solos Vulcânicos Coffee++ 250g</t>
  </si>
  <si>
    <t>40141882479</t>
  </si>
  <si>
    <t>https://www.mambo.com.br/cafe-em-graos-especial-solos-vulcanicos-coffee-250g/p</t>
  </si>
  <si>
    <t>https://mambodelivery.vteximg.com.br/arquivos/ids/236155/284425.jpg?v=638917391352400000</t>
  </si>
  <si>
    <t>284828</t>
  </si>
  <si>
    <t>Café Torrado e Moído Especial Solos Vulcânicos Coffee++ 250g</t>
  </si>
  <si>
    <t>74468798434</t>
  </si>
  <si>
    <t>https://www.mambo.com.br/cafe-torrado-e-moido-especial-solos-vulcanicos-coffee-250g/p</t>
  </si>
  <si>
    <t>https://mambodelivery.vteximg.com.br/arquivos/ids/236156/284426.jpg?v=638917391672500000</t>
  </si>
  <si>
    <t>284886</t>
  </si>
  <si>
    <t>Cappuccino Solúvel Pistache e Chocolate L'or 19,5g</t>
  </si>
  <si>
    <t>7896089015065</t>
  </si>
  <si>
    <t>19.5</t>
  </si>
  <si>
    <t>3.59</t>
  </si>
  <si>
    <t>https://www.mambo.com.br/cappuccino-soluvel-pistache-e-chocolate-lor-195g/p</t>
  </si>
  <si>
    <t>https://mambodelivery.vteximg.com.br/arquivos/ids/236339/284498.jpg?v=638922031194600000</t>
  </si>
  <si>
    <t>284974</t>
  </si>
  <si>
    <t>Café Torrado e Moído Chapada Diamantina Origens do Brasil Nescafé 250g</t>
  </si>
  <si>
    <t>41.49</t>
  </si>
  <si>
    <t>https://www.mambo.com.br/cafe-torrado-e-moido-chapada-diamantina-origens-do-brasil-nescafe-250g/p</t>
  </si>
  <si>
    <t>https://mambodelivery.vteximg.com.br/arquivos/ids/237723/284609.jpg?v=638935631446500000</t>
  </si>
  <si>
    <t>284977</t>
  </si>
  <si>
    <t>Cápsula de Café Espresso Colombia Nescafé 79,2g com 18 Unidades</t>
  </si>
  <si>
    <t>79.2</t>
  </si>
  <si>
    <t>45.98</t>
  </si>
  <si>
    <t>https://www.mambo.com.br/capsula-de-cafe-espresso-colombia-nescafe-792g-com-18-unidades/p</t>
  </si>
  <si>
    <t>https://mambodelivery.vteximg.com.br/arquivos/ids/237726/284612.jpg?v=638936175257700000</t>
  </si>
  <si>
    <t>284978</t>
  </si>
  <si>
    <t>Cápsula de Café Espresso Índia Nescafé 79,2g com 18 Unidades</t>
  </si>
  <si>
    <t>https://www.mambo.com.br/capsula-de-cafe-espresso-india-nescafe-792g-com-18-unidades/p</t>
  </si>
  <si>
    <t>https://mambodelivery.vteximg.com.br/arquivos/ids/237727/284613.jpg?v=638936175501800000</t>
  </si>
  <si>
    <t>284979</t>
  </si>
  <si>
    <t>Cápsula de Café Lungo Brasil Nescafé 79,2g com 18 Unidades</t>
  </si>
  <si>
    <t>https://www.mambo.com.br/capsula-de-cafe-lungo-brasil-nescafe-792g-com-18-unidades/p</t>
  </si>
  <si>
    <t>https://mambodelivery.vteximg.com.br/arquivos/ids/237729/284614.jpg?v=638936176054030000</t>
  </si>
  <si>
    <t>284980</t>
  </si>
  <si>
    <t>Cápsula de Café Ristretto Áfricas Nescafé 79,2g com 18 Unidades</t>
  </si>
  <si>
    <t>https://www.mambo.com.br/capsula-de-cafe-ristretto-africas-nescafe-792g-com-18-unidades/p</t>
  </si>
  <si>
    <t>https://mambodelivery.vteximg.com.br/arquivos/ids/237730/284615.jpg?v=638936176380770000</t>
  </si>
  <si>
    <t>284996</t>
  </si>
  <si>
    <t>Cápsula de Achocolatado Chococino Classic Nestlé &amp; Dolce Gusto 155g com 10 Unidades</t>
  </si>
  <si>
    <t>Bauducco</t>
  </si>
  <si>
    <t>7891000434482</t>
  </si>
  <si>
    <t>155</t>
  </si>
  <si>
    <t>https://www.mambo.com.br/capsula-de-achocolatado-chococino-classic-nestle-dolce-gusto-155g-com-10-unidades/p</t>
  </si>
  <si>
    <t>https://mambodelivery.vteximg.com.br/arquivos/ids/241041/7891000434482_1.jpg?v=639004467887100000</t>
  </si>
  <si>
    <t>https://mambodelivery.vteximg.com.br/arquivos/ids/241043/7891000434482_2.jpg?v=639004467889970000</t>
  </si>
  <si>
    <t>https://mambodelivery.vteximg.com.br/arquivos/ids/241045/7891000434482_3.jpg?v=639004467892600000</t>
  </si>
  <si>
    <t>285030</t>
  </si>
  <si>
    <t>Cápsula de Café Cafeteria Brasil Pilão 52g com 10 Unidades</t>
  </si>
  <si>
    <t>https://www.mambo.com.br/capsula-de-cafe-cafeteria-brasil-pilao-52g-com-10-unidades/p</t>
  </si>
  <si>
    <t>https://mambodelivery.vteximg.com.br/arquivos/ids/237807/284710.jpg?v=638936239344770000</t>
  </si>
  <si>
    <t>285034</t>
  </si>
  <si>
    <t>Cápsula de Café Cafeteria Colômbia Pilão 52g com 10 Unidades</t>
  </si>
  <si>
    <t>7896089015041</t>
  </si>
  <si>
    <t>https://www.mambo.com.br/capsula-de-cafe-cafeteria-colombia-pilao-52g-com-10-unidades/p</t>
  </si>
  <si>
    <t>https://mambodelivery.vteximg.com.br/arquivos/ids/237809/284712.jpg?v=638936239827800000</t>
  </si>
  <si>
    <t>285035</t>
  </si>
  <si>
    <t>Cápsula de Café Expresso Clássico Cafeteria Especialidades Pilão 52g com 10 Unidades</t>
  </si>
  <si>
    <t>https://www.mambo.com.br/capsula-de-cafe-expresso-classico-cafeteria-especialidades-pilao-52g-com-10-unidades/p</t>
  </si>
  <si>
    <t>https://mambodelivery.vteximg.com.br/arquivos/ids/237808/284711.jpg?v=638936239564600000</t>
  </si>
  <si>
    <t>285036</t>
  </si>
  <si>
    <t>Cápsula de Café Expresso Intenso Cafeteria Especialidades Pilão 52g com 10 Unidades</t>
  </si>
  <si>
    <t>https://www.mambo.com.br/capsula-de-cafe-expresso-intenso-cafeteria-especialidades-pilao-52g-com-10-unidades/p</t>
  </si>
  <si>
    <t>https://mambodelivery.vteximg.com.br/arquivos/ids/237806/284709.jpg?v=638936239122330000</t>
  </si>
  <si>
    <t>285075</t>
  </si>
  <si>
    <t>Cápsula de Café Espresso Ristretto L'or 104g com 20 Unidades</t>
  </si>
  <si>
    <t>104</t>
  </si>
  <si>
    <t>52.49</t>
  </si>
  <si>
    <t>https://www.mambo.com.br/capsula-de-cafe-espresso-ristretto-lor-104g-com-20-unidades/p</t>
  </si>
  <si>
    <t>https://mambodelivery.vteximg.com.br/arquivos/ids/237829/228308.jpg?v=638937345545070000</t>
  </si>
  <si>
    <t>285093</t>
  </si>
  <si>
    <t>Cappuccino Solúvel Baunilha L'or Sachê 20,3g</t>
  </si>
  <si>
    <t>7896089051056</t>
  </si>
  <si>
    <t>20.3</t>
  </si>
  <si>
    <t>https://www.mambo.com.br/cappuccino-soluvel-baunilha-lor-sache-203g/p</t>
  </si>
  <si>
    <t>https://mambodelivery.vteximg.com.br/arquivos/ids/237854/284759.jpg?v=638938787739670000</t>
  </si>
  <si>
    <t>285094</t>
  </si>
  <si>
    <t>Cappuccino Solúvel Caramelo L'or Sachê 20,3g</t>
  </si>
  <si>
    <t>7896089051070</t>
  </si>
  <si>
    <t>https://www.mambo.com.br/cappuccino-soluvel-caramelo-lor-sache-203g/p</t>
  </si>
  <si>
    <t>https://mambodelivery.vteximg.com.br/arquivos/ids/237855/284760.jpg?v=638938787944100000</t>
  </si>
  <si>
    <t>285112</t>
  </si>
  <si>
    <t>Café Solúvel Extra Forte Embalagem Econômica Nescafé 185g</t>
  </si>
  <si>
    <t>7891000427255</t>
  </si>
  <si>
    <t>185</t>
  </si>
  <si>
    <t>https://www.mambo.com.br/cafe-soluvel-extra-forte-embalagem-economica-nescafe-185g/p</t>
  </si>
  <si>
    <t>https://mambodelivery.vteximg.com.br/arquivos/ids/237877/284787.jpg?v=638938824107000000</t>
  </si>
  <si>
    <t>285294</t>
  </si>
  <si>
    <t>Cappuccino Solúvel Chocolate L'or Sachê 19,6g</t>
  </si>
  <si>
    <t>7896089051094</t>
  </si>
  <si>
    <t>19.6</t>
  </si>
  <si>
    <t>https://www.mambo.com.br/cappuccino-soluvel-chocolate-lor-sache-196g/p</t>
  </si>
  <si>
    <t>https://mambodelivery.vteximg.com.br/arquivos/ids/238947/284991.jpg?v=638961451778300000</t>
  </si>
  <si>
    <t>285526</t>
  </si>
  <si>
    <t>Café Solúvel Intenso 9 Nescafé Gold Vidro 100g</t>
  </si>
  <si>
    <t>Gold</t>
  </si>
  <si>
    <t>46.98</t>
  </si>
  <si>
    <t>https://www.mambo.com.br/cafe-soluvel-intenso-9-nescafe-gold-vidro-100g/p</t>
  </si>
  <si>
    <t>https://mambodelivery.vteximg.com.br/arquivos/ids/241146/285298--1-.jpg?v=639004489451430000</t>
  </si>
  <si>
    <t>https://mambodelivery.vteximg.com.br/arquivos/ids/241147/8445291748590-CafeSoluvelNescafeGoldVidroLiofilizado100gintensidade9-1.jpg?v=639004489403270000</t>
  </si>
  <si>
    <t>https://mambodelivery.vteximg.com.br/arquivos/ids/241148/8445291748590-CafeSoluvelNescafeGoldVidroLiofilizado100gintensidade9-1.jpg?v=639004489403270000</t>
  </si>
  <si>
    <t>285527</t>
  </si>
  <si>
    <t>Café Solúvel Torra Média Intensidade 5 Nescafé Gold 40g</t>
  </si>
  <si>
    <t>https://www.mambo.com.br/cafe-soluvel-torra-media-intensidade-5-nescafe-gold-40g/p</t>
  </si>
  <si>
    <t>https://mambodelivery.vteximg.com.br/arquivos/ids/240049/285314.jpg?v=638979583217570000</t>
  </si>
  <si>
    <t>285528</t>
  </si>
  <si>
    <t>Café Solúvel Torra Média Intensidade 7 Nescafé Gold 40g</t>
  </si>
  <si>
    <t>https://www.mambo.com.br/cafe-soluvel-torra-media-intensidade-7-nescafe-gold-40g/p</t>
  </si>
  <si>
    <t>https://mambodelivery.vteximg.com.br/arquivos/ids/240050/285315.jpg?v=638979583530630000</t>
  </si>
  <si>
    <t>285529</t>
  </si>
  <si>
    <t>Café Torrado e Moído Premium Torra Clara Bravo 500g</t>
  </si>
  <si>
    <t>7898204020923</t>
  </si>
  <si>
    <t>https://www.mambo.com.br/cafe-torrado-e-moido-premium-torra-clara-bravo-500g/p</t>
  </si>
  <si>
    <t>https://mambodelivery.vteximg.com.br/arquivos/ids/240015/produto_ecommerce675089_20231.jpg?v=638979547343700000</t>
  </si>
  <si>
    <t>285531</t>
  </si>
  <si>
    <t>Cápsula de Café Iperespresso Lungo Illy 111,6g com 18 Unidades</t>
  </si>
  <si>
    <t>8003753198200</t>
  </si>
  <si>
    <t>111.6</t>
  </si>
  <si>
    <t>https://www.mambo.com.br/capsula-de-cafe-iperespresso-lungo-illy-1116g-com-18-unidades/p</t>
  </si>
  <si>
    <t>https://mambodelivery.vteximg.com.br/arquivos/ids/240051/285317.jpg?v=638979583949370000</t>
  </si>
  <si>
    <t>285649</t>
  </si>
  <si>
    <t>Kit Cápsula de Café Variedades Nescafé com 40 Unidades + Xícara Grátis</t>
  </si>
  <si>
    <t>7891000443224</t>
  </si>
  <si>
    <t>https://www.mambo.com.br/kit-capsula-de-cafe-variedades-nescafe-com-40-unidades-xicara-gratis/p</t>
  </si>
  <si>
    <t>https://mambodelivery.vteximg.com.br/arquivos/ids/239799/285412.jpg?v=638978674822800000</t>
  </si>
  <si>
    <t>285669</t>
  </si>
  <si>
    <t>Cápsula de Café Lungo Classico Illy 57g com 10 Unidades</t>
  </si>
  <si>
    <t>8003753158730</t>
  </si>
  <si>
    <t>https://www.mambo.com.br/capsula-de-cafe-lungo-classico-illy-57g-com-10-unidades/p</t>
  </si>
  <si>
    <t>https://mambodelivery.vteximg.com.br/arquivos/ids/239820/285455.jpg?v=638978689022800000</t>
  </si>
  <si>
    <t>285678</t>
  </si>
  <si>
    <t>Café em Grãos Espresso Premium Bravo Café 500g</t>
  </si>
  <si>
    <t>7898204020800</t>
  </si>
  <si>
    <t>41.79</t>
  </si>
  <si>
    <t>https://www.mambo.com.br/cafe-em-graos-espresso-premium-bravo-cafe-500g/p</t>
  </si>
  <si>
    <t>https://mambodelivery.vteximg.com.br/arquivos/ids/239829/285485.jpg?v=638978706836970000</t>
  </si>
  <si>
    <t>286069</t>
  </si>
  <si>
    <t>Café Torrado e Moído Gourmet Torra da Rainha Bridgerton Melitta 250g</t>
  </si>
  <si>
    <t>7896348301809</t>
  </si>
  <si>
    <t>https://www.mambo.com.br/cafe-torrado-e-moido-gourmet-torra-da-rainha-bridgerton-melitta-250g/p</t>
  </si>
  <si>
    <t>https://mambodelivery.vteximg.com.br/arquivos/ids/241537/285948.jpg?v=639016564215530000</t>
  </si>
  <si>
    <t>286095</t>
  </si>
  <si>
    <t>Café Torrado e Moído Gourmet Espírito Santo 3 Corações 250g</t>
  </si>
  <si>
    <t>7896045115341</t>
  </si>
  <si>
    <t>https://www.mambo.com.br/cafe-torrado-e-moido-gourmet-espirito-santo-3-coracoes-250g/p</t>
  </si>
  <si>
    <t>https://mambodelivery.vteximg.com.br/arquivos/ids/241624/286015.jpg?v=639021162607330000</t>
  </si>
  <si>
    <t>286149</t>
  </si>
  <si>
    <t>Cápsula de Café Compatível Nespresso Descafeinado Illy Caixa 57g com 10 Unidades</t>
  </si>
  <si>
    <t>66.49</t>
  </si>
  <si>
    <t>https://www.mambo.com.br/capsula-de-cafe-compativel-nespresso-descafeinado-illy-caixa-57g-com-10-unidades/p</t>
  </si>
  <si>
    <t>https://mambodelivery.vteximg.com.br/arquivos/ids/241745/286097.jpg?v=639032386458870000</t>
  </si>
  <si>
    <t>286152</t>
  </si>
  <si>
    <t>Café Solúvel Nescafé Ice 40g</t>
  </si>
  <si>
    <t>12.49</t>
  </si>
  <si>
    <t>https://www.mambo.com.br/cafe-soluvel-nescafe-ice-40g/p</t>
  </si>
  <si>
    <t>https://mambodelivery.vteximg.com.br/arquivos/ids/241751/286073.jpg?v=639032392241070000</t>
  </si>
  <si>
    <t>286155</t>
  </si>
  <si>
    <t>Café Torrado e Moído Evolutto Premium 500g</t>
  </si>
  <si>
    <t>https://www.mambo.com.br/cafe-torrado-e-moido-evolutto-premium-500g/p</t>
  </si>
  <si>
    <t>https://mambodelivery.vteximg.com.br/arquivos/ids/241747/286076.jpg?v=639032387452930000</t>
  </si>
  <si>
    <t>286160</t>
  </si>
  <si>
    <t>Café Torrado e Moído Aroma de Baunilha Baggio 250g</t>
  </si>
  <si>
    <t>7898952174947</t>
  </si>
  <si>
    <t>https://www.mambo.com.br/cafe-torrado-e-moido-aroma-de-baunilha-baggio-250g/p</t>
  </si>
  <si>
    <t>https://mambodelivery.vteximg.com.br/arquivos/ids/241748/286081.jpg?v=639032389275370000</t>
  </si>
  <si>
    <t>286165</t>
  </si>
  <si>
    <t>Café Torrado e Moído Mantiqueira de Minas Café Brasileiro Gourmet 250g</t>
  </si>
  <si>
    <t>7891018427773</t>
  </si>
  <si>
    <t>https://www.mambo.com.br/cafe-torrado-e-moido-mantiqueira-de-minas-cafe-brasileiro-gourmet-250g/p</t>
  </si>
  <si>
    <t>https://mambodelivery.vteximg.com.br/arquivos/ids/241750/286059.jpg?v=639032391737100000</t>
  </si>
  <si>
    <t>286166</t>
  </si>
  <si>
    <t>Café Torrado e Moído Mogiana Paulista Café Brasileiro Gourmet 250g</t>
  </si>
  <si>
    <t>7891018427797</t>
  </si>
  <si>
    <t>https://www.mambo.com.br/cafe-torrado-e-moido-mogiana-paulista-cafe-brasileiro-gourmet-250g/p</t>
  </si>
  <si>
    <t>https://mambodelivery.vteximg.com.br/arquivos/ids/241749/286060.jpg?v=639032390558430000</t>
  </si>
  <si>
    <t>286167</t>
  </si>
  <si>
    <t>Café Torrado e Moído Caparaó Café Brasileiro Gourmet 250g</t>
  </si>
  <si>
    <t>7891018427780</t>
  </si>
  <si>
    <t>https://www.mambo.com.br/cafe-torrado-e-moido-caparao-cafe-brasileiro-gourmet-250g/p</t>
  </si>
  <si>
    <t>https://mambodelivery.vteximg.com.br/arquivos/ids/241752/286061.jpg?v=639032393024100000</t>
  </si>
  <si>
    <t>286198</t>
  </si>
  <si>
    <t>Café Cremoso Nescafé Lata 150g</t>
  </si>
  <si>
    <t>7891000417478</t>
  </si>
  <si>
    <t>https://www.mambo.com.br/cafe-cremoso-nescafe-lata-150g/p</t>
  </si>
  <si>
    <t>https://mambodelivery.vteximg.com.br/arquivos/ids/241816/286108.jpg?v=639033233289430000</t>
  </si>
  <si>
    <t>20041430</t>
  </si>
  <si>
    <t>Café Solúvel NESCAFÉ Original 160g</t>
  </si>
  <si>
    <t>Café</t>
  </si>
  <si>
    <t>https://marche.com.br/collections/mercearia/products/cafe-soluvel-nescafe-original-160g?store_id=66677604431</t>
  </si>
  <si>
    <t>https://cdn.shopify.com/s/files/1/0587/8487/4575/files/3febfff9-c266-4400-a582-ac2e487fea58_b4ac98b3-f923-4b3e-b822-400b31e016c3.jpg?v=1757118054</t>
  </si>
  <si>
    <t>20068296</t>
  </si>
  <si>
    <t>Cápsula de Café Dolce Gusto Neo Espresso Dark com 10 Unidades</t>
  </si>
  <si>
    <t>Dolce gusto</t>
  </si>
  <si>
    <t>https://marche.com.br/collections/mercearia/products/capsula-de-cafe-dolce-gusto-neo-espresso-dark-com-10-unidades?store_id=66677604431</t>
  </si>
  <si>
    <t>https://cdn.shopify.com/s/files/1/0587/8487/4575/files/a4932535-4d7b-4cd4-b2ed-fd4de780e599.jpg?v=1757109705</t>
  </si>
  <si>
    <t>20068298</t>
  </si>
  <si>
    <t>Cápsulas de Café Dolce Gusto Neo Lungo Cerrado com 10 Unidades</t>
  </si>
  <si>
    <t>https://marche.com.br/collections/mercearia/products/capsulas-de-cafe-dolce-gusto-neo-lungo-cerrado-com-10-unidades?store_id=66677604431</t>
  </si>
  <si>
    <t>https://cdn.shopify.com/s/files/1/0587/8487/4575/files/21a7f66c-4477-410a-bdda-85102dd92688_a2161dc3-38cb-4ad9-a007-8fbcf06e9307.jpg?v=1757109717</t>
  </si>
  <si>
    <t>20068295</t>
  </si>
  <si>
    <t>Cápsula de Café Dolce Gusto Neo Espresso Delicate com 10 Unidades</t>
  </si>
  <si>
    <t>https://marche.com.br/collections/mercearia/products/capsula-de-cafe-dolce-gusto-neo-espresso-delicate-com-10-unidades?store_id=66677604431</t>
  </si>
  <si>
    <t>https://cdn.shopify.com/s/files/1/0587/8487/4575/files/08763ff6-4c8b-4f73-8d40-ae5cda1c76b1.jpg?v=1757109702</t>
  </si>
  <si>
    <t>20068297</t>
  </si>
  <si>
    <t>Cápsula de Café Dolce Gusto Neo Espresso Sul de Minas com 10 Unidades</t>
  </si>
  <si>
    <t>https://marche.com.br/collections/mercearia/products/capsula-de-cafe-dolce-gusto-neo-espresso-sul-de-minas-com-10-unidades?store_id=66677604431</t>
  </si>
  <si>
    <t>https://cdn.shopify.com/s/files/1/0587/8487/4575/files/9a499917-a5bb-4d24-b2ee-e43b5504686e_c76aea3d-54df-44ba-826d-a88dd201bb96.jpg?v=1757109712</t>
  </si>
  <si>
    <t>20051843</t>
  </si>
  <si>
    <t>Café MELITTA Especial 500g</t>
  </si>
  <si>
    <t>https://marche.com.br/collections/mercearia/products/cafe-melitta-especial-500g?store_id=66677604431</t>
  </si>
  <si>
    <t>https://cdn.shopify.com/s/files/1/0587/8487/4575/files/c57e3f7c-0aa2-4ab8-8699-132ec118a75a.png?v=1757119207</t>
  </si>
  <si>
    <t>20068293</t>
  </si>
  <si>
    <t>Cápsula Dolce Gusto Neo Caseiro Dark Com 10</t>
  </si>
  <si>
    <t>https://marche.com.br/collections/mercearia/products/capsula-dolce-gusto-neo-caseiro-dark-com-10?store_id=66677604431</t>
  </si>
  <si>
    <t>https://cdn.shopify.com/s/files/1/0587/8487/4575/files/ef360ab7-2132-4607-b7bf-e7bfe9939019.png?v=1757109693</t>
  </si>
  <si>
    <t>20018601</t>
  </si>
  <si>
    <t>Caps Cafe ILLY Arabica Selec Br com 21Un</t>
  </si>
  <si>
    <t>https://marche.com.br/collections/mercearia/products/caps-cafe-illy-arabica-selec-br-com-21un?store_id=66677604431</t>
  </si>
  <si>
    <t>https://cdn.shopify.com/s/files/1/0587/8487/4575/files/fb6e726a-acb9-4012-91bf-6f7c555e3c0a_eddc1875-ed0d-421d-81c3-71434ed32679.jpg?v=1757115892</t>
  </si>
  <si>
    <t>20018603</t>
  </si>
  <si>
    <t>Cápsulas de Café Illy Arabica Selection Guatemala Com 18 Unidades</t>
  </si>
  <si>
    <t>https://marche.com.br/collections/mercearia/products/capsulas-de-cafe-illy-arabica-selection-guatemala-com-18-unidades?store_id=66677604431</t>
  </si>
  <si>
    <t>https://cdn.shopify.com/s/files/1/0587/8487/4575/files/ee3e0606-765a-4a43-98e5-99c8a8a52ebb_cae341e1-3825-4896-9c6b-0d65485e77a1.jpg?v=1757115897</t>
  </si>
  <si>
    <t>20018602</t>
  </si>
  <si>
    <t>Cápsulas de Café Illy Arabic Select Etiopia Com 18 Uniddaes</t>
  </si>
  <si>
    <t>https://marche.com.br/collections/mercearia/products/capsulas-de-cafe-illy-arabic-select-etiopia-com-18-uniddaes?store_id=66677604431</t>
  </si>
  <si>
    <t>https://cdn.shopify.com/s/files/1/0587/8487/4575/files/600a27c5-984f-4f86-a5a0-cda6cc215687.jpg?v=1757115895</t>
  </si>
  <si>
    <t>20019024</t>
  </si>
  <si>
    <t>Café Orfeu Torrado e Moído Clássico 250g</t>
  </si>
  <si>
    <t>https://marche.com.br/collections/mercearia/products/cafe-orfeu-torrado-e-moido-classico-250g?store_id=66677604431</t>
  </si>
  <si>
    <t>https://cdn.shopify.com/s/files/1/0587/8487/4575/files/a1a7956a-3bdd-477c-bb3c-0d1c273fab94.png?v=1757022642</t>
  </si>
  <si>
    <t>20075807</t>
  </si>
  <si>
    <t>Café 3 Corações Drip Florada Premium 10 Unidades</t>
  </si>
  <si>
    <t>https://marche.com.br/collections/mercearia/products/cafe-3-coracoes-drip-florada-premium-10-unidades?store_id=66677604431</t>
  </si>
  <si>
    <t>https://cdn.shopify.com/s/files/1/0587/8487/4575/files/f1beb323-6da7-45a6-b8b1-a4906bc4b36c_33553f0c-3632-48ad-b58b-d1c8cbb682df.png?v=1757026428</t>
  </si>
  <si>
    <t>20082792</t>
  </si>
  <si>
    <t>Café Nescafé Gold Solúvel 7 Liofilizado 40g</t>
  </si>
  <si>
    <t>St. Marche</t>
  </si>
  <si>
    <t>https://marche.com.br/collections/mercearia/products/cafe-nescafe-gold-inst-7-liofilizado-40g?store_id=66677604431</t>
  </si>
  <si>
    <t>https://cdn.shopify.com/s/files/1/0587/8487/4575/files/ec8ce6cf-9685-4caa-9601-65cb800a363e.png?v=1765915229</t>
  </si>
  <si>
    <t>20033036</t>
  </si>
  <si>
    <t>Café ILLY em Pó Moído Intenso 250g</t>
  </si>
  <si>
    <t>https://marche.com.br/collections/mercearia/products/cafe-illy-em-po-moido-intenso-250g?store_id=66677604431</t>
  </si>
  <si>
    <t>https://cdn.shopify.com/s/files/1/0587/8487/4575/files/5f921c00-0ef9-4c88-83d8-5a28ca3e8c61_a9f176bf-c45c-484e-9d2d-27fd3790c4de.png?v=1757023570</t>
  </si>
  <si>
    <t>20012702</t>
  </si>
  <si>
    <t>Café ORFEU Grão Orgânico 250g</t>
  </si>
  <si>
    <t>https://marche.com.br/collections/mercearia/products/cafe-orfeu-grao-organico-250g?store_id=66677604431</t>
  </si>
  <si>
    <t>https://cdn.shopify.com/s/files/1/0587/8487/4575/files/f532cb63-a542-4783-8cb7-ad342482f4b2.png?v=1757032438</t>
  </si>
  <si>
    <t>20045280</t>
  </si>
  <si>
    <t>Café BAGGIO Aromas de Chocolate Com Menta 250g</t>
  </si>
  <si>
    <t>https://marche.com.br/collections/mercearia/products/cafe-baggio-aromas-de-chocolate-com-menta-250g?store_id=66677604431</t>
  </si>
  <si>
    <t>https://cdn.shopify.com/s/files/1/0587/8487/4575/files/8f2ec498-268a-4360-980c-573430d22a70.png?v=1761217941</t>
  </si>
  <si>
    <t>20083639</t>
  </si>
  <si>
    <t>Café Cafellow Sachê Criativo 10 Unidades</t>
  </si>
  <si>
    <t>https://marche.com.br/collections/mercearia/products/cafe-cafellow-sache-criativo-10un?store_id=66677604431</t>
  </si>
  <si>
    <t>https://cdn.shopify.com/s/files/1/0587/8487/4575/files/f6329cc2-229e-4d03-99ed-8983e2905d3c.png?v=1771444820</t>
  </si>
  <si>
    <t>20012701</t>
  </si>
  <si>
    <t>Café ORFEU Grão Intenso 250g</t>
  </si>
  <si>
    <t>https://marche.com.br/collections/mercearia/products/cafe-orfeu-grao-intenso-250g?store_id=66677604431</t>
  </si>
  <si>
    <t>https://cdn.shopify.com/s/files/1/0587/8487/4575/files/b434fc14-afee-4030-8dac-6d25521545b8.png?v=1757023269</t>
  </si>
  <si>
    <t>20069172</t>
  </si>
  <si>
    <t>Café Moído Juan Valdez Colina 250g</t>
  </si>
  <si>
    <t>https://marche.com.br/collections/mercearia/products/cafe-moido-juan-valdez-colina-250g?store_id=66677604431</t>
  </si>
  <si>
    <t>https://cdn.shopify.com/s/files/1/0587/8487/4575/files/19ca9edf-4e1e-4a47-931b-53b10c91e026.png?v=1757109937</t>
  </si>
  <si>
    <t>20073954</t>
  </si>
  <si>
    <t>Café Illy Grão Arábica Costa Rica 250g</t>
  </si>
  <si>
    <t>https://marche.com.br/collections/mercearia/products/cafe-illy-grao-arabica-costa-rica-250g?store_id=66677604431</t>
  </si>
  <si>
    <t>https://cdn.shopify.com/s/files/1/0587/8487/4575/files/7c0ec52b-d878-4a4b-87e8-9248f67770e3.png?v=1757565687</t>
  </si>
  <si>
    <t>20026827</t>
  </si>
  <si>
    <t>Cápsulas de Café Illy Descafeinado 18 Unidades</t>
  </si>
  <si>
    <t>71.29</t>
  </si>
  <si>
    <t>https://marche.com.br/collections/mercearia/products/capsulas-de-cafe-illy-descafeinado-18-unidades?store_id=66677604431</t>
  </si>
  <si>
    <t>https://cdn.shopify.com/s/files/1/0587/8487/4575/files/b35f59ff-12b6-4c39-b742-1467e1d6edf0.jpg?v=1757023721</t>
  </si>
  <si>
    <t>20060012</t>
  </si>
  <si>
    <t>Café L'or Torrado e Moído Equilibrado Torras Gourmet Sachê 250g</t>
  </si>
  <si>
    <t>https://marche.com.br/collections/mercearia/products/cafe-lor-eliquilibrado-torrado-moido-250g?store_id=66677604431</t>
  </si>
  <si>
    <t>https://cdn.shopify.com/s/files/1/0587/8487/4575/files/5e7c75ed-050c-4e70-a812-98955d07a4a8_b4239c32-575a-47c3-9d18-48798bfc3af2.png?v=1757026396</t>
  </si>
  <si>
    <t>20073964</t>
  </si>
  <si>
    <t>Café Illy em Grão Arábica Brasil 250g</t>
  </si>
  <si>
    <t>https://marche.com.br/collections/mercearia/products/cafe-illy-em-grao-arabica-brasil-250g?store_id=66677604431</t>
  </si>
  <si>
    <t>https://cdn.shopify.com/s/files/1/0587/8487/4575/files/e5c2cf3a-5ad5-4e28-8259-23e5862f7148.png?v=1757565704</t>
  </si>
  <si>
    <t>20073965</t>
  </si>
  <si>
    <t>Café Illy em Grão Arábica Etiopia 250g</t>
  </si>
  <si>
    <t>https://marche.com.br/collections/mercearia/products/cafe-illy-em-grao-arabica-etiopia-250g?store_id=66677604431</t>
  </si>
  <si>
    <t>https://cdn.shopify.com/s/files/1/0587/8487/4575/files/47c8bfed-ae15-4c8a-a0c1-fa22345a4435.png?v=1757565707</t>
  </si>
  <si>
    <t>20069176</t>
  </si>
  <si>
    <t>Café Solúvel Juan Valdez Clássico 95g</t>
  </si>
  <si>
    <t>https://marche.com.br/collections/mercearia/products/cafe-soluvel-juan-valdez-classico-95g?store_id=66677604431</t>
  </si>
  <si>
    <t>https://cdn.shopify.com/s/files/1/0587/8487/4575/files/8cd06032-ab4c-4f6c-a144-273bfc40992d.png?v=1761200755</t>
  </si>
  <si>
    <t>20073918</t>
  </si>
  <si>
    <t>Café Orfeu Grão Japy 250g</t>
  </si>
  <si>
    <t>https://marche.com.br/collections/mercearia/products/cafe-orfeu-grao-japy-250g?store_id=66677604431</t>
  </si>
  <si>
    <t>https://cdn.shopify.com/s/files/1/0587/8487/4575/files/97af7d18-4a55-4834-ac3c-968cc2db8b41.png?v=1757025746</t>
  </si>
  <si>
    <t>20073955</t>
  </si>
  <si>
    <t>Café Illy Grão Arábica Cerrado Mineiro 250g</t>
  </si>
  <si>
    <t>https://marche.com.br/collections/mercearia/products/cafe-illy-grao-arabica-cerrado-mineiro-250g?store_id=66677604431</t>
  </si>
  <si>
    <t>https://cdn.shopify.com/s/files/1/0587/8487/4575/files/c27363cf-82d2-4451-8a03-a9153e873359.png?v=1757565690</t>
  </si>
  <si>
    <t>20073967</t>
  </si>
  <si>
    <t>Café Illy em Grão Arábica Colombia 250g</t>
  </si>
  <si>
    <t>https://marche.com.br/collections/mercearia/products/cafe-illy-em-grao-arabica-colombia-250g?store_id=66677604431</t>
  </si>
  <si>
    <t>https://cdn.shopify.com/s/files/1/0587/8487/4575/files/7d6ceaeb-b508-4e27-b895-13786288dda4.png?v=1757565712</t>
  </si>
  <si>
    <t>20073958</t>
  </si>
  <si>
    <t>Café Illy em Pó Moído Arábica Colombia 125g</t>
  </si>
  <si>
    <t>https://marche.com.br/collections/mercearia/products/cafe-illy-em-po-moido-arabica-colombia-125g?store_id=66677604431</t>
  </si>
  <si>
    <t>https://cdn.shopify.com/s/files/1/0587/8487/4575/files/06c4c56b-5fec-40b0-8b56-5cfb36231e23.png?v=1757565696</t>
  </si>
  <si>
    <t>20073968</t>
  </si>
  <si>
    <t>Café Illy em Pó Moído Filter Clássico 250g</t>
  </si>
  <si>
    <t>https://marche.com.br/collections/mercearia/products/cafe-illy-em-po-moido-filter-classico-250g?store_id=66677604431</t>
  </si>
  <si>
    <t>https://cdn.shopify.com/s/files/1/0587/8487/4575/files/d7d9bb8b-8527-476b-9c04-55346afbd289.png?v=1757565716</t>
  </si>
  <si>
    <t>20073966</t>
  </si>
  <si>
    <t>Café Illy Grão Arábica Guatemala 250g</t>
  </si>
  <si>
    <t>https://marche.com.br/collections/mercearia/products/cafe-illy-grao-arabica-guatemala-250g?store_id=66677604431</t>
  </si>
  <si>
    <t>https://cdn.shopify.com/s/files/1/0587/8487/4575/files/dcd39902-7cf8-439a-a085-9595ed0e8631.png?v=1757565710</t>
  </si>
  <si>
    <t>20068302</t>
  </si>
  <si>
    <t>Cápsulas de Café Dolce Gusto Starbucks House Blend com 10 Unidades</t>
  </si>
  <si>
    <t>https://marche.com.br/collections/mercearia/products/capsulas-de-cafe-dolce-gusto-starbucks-house-blend-com-10-unidades?store_id=66677604431</t>
  </si>
  <si>
    <t>https://cdn.shopify.com/s/files/1/0587/8487/4575/files/0d0c6cd3-8b8a-4d6b-b593-caa1ac3c5e68.jpg?v=1757109743</t>
  </si>
  <si>
    <t>20076312</t>
  </si>
  <si>
    <t>Café Villa Piva em Grãos Especial 1Kg</t>
  </si>
  <si>
    <t>Villa Piva</t>
  </si>
  <si>
    <t>https://marche.com.br/collections/mercearia/products/cafe-villa-piva-em-graos-especial-1kg?store_id=66677604431</t>
  </si>
  <si>
    <t>https://cdn.shopify.com/s/files/1/0587/8487/4575/files/7176fb35-03a9-4498-bcc3-7cfd2697a6cc_7b4a68b7-ec1b-4930-a366-614d57856a13.png?v=1757026748</t>
  </si>
  <si>
    <t>20012634</t>
  </si>
  <si>
    <t>Café ORFEU Drip Coffee Intenso 100g</t>
  </si>
  <si>
    <t>https://marche.com.br/collections/mercearia/products/cafe-orfeu-drip-coffee-intenso-100g?store_id=66677604431</t>
  </si>
  <si>
    <t>https://cdn.shopify.com/s/files/1/0587/8487/4575/files/3cf3742d-355c-4918-b58d-c4bba9d39a07_c5c7d19d-97e3-4a40-b194-cc7a6ad22b27.png?v=1757031656</t>
  </si>
  <si>
    <t>20078210</t>
  </si>
  <si>
    <t>Cápsulas de Café Orfeu Nespresso Arara 20 Unidades</t>
  </si>
  <si>
    <t>https://marche.com.br/collections/mercearia/products/capsulas-de-cafe-orfeu-nespresso-arara-20-unidades?store_id=66677604431</t>
  </si>
  <si>
    <t>https://cdn.shopify.com/s/files/1/0587/8487/4575/files/20078210.png?v=1757022114</t>
  </si>
  <si>
    <t>20025595</t>
  </si>
  <si>
    <t>Café Orgânico em Grãos Korin 500g</t>
  </si>
  <si>
    <t>https://marche.com.br/collections/mercearia/products/cafe-organico-em-graos-korin-500g?store_id=66677604431</t>
  </si>
  <si>
    <t>https://cdn.shopify.com/s/files/1/0587/8487/4575/files/9907761e-c5af-4e2e-ad98-2ea7f077a5f8.png?v=1758556834</t>
  </si>
  <si>
    <t>20068299</t>
  </si>
  <si>
    <t>Cápsulas de Café Dolce Gusto Neo Lungp Dark com 10 Unidades</t>
  </si>
  <si>
    <t>https://marche.com.br/collections/mercearia/products/capsulas-de-cafe-dolce-gusto-neo-lungp-dark-com-10-unidades?store_id=66677604431</t>
  </si>
  <si>
    <t>https://cdn.shopify.com/s/files/1/0587/8487/4575/files/6b454b19-8369-4070-8580-a9b29a9272ff.jpg?v=1757109724</t>
  </si>
  <si>
    <t>20069977</t>
  </si>
  <si>
    <t>Café Solúvel em Pó Espresso Equilibrado Nescafé Gold Sachê 40g</t>
  </si>
  <si>
    <t>https://marche.com.br/collections/mercearia/products/cafe-soluvel-em-po-espresso-equilibrado-nescafe-gold-sache-40g?store_id=66677604431</t>
  </si>
  <si>
    <t>https://cdn.shopify.com/s/files/1/0587/8487/4575/files/b646315f-7b1b-427c-8f21-446cbdbee8a0.jpg?v=1757026657</t>
  </si>
  <si>
    <t>20055865</t>
  </si>
  <si>
    <t>Cápsula de Café ORFEU Intenso Dolce Gusto 90g</t>
  </si>
  <si>
    <t>32.49</t>
  </si>
  <si>
    <t>https://marche.com.br/collections/mercearia/products/capsula-de-cafe-orfeu-intenso-dolce-gusto-90g?store_id=66677604431</t>
  </si>
  <si>
    <t>https://cdn.shopify.com/s/files/1/0587/8487/4575/files/199d5405-f03f-40ce-a239-0a0269199ffc.png?v=1757031694</t>
  </si>
  <si>
    <t>20031287</t>
  </si>
  <si>
    <t>Café em Cápsula L'or Torrado e Moído Lungo Espresso 52g 10 Unidades</t>
  </si>
  <si>
    <t>30.99</t>
  </si>
  <si>
    <t>https://marche.com.br/collections/mercearia/products/capsulas-cafe-lor-estremo-10-unidades?store_id=66677604431</t>
  </si>
  <si>
    <t>https://cdn.shopify.com/s/files/1/0587/8487/4575/files/417c1996-54a5-4f90-9c89-62e40a42fea5.png?v=1757022726</t>
  </si>
  <si>
    <t>20073922</t>
  </si>
  <si>
    <t>Cápsulas de Café Orfeu Bourbon Amarelo Com 20 Unidades</t>
  </si>
  <si>
    <t>https://marche.com.br/collections/mercearia/products/capsulas-de-cafe-orfeu-bourbon-amarelo-com-20-unidades?store_id=66677604431</t>
  </si>
  <si>
    <t>https://cdn.shopify.com/s/files/1/0587/8487/4575/files/20073922_91cba10b-cefc-4ede-ada5-3077e1e026df.png?v=1757033424</t>
  </si>
  <si>
    <t>20068300</t>
  </si>
  <si>
    <t>Cápsulas de Café Dolce Gusto Neo Ristretto Intense com 10 Unidades</t>
  </si>
  <si>
    <t>https://marche.com.br/collections/mercearia/products/capsulas-de-cafe-dolce-gusto-neo-ristretto-intense-com-10-unidades?store_id=66677604431</t>
  </si>
  <si>
    <t>https://cdn.shopify.com/s/files/1/0587/8487/4575/files/91e706b3-f0d1-493a-9faa-1f3e795f9784_22d8926f-34d4-43ba-ab45-f5925dab724c.jpg?v=1757109731</t>
  </si>
  <si>
    <t>20063958</t>
  </si>
  <si>
    <t>Cápsulas de Café Baobá Especial Intenso 10 Unidades</t>
  </si>
  <si>
    <t>Baobá</t>
  </si>
  <si>
    <t>35.69</t>
  </si>
  <si>
    <t>https://marche.com.br/collections/mercearia/products/capsulas-de-cafe-baoba-especial-intenso-10-unidades?store_id=66677604431</t>
  </si>
  <si>
    <t>https://cdn.shopify.com/s/files/1/0587/8487/4575/files/2424a9a8-3c06-4b97-a30f-1454abd2a3d1_367ef68a-aed3-415a-91aa-104b837a9671.png?v=1757033892</t>
  </si>
  <si>
    <t>20073916</t>
  </si>
  <si>
    <t>Café Orfeu Grão Acauã 250g</t>
  </si>
  <si>
    <t>https://marche.com.br/collections/mercearia/products/cafe-orfeu-grao-acaua-250g?store_id=66677604431</t>
  </si>
  <si>
    <t>https://cdn.shopify.com/s/files/1/0587/8487/4575/files/20073916_9f8fc93e-a645-42a2-a4fa-48947651112b.png?v=1757031716</t>
  </si>
  <si>
    <t>20031210</t>
  </si>
  <si>
    <t>Café Torrado e Moído Orgânico ORFEU 250g</t>
  </si>
  <si>
    <t>https://marche.com.br/collections/mercearia/products/cafe-torrado-e-moido-organico-orfeu-250g?store_id=66677604431</t>
  </si>
  <si>
    <t>https://cdn.shopify.com/s/files/1/0587/8487/4575/files/5a8969c0-f380-44ce-9822-6383c0ddc345.jpg?v=1757024473</t>
  </si>
  <si>
    <t>20065851</t>
  </si>
  <si>
    <t>Kit Café Casa Brasil Edição Limitada 250g</t>
  </si>
  <si>
    <t>https://marche.com.br/collections/mercearia/products/kit-cafe-casa-brasil-edicao-limitada-250g?store_id=66677604431</t>
  </si>
  <si>
    <t>https://cdn.shopify.com/s/files/1/0587/8487/4575/files/3aebe4fd-d193-447e-b38b-24648f706582.png?v=1760970638</t>
  </si>
  <si>
    <t>20078211</t>
  </si>
  <si>
    <t>Cápsulas de Café Orfeu Nespresso Catucaí 10 Unidades</t>
  </si>
  <si>
    <t>https://marche.com.br/collections/mercearia/products/capsulas-de-cafe-orfeu-nespresso-catucai-10-unidades?store_id=66677604431</t>
  </si>
  <si>
    <t>https://cdn.shopify.com/s/files/1/0587/8487/4575/files/20078211_019735c3-a2b1-40bc-9d39-2d6570017bef.png?v=1757023333</t>
  </si>
  <si>
    <t>20055866</t>
  </si>
  <si>
    <t>Cápsula de Café ORFEU Bourbon Amarelo Dolce Gusto 90g</t>
  </si>
  <si>
    <t>https://marche.com.br/collections/mercearia/products/capsula-de-cafe-orfeu-bourbon-amarelo-dolce-gusto-90g?store_id=66677604431</t>
  </si>
  <si>
    <t>https://cdn.shopify.com/s/files/1/0587/8487/4575/files/b40410cc-0ba1-4b7c-be12-d65dd55d7cd0.png?v=1757032558</t>
  </si>
  <si>
    <t>20073917</t>
  </si>
  <si>
    <t>Café Orfeu Grão Arara 250g</t>
  </si>
  <si>
    <t>https://marche.com.br/collections/mercearia/products/cafe-orfeu-grao-arara-250g?store_id=66677604431</t>
  </si>
  <si>
    <t>https://cdn.shopify.com/s/files/1/0587/8487/4575/files/20073917_0696d73f-cb52-48d8-a79b-082def01aee7.png?v=1757022468</t>
  </si>
  <si>
    <t>20063957</t>
  </si>
  <si>
    <t>Cápsulas de Café Baobá Especial Clássico 10 Unidades</t>
  </si>
  <si>
    <t>https://marche.com.br/collections/mercearia/products/capsulas-de-cafe-baoba-especial-classico-10-unidades?store_id=66677604431</t>
  </si>
  <si>
    <t>https://cdn.shopify.com/s/files/1/0587/8487/4575/files/331bf590-336f-45d9-bdda-6ada51efef3b.png?v=1757024322</t>
  </si>
  <si>
    <t>20071626</t>
  </si>
  <si>
    <t>Cápsula de Café Starbucks Caramel Macchiato com 10 Unidades 106,5g</t>
  </si>
  <si>
    <t>https://marche.com.br/collections/mercearia/products/capsula-de-cafe-starbucks-caramel-macchiato-com-10-unidades-106-5g?store_id=66677604431</t>
  </si>
  <si>
    <t>https://cdn.shopify.com/s/files/1/0587/8487/4575/files/e66a6266-7ef9-4616-abe0-9be26199e564_334917a4-4cad-4a32-b80c-e667a73d5554.png?v=1757032034</t>
  </si>
  <si>
    <t>20064175</t>
  </si>
  <si>
    <t>Café Cápsula Illy Intenso 120,6g</t>
  </si>
  <si>
    <t>https://marche.com.br/collections/mercearia/products/cafe-capsula-illy-intenso-120-6g?store_id=66677604431</t>
  </si>
  <si>
    <t>https://cdn.shopify.com/s/files/1/0587/8487/4575/files/8582b372-9023-4adc-ba19-e439e8276812.png?v=1757108819</t>
  </si>
  <si>
    <t>20078477</t>
  </si>
  <si>
    <t>Cápsulas de Café Nescafé Colombia 18 Unidades</t>
  </si>
  <si>
    <t>https://marche.com.br/collections/mercearia/products/capsulas-de-cafe-nescafe-colombia-18-unidades?store_id=66677604431</t>
  </si>
  <si>
    <t>https://cdn.shopify.com/s/files/1/0587/8487/4575/files/20078477.png?v=1757023947</t>
  </si>
  <si>
    <t>20075803</t>
  </si>
  <si>
    <t>Café 3 Corações Torrado e Moído Rituais Frutas Vermelhas 250g</t>
  </si>
  <si>
    <t>40.99</t>
  </si>
  <si>
    <t>https://marche.com.br/collections/mercearia/products/cafe-3-coracoes-torrado-e-moido-rituais-frutas-vermelhas-250g?store_id=66677604431</t>
  </si>
  <si>
    <t>https://cdn.shopify.com/s/files/1/0587/8487/4575/files/e69bfcd0-a6cd-4d2a-8d59-1923fcb584f8.png?v=1757021945</t>
  </si>
  <si>
    <t>20078479</t>
  </si>
  <si>
    <t>Cápsulas de Café Nescafé 18 Unidades</t>
  </si>
  <si>
    <t>https://marche.com.br/collections/mercearia/products/capsulas-de-cafe-nescafe-18-unidades?store_id=66677604431</t>
  </si>
  <si>
    <t>https://cdn.shopify.com/s/files/1/0587/8487/4575/files/20078479_e4e0f705-0f1a-4166-bd90-5c7f76c3cfe9.png?v=1757032112</t>
  </si>
  <si>
    <t>20078208</t>
  </si>
  <si>
    <t>Cápsulas de Café Orfeu Nespresso Forte 20 Unidades</t>
  </si>
  <si>
    <t>53.90</t>
  </si>
  <si>
    <t>https://marche.com.br/collections/mercearia/products/capsulas-de-cafe-orfeu-nespresso-forte-20-unidades?store_id=66677604431</t>
  </si>
  <si>
    <t>https://cdn.shopify.com/s/files/1/0587/8487/4575/files/20078208.png?v=1757022397</t>
  </si>
  <si>
    <t>20032877</t>
  </si>
  <si>
    <t>Café em Pó Illy Moído Descafeinado 125g</t>
  </si>
  <si>
    <t>https://marche.com.br/collections/mercearia/products/cafe-em-po-illy-moido-descafeinado-125g?store_id=66677604431</t>
  </si>
  <si>
    <t>https://cdn.shopify.com/s/files/1/0587/8487/4575/files/84321a88-4018-4b2d-99a9-ec5e5859de6e.png?v=1761174961</t>
  </si>
  <si>
    <t>20078165</t>
  </si>
  <si>
    <t>Cápsulas de Café Nescafé Classic Creamer Com 10 Unidades</t>
  </si>
  <si>
    <t>29.59</t>
  </si>
  <si>
    <t>https://marche.com.br/collections/mercearia/products/capsulas-de-cafe-nescafe-classic-creamer-com-10-unidades?store_id=66677604431</t>
  </si>
  <si>
    <t>https://cdn.shopify.com/s/files/1/0587/8487/4575/files/20078165_9dd71440-bfaf-4b13-8b0b-8c68408dfd71.png?v=1757024025</t>
  </si>
  <si>
    <t>20071624</t>
  </si>
  <si>
    <t>Cápsula de Café Starbucks Latte Macchiato com 10 Unidades 107,5g</t>
  </si>
  <si>
    <t>107.5</t>
  </si>
  <si>
    <t>https://marche.com.br/collections/mercearia/products/capsula-de-cafe-starbucks-latte-macchiato-com-10-unidades-107-5g?store_id=66677604431</t>
  </si>
  <si>
    <t>https://cdn.shopify.com/s/files/1/0587/8487/4575/files/021994b2-168e-42c4-bea9-90031a250294.png?v=1757022094</t>
  </si>
  <si>
    <t>20073925</t>
  </si>
  <si>
    <t>Café Tenor Bravo Café Torrado em Grãos 500g</t>
  </si>
  <si>
    <t>47.90</t>
  </si>
  <si>
    <t>https://marche.com.br/collections/mercearia/products/cafe-tenor-bravo-cafe-torrado-em-graos-500g?store_id=66677604431</t>
  </si>
  <si>
    <t>https://cdn.shopify.com/s/files/1/0587/8487/4575/files/20073925_8133e375-8436-4aa8-b70b-d2c3860c35a4.png?v=1757021700</t>
  </si>
  <si>
    <t>20071623</t>
  </si>
  <si>
    <t>Cápsula de Café Starbucks House Blend Americano com 10 Unidades 55g</t>
  </si>
  <si>
    <t>https://marche.com.br/collections/mercearia/products/capsula-de-cafe-starbucks-house-blend-americano-com-10-unidades-55g?store_id=66677604431</t>
  </si>
  <si>
    <t>https://cdn.shopify.com/s/files/1/0587/8487/4575/files/8e129ac2-70fb-4dc5-908d-4ba409da17d0.png?v=1757029699</t>
  </si>
  <si>
    <t>20031444</t>
  </si>
  <si>
    <t>Café em Cápsula Pilão Torrado e Moído Lungo Intenso 52g 10 Unidades</t>
  </si>
  <si>
    <t>https://marche.com.br/collections/mercearia/products/cafe-espresso-pilao-capsulas-de-aluminio-lungo-08-com-10-unidades?store_id=66677604431</t>
  </si>
  <si>
    <t>https://cdn.shopify.com/s/files/1/0587/8487/4575/files/edad60b8-9e03-4122-8cbd-d3a1f9a0483b.jpg?v=1757023129</t>
  </si>
  <si>
    <t>20016789</t>
  </si>
  <si>
    <t>Cápsula de Café Orfeu Clássico 20 Unidades</t>
  </si>
  <si>
    <t>https://marche.com.br/collections/mercearia/products/capsula-de-cafe-orfeu-classico-20-unidades?store_id=66677604431</t>
  </si>
  <si>
    <t>https://cdn.shopify.com/s/files/1/0587/8487/4575/files/15c949ac-1a9f-4358-b415-e83c0d76fec0.png?v=1757026365</t>
  </si>
  <si>
    <t>20076314</t>
  </si>
  <si>
    <t>Café Villa Piva em Grãos Polinizado 250g</t>
  </si>
  <si>
    <t>https://marche.com.br/collections/mercearia/products/cafe-villa-piva-em-graos-polinizado-250g?store_id=66677604431</t>
  </si>
  <si>
    <t>https://cdn.shopify.com/s/files/1/0587/8487/4575/files/a9fd051d-6705-45c0-b4e0-c5166867f4d5.png?v=1757024598</t>
  </si>
  <si>
    <t>20073957</t>
  </si>
  <si>
    <t>Café Illy em Pé e Moído Arábica Guatemala 125g</t>
  </si>
  <si>
    <t>https://marche.com.br/collections/mercearia/products/cafe-illy-em-pe-e-moido-arabica-guatemala-125g?store_id=66677604431</t>
  </si>
  <si>
    <t>https://cdn.shopify.com/s/files/1/0587/8487/4575/files/859c11cd-bfa0-4122-8763-69efe241ef9e.png?v=1757565693</t>
  </si>
  <si>
    <t>20081841</t>
  </si>
  <si>
    <t>Café Latitude 13 Chapada Diamantina Torrado em Grãos 500g</t>
  </si>
  <si>
    <t>https://marche.com.br/collections/mercearia/products/cafe-latitude-13-chapada-diamantina-torrado-em-graos-500g?store_id=66677604431</t>
  </si>
  <si>
    <t>https://cdn.shopify.com/s/files/1/0587/8487/4575/files/09b34442-9ca5-407c-b9d5-2239e833aa9b.png?v=1761233639</t>
  </si>
  <si>
    <t>20069173</t>
  </si>
  <si>
    <t>Café Moído Juan Valdez Cumbre 250g</t>
  </si>
  <si>
    <t>https://marche.com.br/collections/mercearia/products/cafe-moido-juan-valdez-cumbre-250g?store_id=66677604431</t>
  </si>
  <si>
    <t>https://cdn.shopify.com/s/files/1/0587/8487/4575/files/52cc6760-3592-4cdf-ae0e-96e420a5d017.png?v=1757109940</t>
  </si>
  <si>
    <t>20062439</t>
  </si>
  <si>
    <t>Café em Cápsula L'or Espresso Baunilha Caixa 52g 10 Unidades</t>
  </si>
  <si>
    <t>https://marche.com.br/collections/mercearia/products/capsula-de-cafe-lor-espresso-vanilla-com-10-unidades?store_id=66677604431</t>
  </si>
  <si>
    <t>https://cdn.shopify.com/s/files/1/0587/8487/4575/files/3124ef3a-09fa-4187-96c3-5c3ae4576302.jpg?v=1757022448</t>
  </si>
  <si>
    <t>20078066</t>
  </si>
  <si>
    <t>Café Solúvel L'or Último 84g</t>
  </si>
  <si>
    <t>https://marche.com.br/collections/mercearia/products/cafe-soluvel-lor-ultimo-84g?store_id=66677604431</t>
  </si>
  <si>
    <t>https://cdn.shopify.com/s/files/1/0587/8487/4575/files/20078066.png?v=1757025503</t>
  </si>
  <si>
    <t>20063558</t>
  </si>
  <si>
    <t>Café 3 Corações Portinari Florais 250g</t>
  </si>
  <si>
    <t>https://marche.com.br/collections/mercearia/products/cafe-3-coracoes-portinari-florais-250g?store_id=66677604431</t>
  </si>
  <si>
    <t>https://cdn.shopify.com/s/files/1/0587/8487/4575/files/24808c39-e200-4016-8cec-01baf4f6185e.png?v=1757024142</t>
  </si>
  <si>
    <t>20071622</t>
  </si>
  <si>
    <t>Cápsula de Café Starbucks Espresso Roast com 10 Unidades 55g</t>
  </si>
  <si>
    <t>https://marche.com.br/collections/mercearia/products/capsula-de-cafe-starbucks-espresso-roast-com-10-unidades-55g?store_id=66677604431</t>
  </si>
  <si>
    <t>https://cdn.shopify.com/s/files/1/0587/8487/4575/files/dbe5e0ab-44f4-40de-929f-080d8d3077cf_31126065-81af-4850-a05c-979c795d9ae7.png?v=1757026665</t>
  </si>
  <si>
    <t>20073896</t>
  </si>
  <si>
    <t>Cappuccino Lor Baunilha Sachê 20,3g</t>
  </si>
  <si>
    <t>2.99</t>
  </si>
  <si>
    <t>https://marche.com.br/collections/mercearia/products/cappuccino-lor-baunilha-8-unidades-162-4g?store_id=66677604431</t>
  </si>
  <si>
    <t>https://cdn.shopify.com/s/files/1/0587/8487/4575/files/2074cae8-de5b-475c-8a14-712981eb7e51.png?v=1758209417</t>
  </si>
  <si>
    <t>20078064</t>
  </si>
  <si>
    <t>Café Solúvel L'or Último Sachê 84g</t>
  </si>
  <si>
    <t>13.90</t>
  </si>
  <si>
    <t>https://marche.com.br/collections/mercearia/products/cafe-soluvel-lor-ultimo-sache-84g?store_id=66677604431</t>
  </si>
  <si>
    <t>https://cdn.shopify.com/s/files/1/0587/8487/4575/files/20078064_606d2553-4bd6-4b11-a915-7b0793de1056.png?v=1757033764</t>
  </si>
  <si>
    <t>20064856</t>
  </si>
  <si>
    <t>Cápsula Café Baggio Dolce Gusto Chocolate Avelã 85g</t>
  </si>
  <si>
    <t>25.89</t>
  </si>
  <si>
    <t>https://marche.com.br/collections/mercearia/products/capsula-cafe-baggio-dolce-gusto-chocolate-avela-85g?store_id=66677604431</t>
  </si>
  <si>
    <t>https://cdn.shopify.com/s/files/1/0587/8487/4575/files/fab6d449-aef2-46ad-839a-ca070b1991a8.png?v=1757031612</t>
  </si>
  <si>
    <t>20078060</t>
  </si>
  <si>
    <t>Cápsulas de Café L'or Arábica Avelã 10 Unidades</t>
  </si>
  <si>
    <t>https://marche.com.br/collections/mercearia/products/capsulas-de-cafe-lor-arabica-avela-10-unidades?store_id=66677604431</t>
  </si>
  <si>
    <t>https://cdn.shopify.com/s/files/1/0587/8487/4575/files/20078060.png?v=1757025017</t>
  </si>
  <si>
    <t>20044349</t>
  </si>
  <si>
    <t>Café Torrado e Moído Abre Fecha Forte e Encorpado 252º Graus PILÃO 500g</t>
  </si>
  <si>
    <t>https://marche.com.br/collections/mercearia/products/cafe-torrado-e-moido-abre-fecha-forte-e-encorpado-252%C2%BA-graus-pilao-500g?store_id=66677604431</t>
  </si>
  <si>
    <t>https://cdn.shopify.com/s/files/1/0587/8487/4575/files/10ad2c2c-80a6-4220-9b93-309653e46919_a59d5a78-cb1c-4883-b072-cdaa2da66eb6.png?v=1757026103</t>
  </si>
  <si>
    <t>20031442</t>
  </si>
  <si>
    <t>Café em Cápsulas Pilão Torrado e moído Tradicional 52g 10 Unidades</t>
  </si>
  <si>
    <t>https://marche.com.br/collections/mercearia/products/capsulas-de-aluminio-espresso-7-pilao-52g?store_id=66677604431</t>
  </si>
  <si>
    <t>https://cdn.shopify.com/s/files/1/0587/8487/4575/files/13af5f36-668a-47bc-9e04-6132d8e10b9e.png?v=1757025457</t>
  </si>
  <si>
    <t>20065847</t>
  </si>
  <si>
    <t>Café Casa Brasil Gourmet Moído 250g</t>
  </si>
  <si>
    <t>Casa Brasil</t>
  </si>
  <si>
    <t>https://marche.com.br/collections/mercearia/products/cafe-casa-brasil-gourmet-moido-250g?store_id=66677604431</t>
  </si>
  <si>
    <t>https://cdn.shopify.com/s/files/1/0587/8487/4575/files/dcef5d6e-d2ef-4c37-8060-089c47fbba08.png?v=1757026985</t>
  </si>
  <si>
    <t>20056765</t>
  </si>
  <si>
    <t>Café Solúvel L'ÓR Espresso Intenso e Aveludado 100g</t>
  </si>
  <si>
    <t>https://marche.com.br/collections/mercearia/products/cafe-soluvel-lor-espresso-intenso-e-aveludado-100g?store_id=66677604431</t>
  </si>
  <si>
    <t>https://cdn.shopify.com/s/files/1/0587/8487/4575/files/3a6155d1-4ed7-4c94-9be4-4fe3880c5d12_7dd8160c-8a36-42fc-9540-871ca06b8634.png?v=1757033664</t>
  </si>
  <si>
    <t>20025604</t>
  </si>
  <si>
    <t>Café Orgânico Korin 250g</t>
  </si>
  <si>
    <t>https://marche.com.br/collections/mercearia/products/cafe-organico-korin-250g?store_id=66677604431</t>
  </si>
  <si>
    <t>https://cdn.shopify.com/s/files/1/0587/8487/4575/files/668e3419-d2cd-4f63-a545-3bae889990f1.png?v=1758556837</t>
  </si>
  <si>
    <t>20046762</t>
  </si>
  <si>
    <t>Café ORFEU Moído Bourbon Amarelo 250g</t>
  </si>
  <si>
    <t>https://marche.com.br/collections/mercearia/products/cafe-orfeu-moido-bourbon-amarelo-250g?store_id=66677604431</t>
  </si>
  <si>
    <t>https://cdn.shopify.com/s/files/1/0587/8487/4575/files/20046762_b556d25b-0391-43be-a5e3-67a0e344a5c1.png?v=1757024640</t>
  </si>
  <si>
    <t>20002031</t>
  </si>
  <si>
    <t>Café Torrado e Moído PILÃO Intenso Pacote 500g</t>
  </si>
  <si>
    <t>https://marche.com.br/collections/mercearia/products/cafe-torrado-e-moido-pilao-intenso-pacote-500g-1?store_id=66677604431</t>
  </si>
  <si>
    <t>https://cdn.shopify.com/s/files/1/0587/8487/4575/files/6733c95d-c772-4941-bfa0-920434b132af.jpg?v=1757032361</t>
  </si>
  <si>
    <t>20023766</t>
  </si>
  <si>
    <t>Cápsulas de Café ORFEU Orgânico com 10 Unidades 50g</t>
  </si>
  <si>
    <t>https://marche.com.br/collections/mercearia/products/capsulas-de-cafe-orfeu-organico-com-10-unidades-50g?store_id=66677604431</t>
  </si>
  <si>
    <t>https://cdn.shopify.com/s/files/1/0587/8487/4575/files/31f5d654-2322-4525-8b6f-998490255723.jpg?v=1757029671</t>
  </si>
  <si>
    <t>20064855</t>
  </si>
  <si>
    <t>Cápsula Café Baggio Dolce Gusto Chocolate Trufado 85g</t>
  </si>
  <si>
    <t>https://marche.com.br/collections/mercearia/products/capsula-cafe-baggio-dolce-gusto-chocolate-trufado-85g?store_id=66677604431</t>
  </si>
  <si>
    <t>https://cdn.shopify.com/s/files/1/0587/8487/4575/files/d1e6dc32-4f7f-42be-9503-6aac401ac023_e3a34d48-858f-429b-af74-f011ce1e637f.png?v=1757022308</t>
  </si>
  <si>
    <t>20076313</t>
  </si>
  <si>
    <t>Café Villa Piva Torrado e Moído Polinizado 250g</t>
  </si>
  <si>
    <t>https://marche.com.br/collections/mercearia/products/cafe-villa-piva-torrado-e-moido-polinizado-250g?store_id=66677604431</t>
  </si>
  <si>
    <t>https://cdn.shopify.com/s/files/1/0587/8487/4575/files/301336ca-6c96-45c0-823a-ca105786de7d.png?v=1757023700</t>
  </si>
  <si>
    <t>20016787</t>
  </si>
  <si>
    <t>Cápsula de Café Orfeu Intenso 20 Unidades</t>
  </si>
  <si>
    <t>https://marche.com.br/collections/mercearia/products/capsula-de-cafe-orfeu-intenso-20-unidades?store_id=66677604431</t>
  </si>
  <si>
    <t>https://cdn.shopify.com/s/files/1/0587/8487/4575/files/ede87579-a427-4128-a873-2d661ad5e88b.png?v=1757032368</t>
  </si>
  <si>
    <t>20063953</t>
  </si>
  <si>
    <t>Café Baobá Especial Intenso Grãos 250g</t>
  </si>
  <si>
    <t>50.39</t>
  </si>
  <si>
    <t>https://marche.com.br/collections/mercearia/products/cafe-baoba-especial-intenso-graos-250g?store_id=66677604431</t>
  </si>
  <si>
    <t>https://cdn.shopify.com/s/files/1/0587/8487/4575/files/442e7fb2-46b0-4eea-b2be-272a5f59d00f.png?v=1757022305</t>
  </si>
  <si>
    <t>20030803</t>
  </si>
  <si>
    <t>Cappuccino Pote Classic 3 CORAÇÕES 400g</t>
  </si>
  <si>
    <t>https://marche.com.br/collections/mercearia/products/cappuccino-pote-classic-3-coracoes-400g?store_id=66677604431</t>
  </si>
  <si>
    <t>https://cdn.shopify.com/s/files/1/0587/8487/4575/files/20030803.png?v=1757023126</t>
  </si>
  <si>
    <t>20044197</t>
  </si>
  <si>
    <t>Cápsula Café BRAVO Maestro Com 10 Unidades 50g</t>
  </si>
  <si>
    <t>https://marche.com.br/collections/mercearia/products/capsula-cafe-bravo-maestro-com-10-unidades-50g?store_id=66677604431</t>
  </si>
  <si>
    <t>https://cdn.shopify.com/s/files/1/0587/8487/4575/files/20044197_4adc37a2-a9fe-47b6-9daf-15cc36d75416.png?v=1757025640</t>
  </si>
  <si>
    <t>20073919</t>
  </si>
  <si>
    <t>Café Orfeu Torrado e Moído Arara 250g</t>
  </si>
  <si>
    <t>https://marche.com.br/collections/mercearia/products/cafe-orfeu-torrado-e-moido-arara-250g?store_id=66677604431</t>
  </si>
  <si>
    <t>https://cdn.shopify.com/s/files/1/0587/8487/4575/files/93debed9-87ee-413c-8118-c5413b48fcca.png?v=1757026901</t>
  </si>
  <si>
    <t>20071843</t>
  </si>
  <si>
    <t>Cápsulas de Café Lor Espresso de Chocolate com 10 Unidades 52g</t>
  </si>
  <si>
    <t>https://marche.com.br/collections/mercearia/products/capsulas-de-cafe-lor-espresso-de-chocolate-com-10-unidades-52g?store_id=66677604431</t>
  </si>
  <si>
    <t>https://cdn.shopify.com/s/files/1/0587/8487/4575/files/8a9af1bd-009a-45d2-89b2-f5abe4b9c390_34b16f90-0174-4d5e-b26c-6be562cf81a4.png?v=1757026131</t>
  </si>
  <si>
    <t>20075804</t>
  </si>
  <si>
    <t>Café 3 Corações Torrado e Moído Rituais Chocolate 250g</t>
  </si>
  <si>
    <t>https://marche.com.br/collections/mercearia/products/cafe-3-coracoes-torrado-e-moido-rituais-chocolate-250g?store_id=66677604431</t>
  </si>
  <si>
    <t>https://cdn.shopify.com/s/files/1/0587/8487/4575/files/3d887d63-bb01-41b4-8d0c-73c82d517c72_fd6d6ca6-4aa9-4abf-8f72-043f82185133.png?v=1757023319</t>
  </si>
  <si>
    <t>20008169</t>
  </si>
  <si>
    <t>Café Solúvel NESCAFÉ Tradição Forte 100g</t>
  </si>
  <si>
    <t>https://marche.com.br/collections/mercearia/products/cafe-soluvel-nescafe-tradicao-forte-100g?store_id=66677604431</t>
  </si>
  <si>
    <t>https://cdn.shopify.com/s/files/1/0587/8487/4575/files/f3be0336-767d-4ec1-bd8d-8e819853668d_62196461-c773-47c9-a56f-874b0adc7de9.jpg?v=1757033452</t>
  </si>
  <si>
    <t>20041375</t>
  </si>
  <si>
    <t>Café em Cápsula Torrado e Moído STARBUCKS Caffè Verona Caixa 55g 10 Unidades</t>
  </si>
  <si>
    <t>https://marche.com.br/collections/mercearia/products/cafe-em-capsula-torrado-e-moido-starbucks-caffe-verona-caixa-55g-10-unidades?store_id=66677604431</t>
  </si>
  <si>
    <t>https://cdn.shopify.com/s/files/1/0587/8487/4575/files/e79b3da9-07b9-4e1d-8ab5-af93efe6ac1e.png?v=1757026553</t>
  </si>
  <si>
    <t>20069746</t>
  </si>
  <si>
    <t>Café Torrado e Moído 3 Corações Forza Intensidade Máxima Premium 250g</t>
  </si>
  <si>
    <t>https://marche.com.br/collections/mercearia/products/cafe-torrado-e-moido-3-coracoes-forza-intensidade-maxima-premium-250g?store_id=66677604431</t>
  </si>
  <si>
    <t>https://cdn.shopify.com/s/files/1/0587/8487/4575/files/20069746.png?v=1757021931</t>
  </si>
  <si>
    <t>20017477</t>
  </si>
  <si>
    <t>Café Torrado e Moído Clássico ORFEU 250g</t>
  </si>
  <si>
    <t>https://marche.com.br/collections/mercearia/products/cafe-torrado-e-moido-classico-orfeu-250g?store_id=66677604431</t>
  </si>
  <si>
    <t>https://cdn.shopify.com/s/files/1/0587/8487/4575/files/1e45d6cb-1eff-45d7-96cb-e26594c44937_baa187d0-6c26-4a48-8318-a675416a4513.png?v=1757032295</t>
  </si>
  <si>
    <t>20065846</t>
  </si>
  <si>
    <t>Café Casa Brasil Tradicional 500g</t>
  </si>
  <si>
    <t>https://marche.com.br/collections/mercearia/products/cafe-casa-brasil-tradicional-500g?store_id=66677604431</t>
  </si>
  <si>
    <t>https://cdn.shopify.com/s/files/1/0587/8487/4575/files/0c19091c-1ef7-408f-9ea6-4ad0da34853d.png?v=1757025891</t>
  </si>
  <si>
    <t>20031143</t>
  </si>
  <si>
    <t>Café Torrado e Moído Drip Coffe FAZENDA PESSEGUEIRO 100g</t>
  </si>
  <si>
    <t>Café Fazenda Pessegueiro</t>
  </si>
  <si>
    <t>44.39</t>
  </si>
  <si>
    <t>https://marche.com.br/collections/mercearia/products/cafe-torrado-e-moido-drip-coffe-fazenda-pessegueiro-100g?store_id=66677604431</t>
  </si>
  <si>
    <t>https://cdn.shopify.com/s/files/1/0587/8487/4575/files/9005487d-7dcd-439f-b5db-7a50b02214ab_592ff196-78bf-4e3d-b637-dda29029636e.png?v=1757022063</t>
  </si>
  <si>
    <t>20025202</t>
  </si>
  <si>
    <t>Cápsulas de Café Tenor BRAVO Com 10 Unidades</t>
  </si>
  <si>
    <t>https://marche.com.br/collections/mercearia/products/capsulas-de-cafe-tenor-bravo-com-10-unidades?store_id=66677604431</t>
  </si>
  <si>
    <t>https://cdn.shopify.com/s/files/1/0587/8487/4575/files/20025202_5646fe85-d6a8-403e-a524-097b2c2a8643.png?v=1757025526</t>
  </si>
  <si>
    <t>20059134</t>
  </si>
  <si>
    <t>Café BRAVO Tenor Torrado Moído 250g</t>
  </si>
  <si>
    <t>https://marche.com.br/collections/mercearia/products/cafe-bravo-tenor-torrado-moido-250g?store_id=66677604431</t>
  </si>
  <si>
    <t>https://cdn.shopify.com/s/files/1/0587/8487/4575/files/20059134.png?v=1757032245</t>
  </si>
  <si>
    <t>20081001</t>
  </si>
  <si>
    <t>Café Bravo Coletanea Arábica 250g</t>
  </si>
  <si>
    <t>26.90</t>
  </si>
  <si>
    <t>https://marche.com.br/collections/mercearia/products/cafe-bravo-coletanea-arabica-250g?store_id=66677604431</t>
  </si>
  <si>
    <t>https://cdn.shopify.com/s/files/1/0587/8487/4575/files/05785cb0-bfa5-47a6-9f5c-a58d8f5b7306.png?v=1757449872</t>
  </si>
  <si>
    <t>20064369</t>
  </si>
  <si>
    <t>Cápsulas de Café Nescafé Colombia Original Com 10 Unidades 53g</t>
  </si>
  <si>
    <t>https://marche.com.br/collections/mercearia/products/capsulas-de-cafe-nescafe-colombia-original-com-10-unidades-53g?store_id=66677604431</t>
  </si>
  <si>
    <t>https://cdn.shopify.com/s/files/1/0587/8487/4575/files/c0769bf0-9381-460b-ad25-3c5429c9233a.jpg?v=1757026124</t>
  </si>
  <si>
    <t>20014348</t>
  </si>
  <si>
    <t>Cápsulas Café L'OR Ristretto Decaffeinato 10 Unidades</t>
  </si>
  <si>
    <t>https://marche.com.br/collections/mercearia/products/capsulas-cafe-lor-ristretto-decaffeinato-10-unidades?store_id=66677604431</t>
  </si>
  <si>
    <t>https://cdn.shopify.com/s/files/1/0587/8487/4575/files/5012e420-de1a-47e9-8d66-821b7d8afc1e.png?v=1757031740</t>
  </si>
  <si>
    <t>20078212</t>
  </si>
  <si>
    <t>Café Orfeu em Grãos Catucaí 250g</t>
  </si>
  <si>
    <t>https://marche.com.br/collections/mercearia/products/cafe-orfeu-em-graos-catucai-250g?store_id=66677604431</t>
  </si>
  <si>
    <t>https://cdn.shopify.com/s/files/1/0587/8487/4575/files/20078212.png?v=1757026682</t>
  </si>
  <si>
    <t>20065848</t>
  </si>
  <si>
    <t>Café Casa Brasil Gourmet em Grãos 500g</t>
  </si>
  <si>
    <t>69.80</t>
  </si>
  <si>
    <t>https://marche.com.br/collections/mercearia/products/cafe-casa-brasil-gourmet-em-graos-500g?store_id=66677604431</t>
  </si>
  <si>
    <t>https://cdn.shopify.com/s/files/1/0587/8487/4575/files/d259acf7-d815-4b77-a8bd-e0a6ffd62895.png?v=1757023678</t>
  </si>
  <si>
    <t>20029941</t>
  </si>
  <si>
    <t>Café Gourmet 3 CORAÇÕES em Pó Torrado e Moído Vácuo 250g</t>
  </si>
  <si>
    <t>33.79</t>
  </si>
  <si>
    <t>https://marche.com.br/collections/mercearia/products/cafe-gourmet-3-coracoes-em-po-torrado-e-moido-vacuo-250g?store_id=66677604431</t>
  </si>
  <si>
    <t>https://cdn.shopify.com/s/files/1/0587/8487/4575/files/df54a8dc-b81d-46b6-8ee5-08a7085b3466_ac8cc85d-fee6-42df-ac17-883e3ee1e2e2.jpg?v=1757032723</t>
  </si>
  <si>
    <t>20061982</t>
  </si>
  <si>
    <t>Café 3 CORAÇÕES Solúvel Descafeinado 50g</t>
  </si>
  <si>
    <t>https://marche.com.br/collections/mercearia/products/cafe-3-coracoes-soluvel-descafeinado-50g?store_id=66677604431</t>
  </si>
  <si>
    <t>https://cdn.shopify.com/s/files/1/0587/8487/4575/files/20061982_9cbd669b-c6fb-414e-b586-bc5b2376a67c.png?v=1757032488</t>
  </si>
  <si>
    <t>20064639</t>
  </si>
  <si>
    <t>Cápsula Dolce Gusto Espresso Com 10 Unidades 60g</t>
  </si>
  <si>
    <t>Dolce Gusto</t>
  </si>
  <si>
    <t>https://marche.com.br/collections/mercearia/products/capsula-dolce-gusto-espresso-com-10-unidades-60g?store_id=66677604431</t>
  </si>
  <si>
    <t>https://cdn.shopify.com/s/files/1/0587/8487/4575/files/86008f75-9c98-4ec3-b1e7-374a29f3a9c1_0e907bde-ba3f-41bc-a680-8607c0afd89c.jpg?v=1757029692</t>
  </si>
  <si>
    <t>20077879</t>
  </si>
  <si>
    <t>Cápsulas de Café União Clássico 10 Unidades</t>
  </si>
  <si>
    <t>https://marche.com.br/collections/mercearia/products/capsulas-de-cafe-uniao-classico-10-unidades?store_id=66677604431</t>
  </si>
  <si>
    <t>https://cdn.shopify.com/s/files/1/0587/8487/4575/files/20077879_e981aa63-6e16-460c-878f-9c3c2edd5f4d.png?v=1757023543</t>
  </si>
  <si>
    <t>20049890</t>
  </si>
  <si>
    <t>Café L'OR Torrado e Moído Cerrado Mineiro Pouch 250g</t>
  </si>
  <si>
    <t>43.99</t>
  </si>
  <si>
    <t>https://marche.com.br/collections/mercearia/products/cafe-lor-torrado-e-moido-cerrado-mineiro-pouch-250g?store_id=66677604431</t>
  </si>
  <si>
    <t>https://cdn.shopify.com/s/files/1/0587/8487/4575/files/ad39f082-9e08-4e57-9cd7-3e666feeec16.png?v=1761224421</t>
  </si>
  <si>
    <t>20064647</t>
  </si>
  <si>
    <t>Cápsula Dolce Gusto Café Matinal Com 10 Unidades 80g</t>
  </si>
  <si>
    <t>https://marche.com.br/collections/mercearia/products/capsula-dolce-gusto-cafe-matinal-com-10-unidades-80g?store_id=66677604431</t>
  </si>
  <si>
    <t>https://cdn.shopify.com/s/files/1/0587/8487/4575/files/8ed3b46a-823b-4b4a-bcb1-2d67c5208c67_0720216e-9eb5-48cd-97c5-86b4de9ae405.jpg?v=1757028840</t>
  </si>
  <si>
    <t>20074006</t>
  </si>
  <si>
    <t>Cápsulas de Café Nescafé Andes 44g</t>
  </si>
  <si>
    <t>https://marche.com.br/collections/mercearia/products/capsulas-de-cafe-nescafe-andes-44g?store_id=66677604431</t>
  </si>
  <si>
    <t>https://cdn.shopify.com/s/files/1/0587/8487/4575/files/20074006_44c14f52-502a-46fd-a7ae-1a0accb7515a.png?v=1757023692</t>
  </si>
  <si>
    <t>20030342</t>
  </si>
  <si>
    <t>Café Tradicional PILÃO 250g</t>
  </si>
  <si>
    <t>23.90</t>
  </si>
  <si>
    <t>https://marche.com.br/collections/mercearia/products/cafe-tradicional-pilao-250g?store_id=66677604431</t>
  </si>
  <si>
    <t>https://cdn.shopify.com/s/files/1/0587/8487/4575/files/65d23224-9a16-4842-8aab-ee1ea11c478f_eb0d36f5-4d46-4638-9154-59d3cc12b541.jpg?v=1757022567</t>
  </si>
  <si>
    <t>20078065</t>
  </si>
  <si>
    <t>Cápsulas de Café L'or Brazil Café das Fazendas 10 Unidades</t>
  </si>
  <si>
    <t>https://marche.com.br/collections/mercearia/products/capsulas-de-cafe-lor-brazil-cafe-das-fazendas-10-unidades?store_id=66677604431</t>
  </si>
  <si>
    <t>https://cdn.shopify.com/s/files/1/0587/8487/4575/files/20078065_2de59e98-2851-4ad3-95a5-5c2ec0ab6c04.png?v=1757024283</t>
  </si>
  <si>
    <t>20044347</t>
  </si>
  <si>
    <t>Café Torrado e Moído 252º Graus Vácuo PILÃO 500g</t>
  </si>
  <si>
    <t>https://marche.com.br/collections/mercearia/products/cafe-torrado-e-moido-252%C2%BA-graus-vacuo-pilao-500g?store_id=66677604431</t>
  </si>
  <si>
    <t>https://cdn.shopify.com/s/files/1/0587/8487/4575/files/2c005444-8055-41eb-ba66-fb8c572ef4e8.png?v=1757031838</t>
  </si>
  <si>
    <t>20077878</t>
  </si>
  <si>
    <t>Cápsulas de Café União Amaro 10 Unidades</t>
  </si>
  <si>
    <t>https://marche.com.br/collections/mercearia/products/capsulas-de-cafe-uniao-amaro-10-unidades?store_id=66677604431</t>
  </si>
  <si>
    <t>https://cdn.shopify.com/s/files/1/0587/8487/4575/files/20077878.png?v=1757032678</t>
  </si>
  <si>
    <t>20077202</t>
  </si>
  <si>
    <t>Café Lor Último Torrado e Moído 250g</t>
  </si>
  <si>
    <t>33.90</t>
  </si>
  <si>
    <t>https://marche.com.br/collections/mercearia/products/cafe-lor-ultimo-torrado-e-moido-250g?store_id=66677604431</t>
  </si>
  <si>
    <t>https://cdn.shopify.com/s/files/1/0587/8487/4575/files/08ed747d-3844-4c2e-8536-cd889180cb0a.png?v=1757027053</t>
  </si>
  <si>
    <t>20064642</t>
  </si>
  <si>
    <t>Cápsula Dolce Gusto Mocha Canela Com 10 Unidades 172g</t>
  </si>
  <si>
    <t>https://marche.com.br/collections/mercearia/products/capsula-dolce-gusto-mocha-canela-com-10-unidades-172g?store_id=66677604431</t>
  </si>
  <si>
    <t>https://cdn.shopify.com/s/files/1/0587/8487/4575/files/b8ef9870-0dac-4c83-b9a8-4802f45aeee9.jpg?v=1757032569</t>
  </si>
  <si>
    <t>20061037</t>
  </si>
  <si>
    <t>Café BRAVO Premium Torrado e Moído 500g</t>
  </si>
  <si>
    <t>31.90</t>
  </si>
  <si>
    <t>https://marche.com.br/collections/mercearia/products/cafe-bravo-premium-torrado-e-moido-500g?store_id=66677604431</t>
  </si>
  <si>
    <t>https://cdn.shopify.com/s/files/1/0587/8487/4575/files/20061037_1893a7dd-6893-4494-8e3d-3b00e74529f8.png?v=1757025316</t>
  </si>
  <si>
    <t>20046763</t>
  </si>
  <si>
    <t>Café ORFEU Grão Bourbon Amarelo 250g</t>
  </si>
  <si>
    <t>https://marche.com.br/collections/mercearia/products/cafe-orfeu-grao-bourbon-amarelo-250g?store_id=66677604431</t>
  </si>
  <si>
    <t>https://cdn.shopify.com/s/files/1/0587/8487/4575/files/da61e03b-a1b5-45dd-a667-40ad8b50e845_4a3ae326-e76f-44c5-b1ac-1d514fa83628.png?v=1757031923</t>
  </si>
  <si>
    <t>20031445</t>
  </si>
  <si>
    <t>Café em Cápsulas Pilão Torrado e moído Fortíssimo 52g 10 Unidades</t>
  </si>
  <si>
    <t>https://marche.com.br/collections/mercearia/products/capsulas-de-aluminio-espresso-10-pilao-52g?store_id=66677604431</t>
  </si>
  <si>
    <t>https://cdn.shopify.com/s/files/1/0587/8487/4575/files/213a504a-9c85-4854-a96c-01999a639d95.jpg?v=1757026378</t>
  </si>
  <si>
    <t>20056411</t>
  </si>
  <si>
    <t>Café ORFEU Drip Coffee Orgânico Sachê 10 Unidades</t>
  </si>
  <si>
    <t>https://marche.com.br/collections/mercearia/products/cafe-orfeu-drip-coffee-organico-sache-10-unidades?store_id=66677604431</t>
  </si>
  <si>
    <t>https://cdn.shopify.com/s/files/1/0587/8487/4575/files/75c64a33-f651-42b9-8276-62f63079cbc4.png?v=1757024398</t>
  </si>
  <si>
    <t>20063959</t>
  </si>
  <si>
    <t>Cápsulas de Café Baobá Especial Premium 10 Unidades</t>
  </si>
  <si>
    <t>https://marche.com.br/collections/mercearia/products/capsulas-de-cafe-baoba-especial-premium-10-unidades?store_id=66677604431</t>
  </si>
  <si>
    <t>https://cdn.shopify.com/s/files/1/0587/8487/4575/files/323f67de-9806-416f-8be7-3689e4d64ffc_f2fb8320-cfeb-4f4e-8ce9-2e34e362dc3c.png?v=1757023059</t>
  </si>
  <si>
    <t>20073962</t>
  </si>
  <si>
    <t>Café Illy em Pó Moído Clássico Moka 250g</t>
  </si>
  <si>
    <t>59.90</t>
  </si>
  <si>
    <t>https://marche.com.br/collections/mercearia/products/cafe-illy-em-po-moido-classico-moka-250g?store_id=66677604431</t>
  </si>
  <si>
    <t>https://cdn.shopify.com/s/files/1/0587/8487/4575/files/d454f908-9f9c-4301-b890-026011bd61d7.png?v=1757565701</t>
  </si>
  <si>
    <t>20073953</t>
  </si>
  <si>
    <t>Café Illy Grão Arábica Nicaragua 250g</t>
  </si>
  <si>
    <t>51.90</t>
  </si>
  <si>
    <t>https://marche.com.br/collections/mercearia/products/cafe-illy-grao-arabica-nicaragua-250g?store_id=66677604431</t>
  </si>
  <si>
    <t>https://cdn.shopify.com/s/files/1/0587/8487/4575/files/a3b07320-bd7e-40c2-b0b3-d8496035d1ed.png?v=1757565684</t>
  </si>
  <si>
    <t>20081842</t>
  </si>
  <si>
    <t>Café Latitude 13 Castas Torrado em Grãos 500g</t>
  </si>
  <si>
    <t>86.90</t>
  </si>
  <si>
    <t>https://marche.com.br/collections/mercearia/products/cafe-latitude-13-castas-torrado-em-graos-500g?store_id=66677604431</t>
  </si>
  <si>
    <t>https://cdn.shopify.com/s/files/1/0587/8487/4575/files/51ff0d5b-a8bc-432b-8c27-c5d4e29e5d8f.png?v=1761233645</t>
  </si>
  <si>
    <t>20026109</t>
  </si>
  <si>
    <t>Café Intenso a Vácuo PILÃO 500g</t>
  </si>
  <si>
    <t>https://marche.com.br/collections/mercearia/products/cafe-intenso-a-vacuo-pilao-500g?store_id=66677604431</t>
  </si>
  <si>
    <t>https://cdn.shopify.com/s/files/1/0587/8487/4575/files/f83a9695-20c0-434a-96a5-969d53eef799.jpg?v=1757022559</t>
  </si>
  <si>
    <t>20073303</t>
  </si>
  <si>
    <t>Capsulas de Cappuccino Vegetal 3 Corações 11g</t>
  </si>
  <si>
    <t>https://marche.com.br/collections/mercearia/products/capsulas-de-cappuccino-vegetal-3-coracoes-11g?store_id=66677604431</t>
  </si>
  <si>
    <t>https://cdn.shopify.com/s/files/1/0587/8487/4575/files/20073303_2be49049-4456-4771-9ba6-b85298d42217.png?v=1757028860</t>
  </si>
  <si>
    <t>20073921</t>
  </si>
  <si>
    <t>Café Orfeu Torrado e Moído Japy 250g</t>
  </si>
  <si>
    <t>https://marche.com.br/collections/mercearia/products/cafe-orfeu-torrado-e-moido-japy-250g?store_id=66677604431</t>
  </si>
  <si>
    <t>https://cdn.shopify.com/s/files/1/0587/8487/4575/files/51eab94e-59a6-412b-a0c1-219d3bf38a74.png?v=1757026345</t>
  </si>
  <si>
    <t>20069175</t>
  </si>
  <si>
    <t>Café Solúvel Juan Valdez Descafeinado 95g</t>
  </si>
  <si>
    <t>84.90</t>
  </si>
  <si>
    <t>https://marche.com.br/collections/mercearia/products/cafe-soluvel-juan-valdez-descafeinado-95g?store_id=66677604431</t>
  </si>
  <si>
    <t>https://cdn.shopify.com/s/files/1/0587/8487/4575/files/5597b70a-92ba-40c8-988d-f38128bb3787.png?v=1761200753</t>
  </si>
  <si>
    <t>20029836</t>
  </si>
  <si>
    <t>Café Gourmet em Grãos CAFÉ FAZENDA PESSEGUEIRO 500g</t>
  </si>
  <si>
    <t>66.09</t>
  </si>
  <si>
    <t>https://marche.com.br/collections/mercearia/products/cafe-gourmet-em-graos-cafe-fazenda-pessegueiro-500g?store_id=66677604431</t>
  </si>
  <si>
    <t>https://cdn.shopify.com/s/files/1/0587/8487/4575/files/46fd9f99-f87e-4e4c-a09d-61ffb4916c3d.jpg?v=1757024546</t>
  </si>
  <si>
    <t>20063951</t>
  </si>
  <si>
    <t>Café Baobá Especial Clássico Grãos 250g</t>
  </si>
  <si>
    <t>https://marche.com.br/collections/mercearia/products/cafe-baoba-especial-classico-graos-250g?store_id=66677604431</t>
  </si>
  <si>
    <t>https://cdn.shopify.com/s/files/1/0587/8487/4575/files/50f19214-56de-4b45-a006-9392a9cda318.png?v=1757025172</t>
  </si>
  <si>
    <t>20062827</t>
  </si>
  <si>
    <t>Café PILÃO Grãos Cafeteria 500g</t>
  </si>
  <si>
    <t>74.59</t>
  </si>
  <si>
    <t>https://marche.com.br/collections/mercearia/products/cafe-pilao-graos-cafeteria-500g?store_id=66677604431</t>
  </si>
  <si>
    <t>https://cdn.shopify.com/s/files/1/0587/8487/4575/files/8e78e9b1-f1d3-4364-a417-6f941f55d326_781b46b4-36f2-4a7d-a8d6-5f9f40ca6cf9.jpg?v=1757032091</t>
  </si>
  <si>
    <t>20017526</t>
  </si>
  <si>
    <t>Café Torrado e Moído Intenso ORFEU 250g</t>
  </si>
  <si>
    <t>https://marche.com.br/collections/mercearia/products/cafe-torrado-e-moido-intenso-orfeu-250g?store_id=66677604431</t>
  </si>
  <si>
    <t>https://cdn.shopify.com/s/files/1/0587/8487/4575/files/29d7e88e-abcb-4e95-98a5-6f7a3a3bbfb3.jpg?v=1757021806</t>
  </si>
  <si>
    <t>20063952</t>
  </si>
  <si>
    <t>Café Baobá Especial Clássico Moído 250g</t>
  </si>
  <si>
    <t>50.29</t>
  </si>
  <si>
    <t>https://marche.com.br/collections/mercearia/products/cafe-baoba-especial-classico-moido-250g?store_id=66677604431</t>
  </si>
  <si>
    <t>https://cdn.shopify.com/s/files/1/0587/8487/4575/files/2ed49d0a-cb07-4701-9386-d4c3910cf08b.png?v=1757032408</t>
  </si>
  <si>
    <t>20060721</t>
  </si>
  <si>
    <t>Café BRAVO Maestro Torrado Moído 250g</t>
  </si>
  <si>
    <t>https://marche.com.br/collections/mercearia/products/cafe-bravo-maestro-torrado-moido-250g?store_id=66677604431</t>
  </si>
  <si>
    <t>https://cdn.shopify.com/s/files/1/0587/8487/4575/files/20060721.png?v=1757032818</t>
  </si>
  <si>
    <t>20065849</t>
  </si>
  <si>
    <t>Cápsulas Café Casa Brasil Gourmet Intenso 7 50g</t>
  </si>
  <si>
    <t>38.99</t>
  </si>
  <si>
    <t>https://marche.com.br/collections/mercearia/products/capsulas-cafe-casa-brasil-gourmet-intenso-7-50g?store_id=66677604431</t>
  </si>
  <si>
    <t>https://cdn.shopify.com/s/files/1/0587/8487/4575/files/7fb56532-306a-41fd-a922-fce5404899b7.png?v=1757024334</t>
  </si>
  <si>
    <t>20026265</t>
  </si>
  <si>
    <t>Café Pilão Torrado E Moído Extra Forte Almofada 500g</t>
  </si>
  <si>
    <t>https://marche.com.br/collections/mercearia/products/cafe-pilao-torrado-e-moido-extra-forte-almofada-500g?store_id=66677604431</t>
  </si>
  <si>
    <t>https://cdn.shopify.com/s/files/1/0587/8487/4575/files/7c87a8a9-d98d-41a2-9041-44ebe704dbc2.jpg?v=1757028766</t>
  </si>
  <si>
    <t>20025203</t>
  </si>
  <si>
    <t>Cápsulas de Café Barítono Intenso BRAVO Com 10 Unidades</t>
  </si>
  <si>
    <t>https://marche.com.br/collections/mercearia/products/capsulas-de-cafe-baritono-intenso-bravo-com-10-unidades?store_id=66677604431</t>
  </si>
  <si>
    <t>https://cdn.shopify.com/s/files/1/0587/8487/4575/files/20025203.png?v=1757026616</t>
  </si>
  <si>
    <t>20025204</t>
  </si>
  <si>
    <t>Cápsulas de Café Soprano BRAVO Com 10 Cápsulas</t>
  </si>
  <si>
    <t>https://marche.com.br/collections/mercearia/products/capsulas-de-cafe-soprano-bravo-com-10-capsulas?store_id=66677604431</t>
  </si>
  <si>
    <t>https://cdn.shopify.com/s/files/1/0587/8487/4575/files/20025204_d434ca46-03e4-4236-af8e-95c7a28c0a5d.png?v=1757023351</t>
  </si>
  <si>
    <t>20060172</t>
  </si>
  <si>
    <t>Cápsula de Cafe Starbucks NESPRESSO Breakfest com 10 Un</t>
  </si>
  <si>
    <t>https://marche.com.br/collections/mercearia/products/capsula-de-cafe-starbucks-nespresso-breakfest-com-10-un?store_id=66677604431</t>
  </si>
  <si>
    <t>https://cdn.shopify.com/s/files/1/0587/8487/4575/files/83042ea7-d7d4-4d4a-95d4-670f01418613.png?v=1757022749</t>
  </si>
  <si>
    <t>20049891</t>
  </si>
  <si>
    <t>Café L'OR Torrado e Moído Mogiana Pouch 250g</t>
  </si>
  <si>
    <t>https://marche.com.br/collections/mercearia/products/cafe-lor-torrado-e-moido-mogiana-pouch-250g?store_id=66677604431</t>
  </si>
  <si>
    <t>https://cdn.shopify.com/s/files/1/0587/8487/4575/files/3d667e18-baae-43ce-98c7-c50afb038b06.png?v=1761224433</t>
  </si>
  <si>
    <t>20056410</t>
  </si>
  <si>
    <t>Café ORFEU Drip Coffee Clássico Sachê 10 Unidades</t>
  </si>
  <si>
    <t>https://marche.com.br/collections/mercearia/products/cafe-orfeu-drip-coffee-classico-sache-10-unidades?store_id=66677604431</t>
  </si>
  <si>
    <t>https://cdn.shopify.com/s/files/1/0587/8487/4575/files/aef20ed4-ab4d-4661-9a1e-3f976907722e_05bf2c56-2a2b-4908-80ba-b39cce54a41f.png?v=1757033875</t>
  </si>
  <si>
    <t>20064858</t>
  </si>
  <si>
    <t>Cápsula Café Baggio Dolce Gusto Caramel 85g</t>
  </si>
  <si>
    <t>https://marche.com.br/collections/mercearia/products/capsula-cafe-baggio-dolce-gusto-caramel-85g?store_id=66677604431</t>
  </si>
  <si>
    <t>https://cdn.shopify.com/s/files/1/0587/8487/4575/files/e1d69fcd-f149-4d87-a355-abc2b2ed21c7.png?v=1757023674</t>
  </si>
  <si>
    <t>20078161</t>
  </si>
  <si>
    <t>Cápsulas de Café Nescafé Gold Lungo Com 10 Unidades</t>
  </si>
  <si>
    <t>https://marche.com.br/collections/mercearia/products/capsulas-de-cafe-nescafe-gold-lungo-com-10-unidades?store_id=66677604431</t>
  </si>
  <si>
    <t>https://cdn.shopify.com/s/files/1/0587/8487/4575/files/20078161_eb334eb1-3911-40cd-acbc-77d1296620bc.png?v=1757032513</t>
  </si>
  <si>
    <t>20058795</t>
  </si>
  <si>
    <t>Cápsula de Café 3 CORAÇÕES Nespresso Mogiana Paulista 50g</t>
  </si>
  <si>
    <t>https://marche.com.br/collections/mercearia/products/capsula-de-cafe-3-coracoes-nespresso-mogiana-paulista-50g?store_id=66677604431</t>
  </si>
  <si>
    <t>https://cdn.shopify.com/s/files/1/0587/8487/4575/files/20058795_1bd06b71-6cbf-41c2-b227-e86d1a2bd926.png?v=1757023848</t>
  </si>
  <si>
    <t>20041330</t>
  </si>
  <si>
    <t>Café Torrado e Moído Verona STARBUCKS 250g</t>
  </si>
  <si>
    <t>48.99</t>
  </si>
  <si>
    <t>https://marche.com.br/collections/mercearia/products/cafe-torrado-e-moido-verona-starbucks-250g?store_id=66677604431</t>
  </si>
  <si>
    <t>https://cdn.shopify.com/s/files/1/0587/8487/4575/files/518e06bf-c9fd-49b9-aefc-b965354e6f89.jpg?v=1757031593</t>
  </si>
  <si>
    <t>20070400</t>
  </si>
  <si>
    <t>Cápsulas de Café Orfeu Japy Compatíveis Nespresso com 10 Unidades 50g</t>
  </si>
  <si>
    <t>https://marche.com.br/collections/mercearia/products/capsulas-de-cafe-orfeu-japy-compativeis-nespresso-com-10-unidades-50g?store_id=66677604431</t>
  </si>
  <si>
    <t>https://cdn.shopify.com/s/files/1/0587/8487/4575/files/20070400_7b9be391-1d36-48be-9a02-88cc2a35b795.png?v=1757024990</t>
  </si>
  <si>
    <t>20047908</t>
  </si>
  <si>
    <t>Cápsulas Café L'OR Guatemala 10 Unidades</t>
  </si>
  <si>
    <t>https://marche.com.br/collections/mercearia/products/capsulas-cafe-lor-guatemala-10-unidades?store_id=66677604431</t>
  </si>
  <si>
    <t>https://cdn.shopify.com/s/files/1/0587/8487/4575/files/c54ae4fb-f750-426a-b378-3f3d7966bc04.png?v=1757032156</t>
  </si>
  <si>
    <t>20065850</t>
  </si>
  <si>
    <t>Cápsulas Café Casa Brasil Intenso 9 50g</t>
  </si>
  <si>
    <t>https://marche.com.br/collections/mercearia/products/capsulas-cafe-casa-brasil-intenso-9-50g?store_id=66677604431</t>
  </si>
  <si>
    <t>https://cdn.shopify.com/s/files/1/0587/8487/4575/files/c158c1bc-dd51-4411-9fb7-d8b733b599ae_f4b74e22-e77c-441c-a3f0-807ada285b33.png?v=1757033818</t>
  </si>
  <si>
    <t>20026064</t>
  </si>
  <si>
    <t>Café a Vácuo Torrado e Moído Tradicional CAFÉ DO PONTO 500g</t>
  </si>
  <si>
    <t>Café Do Ponto</t>
  </si>
  <si>
    <t>47.99</t>
  </si>
  <si>
    <t>https://marche.com.br/collections/mercearia/products/cafe-a-vacuo-torrado-e-moido-tradicional-cafe-do-ponto-500g?store_id=66677604431</t>
  </si>
  <si>
    <t>https://cdn.shopify.com/s/files/1/0587/8487/4575/files/20026064_6f053b9c-572c-4b19-9d52-36d4526b3ea4.png?v=1757031828</t>
  </si>
  <si>
    <t>20025173</t>
  </si>
  <si>
    <t>Cápsulas de Café Espresso Pleno, TRES, 3 CORAÇÕES 10 Cápsulas</t>
  </si>
  <si>
    <t>3</t>
  </si>
  <si>
    <t>17.93</t>
  </si>
  <si>
    <t>https://marche.com.br/collections/mercearia/products/capsulas-de-cafe-espresso-pleno-tres-3-coracoes-10-capsulas?store_id=66677604431</t>
  </si>
  <si>
    <t>https://cdn.shopify.com/s/files/1/0587/8487/4575/files/a16ca175-3227-457c-94fb-da445fe737e9.png?v=1757025691</t>
  </si>
  <si>
    <t>20073464</t>
  </si>
  <si>
    <t>Cápsulas de Café Juan Valdez Paisaje 44,8g</t>
  </si>
  <si>
    <t>43.50</t>
  </si>
  <si>
    <t>https://marche.com.br/collections/mercearia/products/capsulas-de-cafe-juan-valdez-paisaje-44-8g?store_id=66677604431</t>
  </si>
  <si>
    <t>https://cdn.shopify.com/s/files/1/0587/8487/4575/files/4c1ab442-e664-4f54-a5d5-6032320bbf64.png?v=1757112152</t>
  </si>
  <si>
    <t>20069178</t>
  </si>
  <si>
    <t>Café Solúvel Juan Valdez Vanicanela 95g</t>
  </si>
  <si>
    <t>https://marche.com.br/collections/mercearia/products/cafe-soluvel-juan-valdez-vanicanela-95g?store_id=66677604431</t>
  </si>
  <si>
    <t>https://cdn.shopify.com/s/files/1/0587/8487/4575/files/b30e1064-5b56-4920-95d4-3a56e2f8fd5f.png?v=1761200761</t>
  </si>
  <si>
    <t>20073465</t>
  </si>
  <si>
    <t>Cápsula de Café Juan Valdez Mujeres 44,8g</t>
  </si>
  <si>
    <t>https://marche.com.br/collections/mercearia/products/capsula-de-cafe-juan-valdez-mujeres-44-8g?store_id=66677604431</t>
  </si>
  <si>
    <t>https://cdn.shopify.com/s/files/1/0587/8487/4575/files/1b90e808-92c4-421a-8ec9-345b22c84e6b_3939b6d1-6404-4e92-913e-08b65140c8e5.png?v=1757112156</t>
  </si>
  <si>
    <t>20073952</t>
  </si>
  <si>
    <t>Café Illy Grão Arábica Índia 250g</t>
  </si>
  <si>
    <t>https://marche.com.br/collections/mercearia/products/cafe-illy-grao-arabica-india-250g?store_id=66677604431</t>
  </si>
  <si>
    <t>https://cdn.shopify.com/s/files/1/0587/8487/4575/files/bb905487-6ae5-4431-9b2d-1e6ccefb542e.png?v=1757565681</t>
  </si>
  <si>
    <t>20069179</t>
  </si>
  <si>
    <t>Café Solúvel Juan Valdez Avelã 95g</t>
  </si>
  <si>
    <t>https://marche.com.br/collections/mercearia/products/cafe-soluvel-juan-valdez-avela-95g?store_id=66677604431</t>
  </si>
  <si>
    <t>https://cdn.shopify.com/s/files/1/0587/8487/4575/files/c8364857-02bb-4eba-b505-ca7614a9630d.png?v=1761200764</t>
  </si>
  <si>
    <t>20072098</t>
  </si>
  <si>
    <t>Café Solúvel Nescafé Com Leite 300g</t>
  </si>
  <si>
    <t>https://marche.com.br/collections/mercearia/products/cafe-soluvel-nescafe-com-leite-300g?store_id=66677604431</t>
  </si>
  <si>
    <t>https://cdn.shopify.com/s/files/1/0587/8487/4575/files/1e3b8131-6dea-48fa-8d47-5e6396647ae7_e417975e-a046-4057-beb3-3c90f4231c37.png?v=1757111323</t>
  </si>
  <si>
    <t>20078213</t>
  </si>
  <si>
    <t>Café Orfeu Torrado e Moído Catucaí 250g</t>
  </si>
  <si>
    <t>43.90</t>
  </si>
  <si>
    <t>https://marche.com.br/collections/mercearia/products/cafe-orfeu-torrado-e-moido-catucai-250g?store_id=66677604431</t>
  </si>
  <si>
    <t>https://cdn.shopify.com/s/files/1/0587/8487/4575/files/20078213_c7b7e396-405e-4d0a-b01d-567973e323a0.png?v=1757033520</t>
  </si>
  <si>
    <t>20076310</t>
  </si>
  <si>
    <t>Café Villa Piva em Grãos Especial 250g</t>
  </si>
  <si>
    <t>https://marche.com.br/collections/mercearia/products/cafe-villa-piva-em-graos-especial-250g?store_id=66677604431</t>
  </si>
  <si>
    <t>https://cdn.shopify.com/s/files/1/0587/8487/4575/files/41ec1946-14ba-4074-9753-7aed13f44fea.png?v=1757022384</t>
  </si>
  <si>
    <t>20025175</t>
  </si>
  <si>
    <t>Cápsula de Café Filtrado Gourmet 3 CORAÇÕES 10 Cápsulas</t>
  </si>
  <si>
    <t>https://marche.com.br/collections/mercearia/products/capsula-de-cafe-filtrado-gourmet-3-coracoes-10-capsulas?store_id=66677604431</t>
  </si>
  <si>
    <t>https://cdn.shopify.com/s/files/1/0587/8487/4575/files/20025175_f8272037-c33b-45aa-a61f-b66b970d076f.png?v=1757034006</t>
  </si>
  <si>
    <t>20045593</t>
  </si>
  <si>
    <t>Cápsulas Café L'OR ÌNDIA 10 Unidades</t>
  </si>
  <si>
    <t>https://marche.com.br/collections/mercearia/products/capsulas-cafe-lor-india-10-unidades?store_id=66677604431</t>
  </si>
  <si>
    <t>https://cdn.shopify.com/s/files/1/0587/8487/4575/files/27fbe469-7b85-4c76-b5f3-953322ca5ce4.png?v=1757021819</t>
  </si>
  <si>
    <t>20081820</t>
  </si>
  <si>
    <t>Cápsulas Café Pilão 100% Arábica Brasil 52g</t>
  </si>
  <si>
    <t>https://marche.com.br/collections/mercearia/products/caps-cafe-pilao-100-arab-brasil-52g?store_id=66677604431</t>
  </si>
  <si>
    <t>https://cdn.shopify.com/s/files/1/0587/8487/4575/files/611a31a7-9a1c-4170-8b84-65930151a3a5.png?v=1761580830</t>
  </si>
  <si>
    <t>20007826</t>
  </si>
  <si>
    <t>Cápsula de Café Estra Intenso BAGGIO Com 10 Cápsulas</t>
  </si>
  <si>
    <t>https://marche.com.br/collections/mercearia/products/capsula-de-cafe-estra-intenso-baggio-com-10-capsulas?store_id=66677604431</t>
  </si>
  <si>
    <t>https://cdn.shopify.com/s/files/1/0587/8487/4575/files/ceee70e8-441d-490d-a7bc-5041d76592b8_6bcfa254-5105-4eab-a6fd-bfabfa947719.jpg?v=1757023022</t>
  </si>
  <si>
    <t>20031290</t>
  </si>
  <si>
    <t>Cápsulas Café L'OR Ristretto 10 Unidades</t>
  </si>
  <si>
    <t>https://marche.com.br/collections/mercearia/products/capsulas-cafe-lor-ristretto-10-unidades?store_id=66677604431</t>
  </si>
  <si>
    <t>https://cdn.shopify.com/s/files/1/0587/8487/4575/files/75bc4ec8-378a-4077-b477-bd3441063845.png?v=1757024048</t>
  </si>
  <si>
    <t>20063954</t>
  </si>
  <si>
    <t>Café Baobá Especial Intenso Moído 250g</t>
  </si>
  <si>
    <t>https://marche.com.br/collections/mercearia/products/cafe-baoba-especial-intenso-moido-250g?store_id=66677604431</t>
  </si>
  <si>
    <t>https://cdn.shopify.com/s/files/1/0587/8487/4575/files/d3ffd802-6b62-4c89-a4ae-cf687160e7dd_78caaab7-638f-4c81-9415-7e6bd6d069d9.png?v=1757025323</t>
  </si>
  <si>
    <t>20080914</t>
  </si>
  <si>
    <t>Cappuccino Lor Chocolate e Pistache 19,5g</t>
  </si>
  <si>
    <t>https://marche.com.br/collections/mercearia/products/cappuccino-lor-chocolate-e-pistache-19-5g?store_id=66677604431</t>
  </si>
  <si>
    <t>https://cdn.shopify.com/s/files/1/0587/8487/4575/files/2b9d429d-2088-4936-9190-2a222b132beb.png?v=1757745755</t>
  </si>
  <si>
    <t>20062378</t>
  </si>
  <si>
    <t>Cappucino Nescafé Dois Frades 180g</t>
  </si>
  <si>
    <t>https://marche.com.br/collections/mercearia/products/cappucino-nescafe-dois-frades-180g?store_id=66677604431</t>
  </si>
  <si>
    <t>https://cdn.shopify.com/s/files/1/0587/8487/4575/files/14b5ab65-d9e8-45be-a0ef-5c18c370b2ac.jpg?v=1759240826</t>
  </si>
  <si>
    <t>20031047</t>
  </si>
  <si>
    <t>Café Expresso Gourmet Torrado em Grão 3 CORAÇÕES 1 kg</t>
  </si>
  <si>
    <t>163.49</t>
  </si>
  <si>
    <t>https://marche.com.br/collections/mercearia/products/cafe-expresso-gourmet-torrado-em-grao-3-coracoes-1-kg?store_id=66677604431</t>
  </si>
  <si>
    <t>https://cdn.shopify.com/s/files/1/0587/8487/4575/files/530d7110-be9a-49b3-9135-4b0616072d3c.jpg?v=1757026546</t>
  </si>
  <si>
    <t>20053847</t>
  </si>
  <si>
    <t>Cápsulas de Café BAGGIO Amêndoas Torradas Com 10 Cápsulas</t>
  </si>
  <si>
    <t>https://marche.com.br/collections/mercearia/products/capsulas-de-cafe-baggio-amendoas-torradas-com-10-capsulas?store_id=66677604431</t>
  </si>
  <si>
    <t>https://cdn.shopify.com/s/files/1/0587/8487/4575/files/be26ff3e-7a46-4cf7-b010-b13829108687.jpg?v=1757026970</t>
  </si>
  <si>
    <t>20069177</t>
  </si>
  <si>
    <t>Café Solúvel Juan Valdez Chocolate 95g</t>
  </si>
  <si>
    <t>https://marche.com.br/collections/mercearia/products/cafe-soluvel-juan-valdez-chocolate-95g?store_id=66677604431</t>
  </si>
  <si>
    <t>https://cdn.shopify.com/s/files/1/0587/8487/4575/files/c3630034-9bec-4810-8b00-dd7adb701169.png?v=1761200757</t>
  </si>
  <si>
    <t>20031049</t>
  </si>
  <si>
    <t>Cápsula de Café Espresso Ameno 3 CORAÇÕES 10 Cápsulas</t>
  </si>
  <si>
    <t>https://marche.com.br/collections/mercearia/products/capsula-de-cafe-espresso-ameno-3-coracoes-10-capsulas?store_id=66677604431</t>
  </si>
  <si>
    <t>https://cdn.shopify.com/s/files/1/0587/8487/4575/files/20031049_ee7f3a71-5aaf-4547-89e8-afa3a235be72.png?v=1757023735</t>
  </si>
  <si>
    <t>20070140</t>
  </si>
  <si>
    <t>36.90</t>
  </si>
  <si>
    <t>https://marche.com.br/collections/mercearia/products/cafe-torrado-e-moido-tradicional-uniao-500g?store_id=66677604431</t>
  </si>
  <si>
    <t>https://cdn.shopify.com/s/files/1/0587/8487/4575/files/5f9553fc-58ce-4213-bfba-628d93ed60f4.jpg?v=1757032422</t>
  </si>
  <si>
    <t>20049893</t>
  </si>
  <si>
    <t>Café Torrado e Moído a Vácuo Espresso PILÃO Cafeteria Pacote 500g</t>
  </si>
  <si>
    <t>https://marche.com.br/collections/mercearia/products/cafe-torrado-e-moido-a-vacuo-espresso-pilao-cafeteria-pacote-500g?store_id=66677604431</t>
  </si>
  <si>
    <t>https://cdn.shopify.com/s/files/1/0587/8487/4575/files/bd66ab25-6ae2-4b9a-b268-3e0904e925ed_213d791a-765a-4260-bd3a-db2debe6612e.jpg?v=1757023406</t>
  </si>
  <si>
    <t>20077880</t>
  </si>
  <si>
    <t>Cápsulas de Café União Velluto 10 Unidades</t>
  </si>
  <si>
    <t>https://marche.com.br/collections/mercearia/products/capsulas-de-cafe-uniao-velluto-10-unidades?store_id=66677604431</t>
  </si>
  <si>
    <t>https://cdn.shopify.com/s/files/1/0587/8487/4575/files/20077880.png?v=1757024519</t>
  </si>
  <si>
    <t>20060014</t>
  </si>
  <si>
    <t>Café LOR Intenso Torrado Moído 250g</t>
  </si>
  <si>
    <t>https://marche.com.br/collections/mercearia/products/cafe-lor-intenso-torrado-moido-250g?store_id=66677604431</t>
  </si>
  <si>
    <t>https://cdn.shopify.com/s/files/1/0587/8487/4575/files/6b79b2ae-41b6-4ba1-8292-bc92e743b01b_705b18f8-373c-4de5-92bb-ec567f1f6c2f.png?v=1757022140</t>
  </si>
  <si>
    <t>20076311</t>
  </si>
  <si>
    <t>Cápsulas de Café Villa Piva Especial Com 10 Unidades</t>
  </si>
  <si>
    <t>40.19</t>
  </si>
  <si>
    <t>https://marche.com.br/collections/mercearia/products/capsulas-de-cafe-villa-piva-especial-com-10-unidades?store_id=66677604431</t>
  </si>
  <si>
    <t>https://cdn.shopify.com/s/files/1/0587/8487/4575/files/cf15600f-2143-4a0e-98ca-5cea2ae3c6ac.png?v=1757025577</t>
  </si>
  <si>
    <t>20069975</t>
  </si>
  <si>
    <t>Café Solúvel em Pó Nescafé Espresso Intenso Gold Sachê 40g</t>
  </si>
  <si>
    <t>https://marche.com.br/collections/mercearia/products/cafe-soluvel-em-po-nescafe-espresso-intenso-gold-sache-40g?store_id=66677604431</t>
  </si>
  <si>
    <t>https://cdn.shopify.com/s/files/1/0587/8487/4575/files/fa6f1546-8500-4730-b347-a6c2e80e6892_30423653-42d0-4001-abf6-8473a0caeea1.jpg?v=1757110234</t>
  </si>
  <si>
    <t>20070401</t>
  </si>
  <si>
    <t>Cápsulas Orfeu Nespresso Arara com 10 Unidades 50g</t>
  </si>
  <si>
    <t>https://marche.com.br/collections/mercearia/products/capsulas-orfeu-nespresso-arara-com-10-unidades-50g?store_id=66677604431</t>
  </si>
  <si>
    <t>https://cdn.shopify.com/s/files/1/0587/8487/4575/files/e716ba00-0fdd-4ce7-ac27-5eb75f8ed629.png?v=1757026820</t>
  </si>
  <si>
    <t>20061021</t>
  </si>
  <si>
    <t>Café UNIÃO Tradicional Almofada 500g</t>
  </si>
  <si>
    <t>https://marche.com.br/collections/mercearia/products/cafe-uniao-tradicional-almofada-500g?store_id=66677604431</t>
  </si>
  <si>
    <t>https://cdn.shopify.com/s/files/1/0587/8487/4575/files/1d4de118-0b2a-40c3-893f-3500dfc5483d.jpg?v=1757033195</t>
  </si>
  <si>
    <t>20014164</t>
  </si>
  <si>
    <t>Cápsula de Café Espresso Rituais Florada Microlotes, TRES, 3 CORAÇÕES 10 Unidades</t>
  </si>
  <si>
    <t>Tres</t>
  </si>
  <si>
    <t>https://marche.com.br/collections/mercearia/products/capsula-de-cafe-espresso-rituais-florada-microlotes-tres-3-coracoes-10-unidades?store_id=66677604431</t>
  </si>
  <si>
    <t>https://cdn.shopify.com/s/files/1/0587/8487/4575/files/20014164_d5e42ae5-10a0-4016-9f8d-bc06dbeb9302.png?v=1757026063</t>
  </si>
  <si>
    <t>20045343</t>
  </si>
  <si>
    <t>Cápsula de Cappuccino Com Avelã 3 CORAÇÕES 10 Cápsulas</t>
  </si>
  <si>
    <t>https://marche.com.br/collections/mercearia/products/capsula-de-cappuccino-com-avela-3-coracoes-10-capsulas?store_id=66677604431</t>
  </si>
  <si>
    <t>https://cdn.shopify.com/s/files/1/0587/8487/4575/files/20045343_30eb81b7-d6cc-49cb-a0e8-5f9082350159.png?v=1757031842</t>
  </si>
  <si>
    <t>20030937</t>
  </si>
  <si>
    <t>Cápsulas de Cappuccino Classic 3 CORAÇÕES 10 Cápsulas</t>
  </si>
  <si>
    <t>https://marche.com.br/collections/mercearia/products/capsulas-de-cappuccino-classic-3-coracoes-10-capsulas?store_id=66677604431</t>
  </si>
  <si>
    <t>https://cdn.shopify.com/s/files/1/0587/8487/4575/files/375a3418-45f6-45ff-9b25-a3b1b1c18905.jpg?v=1757021816</t>
  </si>
  <si>
    <t>20075805</t>
  </si>
  <si>
    <t>Café 3 Corações Grãos Rituais Frutas Secas 250g</t>
  </si>
  <si>
    <t>47.89</t>
  </si>
  <si>
    <t>https://marche.com.br/collections/mercearia/products/cafe-3-coracoes-graos-rituais-frutas-secas-250g?store_id=66677604431</t>
  </si>
  <si>
    <t>https://cdn.shopify.com/s/files/1/0587/8487/4575/files/e73e2486-819c-4b25-8a5d-75edd2378a0a.png?v=1757032351</t>
  </si>
  <si>
    <t>20049892</t>
  </si>
  <si>
    <t>Café L'OR Torrado e Moído Sul de Minas Pouch 250g</t>
  </si>
  <si>
    <t>https://marche.com.br/collections/mercearia/products/cafe-lor-torrado-e-moido-sul-de-minas-pouch-250g?store_id=66677604431</t>
  </si>
  <si>
    <t>https://cdn.shopify.com/s/files/1/0587/8487/4575/files/bb1d14f9-195b-4005-8f12-58765e28c2ec.png?v=1761224437</t>
  </si>
  <si>
    <t>20055867</t>
  </si>
  <si>
    <t>Cápsula de Café ORFEU Orgânico Dolce Gusto 90g</t>
  </si>
  <si>
    <t>https://marche.com.br/collections/mercearia/products/capsula-de-cafe-orfeu-organico-dolce-gusto-90g?store_id=66677604431</t>
  </si>
  <si>
    <t>https://cdn.shopify.com/s/files/1/0587/8487/4575/files/5e1435e9-77f5-40ff-b46d-c5e5ba757dc4.png?v=1757919186</t>
  </si>
  <si>
    <t>20082791</t>
  </si>
  <si>
    <t>Café Nescafé Solúvel Gold Intenso 100g</t>
  </si>
  <si>
    <t>https://marche.com.br/collections/mercearia/products/cafe-nescafe-gold-intenso-100g?store_id=66677604431</t>
  </si>
  <si>
    <t>https://cdn.shopify.com/s/files/1/0587/8487/4575/files/d2f9f046-c5ba-4cb7-980c-87c029090c87.png?v=1765915225</t>
  </si>
  <si>
    <t>20073302</t>
  </si>
  <si>
    <t>Capsulas de Café com Leite Vegetal 3 Corações 11g</t>
  </si>
  <si>
    <t>https://marche.com.br/collections/mercearia/products/capsulas-de-cafe-com-leite-vegetal-3-coracoes-11g?store_id=66677604431</t>
  </si>
  <si>
    <t>https://cdn.shopify.com/s/files/1/0587/8487/4575/files/20073302_7408bfb7-c125-4cdc-9d3a-bb720ecb370e.png?v=1757024084</t>
  </si>
  <si>
    <t>20077882</t>
  </si>
  <si>
    <t>Cápsulas de Café União Ristretto 10 Unidades</t>
  </si>
  <si>
    <t>https://marche.com.br/collections/mercearia/products/capsulas-de-cafe-uniao-ristretto-10-unidades?store_id=66677604431</t>
  </si>
  <si>
    <t>https://cdn.shopify.com/s/files/1/0587/8487/4575/files/20077882_215cbf5c-eafd-4c9f-9fe3-55c1c22939eb.png?v=1757023012</t>
  </si>
  <si>
    <t>20008045</t>
  </si>
  <si>
    <t>Cápsula de Café Espresso Chapada Diamantina Safra Especial, TRES, 3 Corações 10 unidades</t>
  </si>
  <si>
    <t>https://marche.com.br/collections/mercearia/products/capsula-de-cafe-espresso-chapada-diamantina-safra-especial-tres-3-coracoes-10-unidades?store_id=66677604431</t>
  </si>
  <si>
    <t>https://cdn.shopify.com/s/files/1/0587/8487/4575/files/e5736c61-7dbb-443a-9f0f-d1bcb7d8d58e.jpg?v=1757032052</t>
  </si>
  <si>
    <t>20073300</t>
  </si>
  <si>
    <t>Capsulas de Café Star Wars Darth Vader 3 Corações 8g</t>
  </si>
  <si>
    <t>https://marche.com.br/collections/mercearia/products/capsulas-de-cafe-star-wars-darth-vader-3-coracoes-8g?store_id=66677604431</t>
  </si>
  <si>
    <t>https://cdn.shopify.com/s/files/1/0587/8487/4575/files/20073300_c68b8320-b6c6-4759-ba43-7c59dd4587c2.png?v=1757025658</t>
  </si>
  <si>
    <t>20062826</t>
  </si>
  <si>
    <t>Café Solúvel L'or Liofilizado Montanhas Capixabas 84g</t>
  </si>
  <si>
    <t>37.99</t>
  </si>
  <si>
    <t>https://marche.com.br/collections/mercearia/products/cafe-soluvel-lor-montanhas-capixabas-84g?store_id=66677604431</t>
  </si>
  <si>
    <t>https://cdn.shopify.com/s/files/1/0587/8487/4575/files/41cf269c-3dfb-4913-8fd4-256eb4e2337e_a4136aef-2fd3-48b0-8c68-e999f1beb39c.jpg?v=1757024795</t>
  </si>
  <si>
    <t>20073298</t>
  </si>
  <si>
    <t>Café Expresso 3 Corações Grãos Gourmet 500g</t>
  </si>
  <si>
    <t>82.29</t>
  </si>
  <si>
    <t>https://marche.com.br/collections/mercearia/products/cafe-expresso-3-coracoes-graos-gourmet-500g?store_id=66677604431</t>
  </si>
  <si>
    <t>https://cdn.shopify.com/s/files/1/0587/8487/4575/files/2a19e15b-6f3f-4c5b-b315-b2dc8957ea1e.png?v=1757033754</t>
  </si>
  <si>
    <t>20062825</t>
  </si>
  <si>
    <t>Café Solúvel L'or Liofilizado Sul da Bahia 84g</t>
  </si>
  <si>
    <t>https://marche.com.br/collections/mercearia/products/cafe-soluvel-lor-sul-da-bahia-84g?store_id=66677604431</t>
  </si>
  <si>
    <t>https://cdn.shopify.com/s/files/1/0587/8487/4575/files/74eb4b21-8954-4f49-babd-80907d823038.jpg?v=1757023855</t>
  </si>
  <si>
    <t>20002932</t>
  </si>
  <si>
    <t>Cappuccino de Chocolate 3 CORAÇÕES 200g</t>
  </si>
  <si>
    <t>https://marche.com.br/collections/mercearia/products/cappuccino-de-chocolate-3-coracoes-200g?store_id=66677604431</t>
  </si>
  <si>
    <t>https://cdn.shopify.com/s/files/1/0587/8487/4575/files/20002143.png?v=1757024260</t>
  </si>
  <si>
    <t>20083742</t>
  </si>
  <si>
    <t>Capsulas Café Starbucks Espresso 55g</t>
  </si>
  <si>
    <t>27.90</t>
  </si>
  <si>
    <t>https://marche.com.br/collections/mercearia/products/caps-cafe-starbucks-espresso-55g?store_id=66677604431</t>
  </si>
  <si>
    <t>https://cdn.shopify.com/s/files/1/0587/8487/4575/files/be6a7527-31de-4075-8640-355ba3a820a7.png?v=1770847243</t>
  </si>
  <si>
    <t>20078166</t>
  </si>
  <si>
    <t>Cápsulas Nescafé Alpino e Galak Com 16 Unidades</t>
  </si>
  <si>
    <t>https://marche.com.br/collections/mercearia/products/capsulas-nescafe-alpino-e-galak-com-16-unidades?store_id=66677604431</t>
  </si>
  <si>
    <t>https://cdn.shopify.com/s/files/1/0587/8487/4575/files/20078166_0927872a-529b-4083-98fa-2e1c0da05338.png?v=1757025020</t>
  </si>
  <si>
    <t>20081838</t>
  </si>
  <si>
    <t>Café Latitude 13 Clássico Torrado e Moído 250g</t>
  </si>
  <si>
    <t>40.59</t>
  </si>
  <si>
    <t>https://marche.com.br/collections/mercearia/products/cafe-latitude-13-classico-torrado-e-moido-250g?store_id=66677604431</t>
  </si>
  <si>
    <t>https://cdn.shopify.com/s/files/1/0587/8487/4575/files/5ca2aff8-19ee-42df-b5f1-115d3bf84e23.png?v=1761233634</t>
  </si>
  <si>
    <t>20064857</t>
  </si>
  <si>
    <t>Cápsula Café Baggio Dolce Gusto Clássico 85g</t>
  </si>
  <si>
    <t>https://marche.com.br/collections/mercearia/products/capsula-cafe-baggio-dolce-gusto-classico-85g?store_id=66677604431</t>
  </si>
  <si>
    <t>https://cdn.shopify.com/s/files/1/0587/8487/4575/files/3a2a9ee2-4de6-4508-8517-31494d2b62a2.png?v=1757033206</t>
  </si>
  <si>
    <t>20073306</t>
  </si>
  <si>
    <t>Café Latte Vegetal 3 Corações 220g</t>
  </si>
  <si>
    <t>https://marche.com.br/collections/mercearia/products/cafe-latte-vegetal-3-coracoes-220g?store_id=66677604431</t>
  </si>
  <si>
    <t>https://cdn.shopify.com/s/files/1/0587/8487/4575/files/20073306.png?v=1757032267</t>
  </si>
  <si>
    <t>20018605</t>
  </si>
  <si>
    <t>Cápsula de Café Illy Clássico Com 18 Unidades</t>
  </si>
  <si>
    <t>69.90</t>
  </si>
  <si>
    <t>https://marche.com.br/collections/mercearia/products/capsula-de-cafe-illy-classico-com-18-unidades?store_id=66677604431</t>
  </si>
  <si>
    <t>https://cdn.shopify.com/s/files/1/0587/8487/4575/files/7ff19f7f-4b84-4708-b67f-076b966fb0b3_cd1d77d7-8d90-4b85-8a8f-ed6aa7d7a774.jpg?v=1757028760</t>
  </si>
  <si>
    <t>20083640</t>
  </si>
  <si>
    <t>Café Cafellow Sachê Sensual 10 Unidades</t>
  </si>
  <si>
    <t>49.90</t>
  </si>
  <si>
    <t>https://marche.com.br/collections/mercearia/products/cafe-cafellow-sache-sensual-10un?store_id=66677604431</t>
  </si>
  <si>
    <t>https://cdn.shopify.com/s/files/1/0587/8487/4575/files/db77cf39-b748-4daa-9238-9edb5a1ed932.png?v=1770240635</t>
  </si>
  <si>
    <t>20058796</t>
  </si>
  <si>
    <t>Cápsula de Café 3 CORAÇÕES Nespresso Orgânico 50g</t>
  </si>
  <si>
    <t>https://marche.com.br/collections/mercearia/products/capsula-de-cafe-3-coracoes-nespresso-organico-50g?store_id=66677604431</t>
  </si>
  <si>
    <t>https://cdn.shopify.com/s/files/1/0587/8487/4575/files/20058796_1bade224-8ea7-422d-8b24-cba05db71a44.png?v=1757024724</t>
  </si>
  <si>
    <t>20075968</t>
  </si>
  <si>
    <t>Café em Grãos Juan Valdez Volcan 250g</t>
  </si>
  <si>
    <t>https://marche.com.br/collections/mercearia/products/cafe-em-graos-juan-valdez-volcan-250g?store_id=66677604431</t>
  </si>
  <si>
    <t>https://cdn.shopify.com/s/files/1/0587/8487/4575/files/5e8441b5-e2f8-480e-907b-fddd3cfe8eba_3d78a809-dc93-4379-9eb0-a006eff7bc8e.png?v=1757113128</t>
  </si>
  <si>
    <t>20008951</t>
  </si>
  <si>
    <t>Cápsula de Café Intenso BAGGIO Com 10 Cápsulas</t>
  </si>
  <si>
    <t>https://marche.com.br/collections/mercearia/products/capsula-de-cafe-intenso-baggio-com-10-capsulas?store_id=66677604431</t>
  </si>
  <si>
    <t>https://cdn.shopify.com/s/files/1/0587/8487/4575/files/ed846911-92df-4718-8dad-5ec10c581f57.jpg?v=1757022946</t>
  </si>
  <si>
    <t>20078478</t>
  </si>
  <si>
    <t>Cápsulas de Café Nescafé Brazil 18 Unidades</t>
  </si>
  <si>
    <t>43.19</t>
  </si>
  <si>
    <t>https://marche.com.br/collections/mercearia/products/capsulas-de-cafe-nescafe-brazil-18-unidades?store_id=66677604431</t>
  </si>
  <si>
    <t>https://cdn.shopify.com/s/files/1/0587/8487/4575/files/20078478.png?v=1757024837</t>
  </si>
  <si>
    <t>20049882</t>
  </si>
  <si>
    <t>Café Torrado e Moído Coado a Vácuo PILÃO Cafeteria Pacote 500g</t>
  </si>
  <si>
    <t>https://marche.com.br/collections/mercearia/products/cafe-torrado-e-moido-coado-a-vacuo-pilao-cafeteria-pacote-500g?store_id=66677604431</t>
  </si>
  <si>
    <t>https://cdn.shopify.com/s/files/1/0587/8487/4575/files/e2ed0461-2ca1-48ae-9758-b05d71ffa56b_ee9bb8bc-8337-4239-9cbd-812fd4fa2ff5.jpg?v=1757026497</t>
  </si>
  <si>
    <t>20081819</t>
  </si>
  <si>
    <t>Cápsulas Café Pilão 100% Arábica Colômbia 52g</t>
  </si>
  <si>
    <t>https://marche.com.br/collections/mercearia/products/caps-cafe-pilao-100-arab-colombia-52g?store_id=66677604431</t>
  </si>
  <si>
    <t>https://cdn.shopify.com/s/files/1/0587/8487/4575/files/f54ddc5a-741b-4885-b1ea-15867ba40ed5.png?v=1761580826</t>
  </si>
  <si>
    <t>20073920</t>
  </si>
  <si>
    <t>Café Orfeu Torrado e Moído Acauã 250g</t>
  </si>
  <si>
    <t>https://marche.com.br/collections/mercearia/products/cafe-orfeu-torrado-e-moido-acaua-250g?store_id=66677604431</t>
  </si>
  <si>
    <t>https://cdn.shopify.com/s/files/1/0587/8487/4575/files/20073920_11903b3b-7ef0-4c8d-a476-be3a1ef84e01.png?v=1757023611</t>
  </si>
  <si>
    <t>20078095</t>
  </si>
  <si>
    <t>Cápsulas de Café Dolce Gusto Nescafé Alpino 10 Unidades</t>
  </si>
  <si>
    <t>https://marche.com.br/collections/mercearia/products/capsulas-de-cafe-dolce-gusto-nescafe-alpino-10-unidades?store_id=66677604431</t>
  </si>
  <si>
    <t>https://cdn.shopify.com/s/files/1/0587/8487/4575/files/20078095.png?v=1757027022</t>
  </si>
  <si>
    <t>20077313</t>
  </si>
  <si>
    <t>Cápsula de Cafe Illy Classic Descafeinado 10 Unidades</t>
  </si>
  <si>
    <t>https://marche.com.br/collections/mercearia/products/capsula-de-cafe-illy-classic-descafeinado-10-unidades?store_id=66677604431</t>
  </si>
  <si>
    <t>https://cdn.shopify.com/s/files/1/0587/8487/4575/files/66af3990-0605-4951-a912-23de6d3a9e8c.png?v=1757024926</t>
  </si>
  <si>
    <t>20062823</t>
  </si>
  <si>
    <t>Café Solúvel PILÃO Cafeteria 40g</t>
  </si>
  <si>
    <t>https://marche.com.br/collections/mercearia/products/cafe-soluvel-pilao-cafeteria-40g?store_id=66677604431</t>
  </si>
  <si>
    <t>https://cdn.shopify.com/s/files/1/0587/8487/4575/files/7a0497ce-3fd6-4646-a428-1964447b9f54_1dcf607d-12de-465d-9769-a68c6a94ed7f.jpg?v=1757026404</t>
  </si>
  <si>
    <t>20025171</t>
  </si>
  <si>
    <t>Café 3 CORAÇÕES Cápsulas Espresso Vibrante Com 10 Cápsulas</t>
  </si>
  <si>
    <t>https://marche.com.br/collections/mercearia/products/cafe-3-coracoes-capsulas-espresso-vibrante-com-10-capsulas?store_id=66677604431</t>
  </si>
  <si>
    <t>https://cdn.shopify.com/s/files/1/0587/8487/4575/files/2e300d96-c9ba-47f7-af72-ee94c5aa75dd_2333a445-ca52-4b24-8065-9c1c90215250.png?v=1757031892</t>
  </si>
  <si>
    <t>20041381</t>
  </si>
  <si>
    <t>Café Solúvel Nescafé Gold 100g</t>
  </si>
  <si>
    <t>31.69</t>
  </si>
  <si>
    <t>https://marche.com.br/collections/mercearia/products/cafe-soluvel-nescafe-gold-100g?store_id=66677604431</t>
  </si>
  <si>
    <t>https://cdn.shopify.com/s/files/1/0587/8487/4575/files/6f42e8fe-37f9-4728-8042-7e91f14d79e4.jpg?v=1762567406</t>
  </si>
  <si>
    <t>20083743</t>
  </si>
  <si>
    <t>Café Soluvel Nescafé Ice 40g</t>
  </si>
  <si>
    <t>9.99</t>
  </si>
  <si>
    <t>https://marche.com.br/collections/mercearia/products/cafe-soluvel-nescafe-ice-40g?store_id=66677604431</t>
  </si>
  <si>
    <t>https://cdn.shopify.com/s/files/1/0587/8487/4575/files/78998ac2-0c08-4a36-a5cd-7da04843990f.png?v=1770847247</t>
  </si>
  <si>
    <t>20075801</t>
  </si>
  <si>
    <t>Café 3 Corações Torrado e Moído Rituais Exótico 250g</t>
  </si>
  <si>
    <t>https://marche.com.br/collections/mercearia/products/cafe-3-coracoes-torrado-e-moido-rituais-exotico-250g?store_id=66677604431</t>
  </si>
  <si>
    <t>https://cdn.shopify.com/s/files/1/0587/8487/4575/files/a9aefae5-2e58-44eb-8aaa-66a40d0058f7.png?v=1757024162</t>
  </si>
  <si>
    <t>20026921</t>
  </si>
  <si>
    <t>Café Extra Forte Vácuo 3 CORAÇÕES 500g</t>
  </si>
  <si>
    <t>41.50</t>
  </si>
  <si>
    <t>https://marche.com.br/collections/mercearia/products/cafe-extra-forte-vacuo-3-coracoes-500g?store_id=66677604431</t>
  </si>
  <si>
    <t>https://cdn.shopify.com/s/files/1/0587/8487/4575/files/20026921.png?v=1757021660</t>
  </si>
  <si>
    <t>20030344</t>
  </si>
  <si>
    <t>Café Pilão Torrado E Moído Extra Forte Abre e Fecha 500g</t>
  </si>
  <si>
    <t>https://marche.com.br/collections/mercearia/products/cafe-pilao-torrado-e-moido-extra-forte-abre-e-fecha-500g?store_id=66677604431</t>
  </si>
  <si>
    <t>https://cdn.shopify.com/s/files/1/0587/8487/4575/files/5a083ed9-ea26-4711-807d-045b1120b640.jpg?v=1757026871</t>
  </si>
  <si>
    <t>20055864</t>
  </si>
  <si>
    <t>Cápsula de Café ORFEU Clássico Dolce Gusto 90g</t>
  </si>
  <si>
    <t>https://marche.com.br/collections/mercearia/products/capsula-de-cafe-orfeu-classico-dolce-gusto-90g?store_id=66677604431</t>
  </si>
  <si>
    <t>https://cdn.shopify.com/s/files/1/0587/8487/4575/files/deb0daa3-a24c-4780-b7d7-97495f9615cb.png?v=1757022601</t>
  </si>
  <si>
    <t>20078475</t>
  </si>
  <si>
    <t>Cápsulas de Café Dolce Gusto Cappuccino 10 Unidades 135g</t>
  </si>
  <si>
    <t>https://marche.com.br/collections/mercearia/products/capsulas-de-cafe-dolce-gusto-cappuccino-10-unidades-135g?store_id=66677604431</t>
  </si>
  <si>
    <t>https://cdn.shopify.com/s/files/1/0587/8487/4575/files/20078475m.png?v=1757024602</t>
  </si>
  <si>
    <t>20073960</t>
  </si>
  <si>
    <t>Café Illy em Pó Moído Arábica Etiopia 125g</t>
  </si>
  <si>
    <t>24.90</t>
  </si>
  <si>
    <t>https://marche.com.br/collections/mercearia/products/cafe-illy-em-po-moido-arabica-etiopia-125g?store_id=66677604431</t>
  </si>
  <si>
    <t>https://cdn.shopify.com/s/files/1/0587/8487/4575/files/74f2f64c-400f-4393-9df6-fcc50a7e8d1e.png?v=1757565698</t>
  </si>
  <si>
    <t>20081623</t>
  </si>
  <si>
    <t>Cápsula de Café Illy Clássico Lungo 10 Unidades</t>
  </si>
  <si>
    <t>https://marche.com.br/collections/mercearia/products/capsula-de-cafe-illy-classico-lungo-10-unidades?store_id=66677604431</t>
  </si>
  <si>
    <t>https://cdn.shopify.com/s/files/1/0587/8487/4575/files/bc47a4c4-225a-4a1e-bf2e-a2f25c9dc21e.png?v=1759240914</t>
  </si>
  <si>
    <t>20046760</t>
  </si>
  <si>
    <t>Cápsula De Café ORFEU Borbon Amargo 50g</t>
  </si>
  <si>
    <t>https://marche.com.br/collections/mercearia/products/capsula-de-cafe-orfeu-borbon-amargo-50g?store_id=66677604431</t>
  </si>
  <si>
    <t>https://cdn.shopify.com/s/files/1/0587/8487/4575/files/f9cc02be-fdd9-4791-9a5e-e9d820d006b6.jpg?v=1757027098</t>
  </si>
  <si>
    <t>20064173</t>
  </si>
  <si>
    <t>Café Cápsula Illy Longo 120,6g</t>
  </si>
  <si>
    <t>72.49</t>
  </si>
  <si>
    <t>https://marche.com.br/collections/mercearia/products/cafe-capsula-illy-longo-120-6g?store_id=66677604431</t>
  </si>
  <si>
    <t>https://cdn.shopify.com/s/files/1/0587/8487/4575/files/d2fd69cb-8dfc-4397-aace-6543fd990814_5047c491-74cd-4b5d-bda3-f7a52428f130.jpg?v=1757034044</t>
  </si>
  <si>
    <t>20075975</t>
  </si>
  <si>
    <t>Cápsula de Café 3 Corações Especiais Colômbia Com 10 Unidades</t>
  </si>
  <si>
    <t>https://marche.com.br/collections/mercearia/products/capsula-de-cafe-3-coracoes-especiais-colombia-com-10-unidades?store_id=66677604431</t>
  </si>
  <si>
    <t>https://cdn.shopify.com/s/files/1/0587/8487/4575/files/d24e3392-ec89-4447-b06f-1e826d3be619_d39082f2-6f4f-42cc-a6e6-94b67e27c5ca.png?v=1757021560</t>
  </si>
  <si>
    <t>20029936</t>
  </si>
  <si>
    <t>CAFÉ FAZENDA PESSEGUEIRO Torra Média Cápsulas com 10 Unidades</t>
  </si>
  <si>
    <t>37.19</t>
  </si>
  <si>
    <t>https://marche.com.br/collections/mercearia/products/cafe-fazenda-pessegueiro-torra-media-capsulas-com-10-unidades?store_id=66677604431</t>
  </si>
  <si>
    <t>https://cdn.shopify.com/s/files/1/0587/8487/4575/files/9582adc7-d5d8-4c69-b889-cd133164edb8.png?v=1757023817</t>
  </si>
  <si>
    <t>20073299</t>
  </si>
  <si>
    <t>Capsulas de Café Star Wars Mestre Yoda 3 Corações 8g</t>
  </si>
  <si>
    <t>https://marche.com.br/collections/mercearia/products/capsulas-de-cafe-star-wars-mestre-yoda-3-coracoes-8g?store_id=66677604431</t>
  </si>
  <si>
    <t>https://cdn.shopify.com/s/files/1/0587/8487/4575/files/20073299_e761191a-5091-486b-bf2f-a2efd4679c50.png?v=1757022381</t>
  </si>
  <si>
    <t>20064174</t>
  </si>
  <si>
    <t>Café Illy Moído Clássico 125g</t>
  </si>
  <si>
    <t>https://marche.com.br/collections/mercearia/products/cafe-illy-moido-classico-125g?store_id=66677604431</t>
  </si>
  <si>
    <t>https://cdn.shopify.com/s/files/1/0587/8487/4575/files/499ad269-f4d5-4aab-afff-9d1c36d2cc8f_7173f335-7976-48c7-b3a0-874faf2b1fed.jpg?v=1757024496</t>
  </si>
  <si>
    <t>20061022</t>
  </si>
  <si>
    <t>Café UNIÃO Extraforte Almofada 500g</t>
  </si>
  <si>
    <t>https://marche.com.br/collections/mercearia/products/cafe-uniao-extraforte-almofada-500g?store_id=66677604431</t>
  </si>
  <si>
    <t>https://cdn.shopify.com/s/files/1/0587/8487/4575/files/93207322-0b74-4e9c-a88a-048160631ecd.jpg?v=1757023667</t>
  </si>
  <si>
    <t>20062375</t>
  </si>
  <si>
    <t>Cappucino NESCAFÉ Tradicional 180g</t>
  </si>
  <si>
    <t>https://marche.com.br/collections/mercearia/products/cappucino-nescafe-tradicional-180g?store_id=66677604431</t>
  </si>
  <si>
    <t>https://cdn.shopify.com/s/files/1/0587/8487/4575/files/e9134db9-1b3e-47bb-adb8-e3f2f4853e4a.png?v=1757033729</t>
  </si>
  <si>
    <t>20054952</t>
  </si>
  <si>
    <t>Café PILÃO Cafeteira Italiano Vácuo 500g</t>
  </si>
  <si>
    <t>https://marche.com.br/collections/mercearia/products/cafe-pilao-cafeteira-italiano-vacuo-500g?store_id=66677604431</t>
  </si>
  <si>
    <t>https://cdn.shopify.com/s/files/1/0587/8487/4575/files/350de194-3ed9-4450-adf2-6c82db3fa4be_31d0c7c3-4c8e-44cd-a9ba-dbe43796df66.png?v=1757031462</t>
  </si>
  <si>
    <t>20073895</t>
  </si>
  <si>
    <t>Cappuccino Lor Chocolate Sachê 19,6g</t>
  </si>
  <si>
    <t>https://marche.com.br/collections/mercearia/products/cappuccino-lor-chocolate-8-unidades-156-8g?store_id=66677604431</t>
  </si>
  <si>
    <t>https://cdn.shopify.com/s/files/1/0587/8487/4575/files/d17d0eeb-9a82-4016-a8a9-52f0e929ff18.png?v=1758209413</t>
  </si>
  <si>
    <t>20083641</t>
  </si>
  <si>
    <t>Café Cafellow Torrado Moído 250g</t>
  </si>
  <si>
    <t>https://marche.com.br/collections/mercearia/products/cafe-cafellow-torrado-moido-250g?store_id=66677604431</t>
  </si>
  <si>
    <t>https://cdn.shopify.com/s/files/1/0587/8487/4575/files/e722fbc8-b98f-467f-9eb8-c1ff73face2c.png?v=1770240638</t>
  </si>
  <si>
    <t>20078474</t>
  </si>
  <si>
    <t>Cápsulas de Café Dolce Gusto Espresso 10 Unidades 60g</t>
  </si>
  <si>
    <t>https://marche.com.br/collections/mercearia/products/capsulas-de-cafe-dolce-gusto-espresso-10-unidades-60g?store_id=66677604431</t>
  </si>
  <si>
    <t>https://cdn.shopify.com/s/files/1/0587/8487/4575/files/20078474m.png?v=1757023617</t>
  </si>
  <si>
    <t>20071621</t>
  </si>
  <si>
    <t>Cápsula de Café Starbucks Colômbia com 10 Unidades 55g</t>
  </si>
  <si>
    <t>https://marche.com.br/collections/mercearia/products/capsula-de-cafe-starbucks-colombia-com-10-unidades-55g?store_id=66677604431</t>
  </si>
  <si>
    <t>https://cdn.shopify.com/s/files/1/0587/8487/4575/files/a505c95c-625c-4b69-b863-806d6d680197.png?v=1757033748</t>
  </si>
  <si>
    <t>20070402</t>
  </si>
  <si>
    <t>Cápsulas Orfeu Nespresso Acauã com 10 Unidades 50g</t>
  </si>
  <si>
    <t>https://marche.com.br/collections/mercearia/products/capsulas-orfeu-nespresso-acaua-com-10-unidades-50g?store_id=66677604431</t>
  </si>
  <si>
    <t>https://cdn.shopify.com/s/files/1/0587/8487/4575/files/3e7cc269-ad55-4611-b85b-22a46af8e916_d2806d40-4aca-46f0-ac0d-739a9635c468.png?v=1757023442</t>
  </si>
  <si>
    <t>20062824</t>
  </si>
  <si>
    <t>Café Solúvel PILÃO Cafeteria Vidro 70g</t>
  </si>
  <si>
    <t>https://marche.com.br/collections/mercearia/products/cafe-soluvel-pilao-cafeteria-vidro-70g?store_id=66677604431</t>
  </si>
  <si>
    <t>https://cdn.shopify.com/s/files/1/0587/8487/4575/files/69266c6e-610d-40d6-86ff-82faba2bc72a_f491fcaa-4df4-46c3-a1a5-1b2d51645d02.jpg?v=1757028903</t>
  </si>
  <si>
    <t>20078168</t>
  </si>
  <si>
    <t>Café Nescafé Chapada Diamantina 250g</t>
  </si>
  <si>
    <t>37.59</t>
  </si>
  <si>
    <t>https://marche.com.br/collections/mercearia/products/cafe-nescafe-chapada-diamantina-250g?store_id=66677604431</t>
  </si>
  <si>
    <t>https://cdn.shopify.com/s/files/1/0587/8487/4575/files/20078168_9a294b7a-6f35-46e0-bb74-fc9ab8daf283.png?v=1757023161</t>
  </si>
  <si>
    <t>20081647</t>
  </si>
  <si>
    <t>Cápsulas de Café Nescafé Mix com Caneca 40 unidades</t>
  </si>
  <si>
    <t>107.99</t>
  </si>
  <si>
    <t>https://marche.com.br/collections/mercearia/products/capsulas-de-cafe-nescafe-mix-com-caneca-40-unidades?store_id=66677604431</t>
  </si>
  <si>
    <t>https://cdn.shopify.com/s/files/1/0587/8487/4575/files/c7835d8b-8ff3-4318-8abc-d26f10a6b73b.png?v=1759240943</t>
  </si>
  <si>
    <t>20078480</t>
  </si>
  <si>
    <t>Cápsulas de Café Nescafé Africas 18 Unidades</t>
  </si>
  <si>
    <t>https://marche.com.br/collections/mercearia/products/capsulas-de-cafe-nescafe-africas-18-unidades?store_id=66677604431</t>
  </si>
  <si>
    <t>https://cdn.shopify.com/s/files/1/0587/8487/4575/files/20078480.png?v=1757022781</t>
  </si>
  <si>
    <t>20076315</t>
  </si>
  <si>
    <t>Cápsulas de Café Villa Piva Polinizado Com 10 Unidades</t>
  </si>
  <si>
    <t>https://marche.com.br/collections/mercearia/products/capsulas-de-cafe-villa-piva-polinizado-com-10-unidades?store_id=66677604431</t>
  </si>
  <si>
    <t>https://cdn.shopify.com/s/files/1/0587/8487/4575/files/417ccef0-dbc5-47b5-aff4-a565cd662068_0bbabf3b-cc54-43b8-b37b-dcd6cf560226.png?v=1757034071</t>
  </si>
  <si>
    <t>20081837</t>
  </si>
  <si>
    <t>Café Latitude 13 Castas Torrado e Moído 250g</t>
  </si>
  <si>
    <t>https://marche.com.br/collections/mercearia/products/cafe-latitude-13-castas-torrado-e-moido-250g?store_id=66677604431</t>
  </si>
  <si>
    <t>https://cdn.shopify.com/s/files/1/0587/8487/4575/files/731cd293-5919-4150-b69b-788228f422a9.png?v=1761229921</t>
  </si>
  <si>
    <t>20075808</t>
  </si>
  <si>
    <t>Café 3 Corações em Cápsulas Napolitano 8 Unidades</t>
  </si>
  <si>
    <t>https://marche.com.br/collections/mercearia/products/cafe-3-coracoes-em-capsulas-napolitano-8-unidades?store_id=66677604431</t>
  </si>
  <si>
    <t>https://cdn.shopify.com/s/files/1/0587/8487/4575/files/21180fb4-c7a7-4461-b589-174d1bff911f.png?v=1757028935</t>
  </si>
  <si>
    <t>20075961</t>
  </si>
  <si>
    <t>Café 3 Corações Solúvel 1957 100g</t>
  </si>
  <si>
    <t>38.90</t>
  </si>
  <si>
    <t>https://marche.com.br/collections/mercearia/products/cafe-3-coracoes-soluvel-1957-100g?store_id=66677604431</t>
  </si>
  <si>
    <t>https://cdn.shopify.com/s/files/1/0587/8487/4575/files/20075961_8e569a82-49ac-48e9-9282-51f9f5631685.png?v=1757023009</t>
  </si>
  <si>
    <t>20073304</t>
  </si>
  <si>
    <t>Cappuccino Vegetal 3 Corações 140g</t>
  </si>
  <si>
    <t>https://marche.com.br/collections/mercearia/products/cappuccino-vegetal-3-coracoes-140g?store_id=66677604431</t>
  </si>
  <si>
    <t>https://cdn.shopify.com/s/files/1/0587/8487/4575/files/20073304_c249d353-33ec-40f7-9ad1-385667d43ee5.png?v=1757021854</t>
  </si>
  <si>
    <t>20077881</t>
  </si>
  <si>
    <t>Cápsulas de Café União Decaffeinato 10 Unidades</t>
  </si>
  <si>
    <t>https://marche.com.br/collections/mercearia/products/capsulas-de-cafe-uniao-decaffeinato-10-unidades?store_id=66677604431</t>
  </si>
  <si>
    <t>https://cdn.shopify.com/s/files/1/0587/8487/4575/files/20077881_418ef50c-de55-4ca6-8462-f7570749e2d9.png?v=1757034080</t>
  </si>
  <si>
    <t>20073897</t>
  </si>
  <si>
    <t>Cappuccino Lor Caramelo Sachê 20,3g</t>
  </si>
  <si>
    <t>https://marche.com.br/collections/mercearia/products/cappuccino-lor-caramelo-8-unidades-162-4g?store_id=66677604431</t>
  </si>
  <si>
    <t>https://cdn.shopify.com/s/files/1/0587/8487/4575/files/04fec821-7054-443e-9f84-25fd484e6971.png?v=1758207623</t>
  </si>
  <si>
    <t>20030774</t>
  </si>
  <si>
    <t>Café Bravo Tenor Em Grãos 1kg</t>
  </si>
  <si>
    <t>95.80</t>
  </si>
  <si>
    <t>https://marche.com.br/collections/mercearia/products/cafe-bravo-tenor-grao-1kg?store_id=66677604431</t>
  </si>
  <si>
    <t>https://cdn.shopify.com/s/files/1/0587/8487/4575/files/6debf2ac-b94c-46e6-91e6-af78a8087545.png?v=1768924840</t>
  </si>
  <si>
    <t>20058794</t>
  </si>
  <si>
    <t>Cápsula de Café 3 CORAÇÕES Nespresso Cerrado Mineiro 50g</t>
  </si>
  <si>
    <t>https://marche.com.br/collections/mercearia/products/capsula-de-cafe-3-coracoes-nespresso-cerrado-mineiro-50g?store_id=66677604431</t>
  </si>
  <si>
    <t>https://cdn.shopify.com/s/files/1/0587/8487/4575/files/20058794_2167d4f6-cc13-428b-837c-cc3b71024887.png?v=1757033416</t>
  </si>
  <si>
    <t>20073956</t>
  </si>
  <si>
    <t>Café Illy em Pó Moído Intenso Moka 125g</t>
  </si>
  <si>
    <t>https://marche.com.br/collections/mercearia/products/cafe-illy-em-po-moido-intenso-moka-125g?store_id=66677604431</t>
  </si>
  <si>
    <t>https://cdn.shopify.com/s/files/1/0587/8487/4575/files/a28b2475-b4f5-4308-a297-8d56a8a53478_733a97d6-f25a-4134-b278-c03b1b850217.png?v=1757031870</t>
  </si>
  <si>
    <t>20025170</t>
  </si>
  <si>
    <t>Cápsula de Café Filtrado Tradicional, TRES, 3 CORAÇÕES 10 Unidades</t>
  </si>
  <si>
    <t>https://marche.com.br/collections/mercearia/products/capsula-de-cafe-filtrado-tradicional-tres-3-coracoes-10-unidades?store_id=66677604431</t>
  </si>
  <si>
    <t>https://cdn.shopify.com/s/files/1/0587/8487/4575/files/20025170_0d64c64c-e4d9-49db-aada-d272da43930c.png?v=1757022653</t>
  </si>
  <si>
    <t>20081843</t>
  </si>
  <si>
    <t>Café Latitude 13 Chapada Diamantina Torrado e Moído 250g</t>
  </si>
  <si>
    <t>https://marche.com.br/collections/mercearia/products/cafe-latitude-13-chapada-diamantina-torrado-e-moido-250g?store_id=66677604431</t>
  </si>
  <si>
    <t>https://cdn.shopify.com/s/files/1/0587/8487/4575/files/fa8153ad-e827-4b6b-a2fe-317e9ad14c03.png?v=1761233650</t>
  </si>
  <si>
    <t>20064637</t>
  </si>
  <si>
    <t>Cápsula Dolce Gusto Cappuccino Doce de Leite Com 10 Unidades 170g</t>
  </si>
  <si>
    <t>https://marche.com.br/collections/mercearia/products/capsula-dolce-gusto-cappuccino-doce-de-leite-com-10-unidades-170g?store_id=66677604431</t>
  </si>
  <si>
    <t>https://cdn.shopify.com/s/files/1/0587/8487/4575/files/a484883d-c33e-41c0-ab07-fb84fe11d7ca_ad034895-a142-456b-927f-9fda842b1d43.jpg?v=1757023297</t>
  </si>
  <si>
    <t>20075976</t>
  </si>
  <si>
    <t>Cápsulas de Café 3 Corações Máximo Especiais Com 10 Unidades</t>
  </si>
  <si>
    <t>https://marche.com.br/collections/mercearia/products/capsulas-de-cafe-3-coracoes-maximo-especiais-com-10-unidades?store_id=66677604431</t>
  </si>
  <si>
    <t>https://cdn.shopify.com/s/files/1/0587/8487/4575/files/b36ee0c1-58da-4a29-b5dd-127b15c65a16.png?v=1757024676</t>
  </si>
  <si>
    <t>20041379</t>
  </si>
  <si>
    <t>Café Espresso Nespresso Pike Place STARBUCKS 53g</t>
  </si>
  <si>
    <t>https://marche.com.br/collections/mercearia/products/cafe-espresso-nespresso-pike-place-starbucks-53g?store_id=66677604431</t>
  </si>
  <si>
    <t>https://cdn.shopify.com/s/files/1/0587/8487/4575/files/3c82cc54-5173-43c4-a201-33e1296bec93_362841b6-41d8-4411-9c09-af0eb67ca15a.png?v=1757032540</t>
  </si>
  <si>
    <t>20052198</t>
  </si>
  <si>
    <t>https://marche.com.br/collections/mercearia/products/cafe-em-capsula-torrado-e-moido-forte-espresso-illy-caixa-57g-10-unidades?store_id=66677604431</t>
  </si>
  <si>
    <t>https://cdn.shopify.com/s/files/1/0587/8487/4575/files/09da5eee-5e49-46d2-ae4c-51bbd4a39f1f_d87b788d-c17c-47ac-aad3-c706a1134c79.png?v=1757024968</t>
  </si>
  <si>
    <t>20007784</t>
  </si>
  <si>
    <t>Cápsula de Café Clássico BAGGIO Com 10 Cápsulas</t>
  </si>
  <si>
    <t>https://marche.com.br/collections/mercearia/products/capsula-de-cafe-classico-baggio-com-10-capsulas?store_id=66677604431</t>
  </si>
  <si>
    <t>https://cdn.shopify.com/s/files/1/0587/8487/4575/files/76d16b24-738a-43d5-b578-6d8bd7e22810.jpg?v=1757026535</t>
  </si>
  <si>
    <t>20069976</t>
  </si>
  <si>
    <t>https://marche.com.br/collections/mercearia/products/cafe-soluvel-em-po-espresso-suave-nescafe-gold-sache-40g?store_id=66677604431</t>
  </si>
  <si>
    <t>https://cdn.shopify.com/s/files/1/0587/8487/4575/files/4ca363d1-98ba-4271-8b74-33f9d6bd766d_65f433b5-48d9-4e1d-8970-f67ef11b67d4.jpg?v=1757110237</t>
  </si>
  <si>
    <t>20081998</t>
  </si>
  <si>
    <t>Café Bravo Premium Grãos 500g</t>
  </si>
  <si>
    <t>45.50</t>
  </si>
  <si>
    <t>https://marche.com.br/collections/mercearia/products/cafe-bravo-premium-graos-500g?store_id=66677604431</t>
  </si>
  <si>
    <t>https://cdn.shopify.com/s/files/1/0587/8487/4575/files/7f1cc929-6243-4f4f-bfc7-42fdf0b43ef6.png?v=1763737239</t>
  </si>
  <si>
    <t>20030938</t>
  </si>
  <si>
    <t>Cápsulas de Café Com Leite Cappuccino 3 CORAÇÕES Com 10 Cápsulas</t>
  </si>
  <si>
    <t>https://marche.com.br/collections/mercearia/products/capsulas-de-cafe-com-leite-cappuccino-3-coracoes-com-10-capsulas?store_id=66677604431</t>
  </si>
  <si>
    <t>https://cdn.shopify.com/s/files/1/0587/8487/4575/files/20030938_171db2ff-ba79-41f3-914e-a29d695b0f16.png?v=1757025698</t>
  </si>
  <si>
    <t>20083638</t>
  </si>
  <si>
    <t>Café Cafellow Sachê Determinado 10 Unidades</t>
  </si>
  <si>
    <t>https://marche.com.br/collections/mercearia/products/cafe-cafellow-sache-determinado-10un?store_id=66677604431</t>
  </si>
  <si>
    <t>https://cdn.shopify.com/s/files/1/0587/8487/4575/files/d5324327-42a4-43bd-b7b6-e28ad573f1b1.png?v=1770240632</t>
  </si>
  <si>
    <t>20031050</t>
  </si>
  <si>
    <t>Cápsula de Café Espresso Atento 3 CORAÇÕES 10 Cápsulas</t>
  </si>
  <si>
    <t>https://marche.com.br/collections/mercearia/products/capsula-de-cafe-espresso-atento-3-coracoes-10-capsulas?store_id=66677604431</t>
  </si>
  <si>
    <t>https://cdn.shopify.com/s/files/1/0587/8487/4575/files/20031050_b4bbf3ad-615b-4a03-b606-a7df5b4f477f.png?v=1757024713</t>
  </si>
  <si>
    <t>20064641</t>
  </si>
  <si>
    <t>Cápsula Dolce Gusto Lungo Com 10 Unidades 70g</t>
  </si>
  <si>
    <t>https://marche.com.br/collections/mercearia/products/capsula-dolce-gusto-lungo-com-10-unidades-70g?store_id=66677604431</t>
  </si>
  <si>
    <t>https://cdn.shopify.com/s/files/1/0587/8487/4575/files/97f8e14d-44ec-459a-9ddf-f049b01e50c0.jpg?v=1757025327</t>
  </si>
  <si>
    <t>20063561</t>
  </si>
  <si>
    <t>Cápssulas 3 Corações Portinari Coado Com 8 Unidades</t>
  </si>
  <si>
    <t>https://marche.com.br/collections/mercearia/products/capssulas-3-coracoes-portinari-coado-com-8-unidades?store_id=66677604431</t>
  </si>
  <si>
    <t>https://cdn.shopify.com/s/files/1/0587/8487/4575/files/20063561_3d522236-59ed-4efd-983e-f9c32c3b7c95.png?v=1757022753</t>
  </si>
  <si>
    <t>20030773</t>
  </si>
  <si>
    <t>Café Solúvel NESCAFÉ Original Extraforte 100g</t>
  </si>
  <si>
    <t>https://marche.com.br/collections/mercearia/products/cafe-soluvel-nescafe-original-extraforte-100g?store_id=66677604431</t>
  </si>
  <si>
    <t>https://cdn.shopify.com/s/files/1/0587/8487/4575/files/bc0e3a81-be6d-457c-b57d-dd82bd91e021.jpg?v=1757031912</t>
  </si>
  <si>
    <t>20076309</t>
  </si>
  <si>
    <t>Café Villa Piva Torrado e Moído Especial 25g</t>
  </si>
  <si>
    <t>38.69</t>
  </si>
  <si>
    <t>https://marche.com.br/collections/mercearia/products/cafe-villa-piva-torrado-e-moido-especial-25g?store_id=66677604431</t>
  </si>
  <si>
    <t>https://cdn.shopify.com/s/files/1/0587/8487/4575/files/d00ae1c2-87fa-46bd-a46d-35e4b8a58f5a_0b47a938-9e97-476f-bac8-200fc82f97c3.png?v=1757031636</t>
  </si>
  <si>
    <t>20025174</t>
  </si>
  <si>
    <t>Cápsula de Café Espresso Decaf, TRES, 3 CORAÇÕES 10 unidades</t>
  </si>
  <si>
    <t>https://marche.com.br/collections/mercearia/products/capsula-de-cafe-espresso-decaf-tres-3-coracoes-10-unidades?store_id=66677604431</t>
  </si>
  <si>
    <t>https://cdn.shopify.com/s/files/1/0587/8487/4575/files/c313fb8b-f2ff-44eb-b22c-ffc43e78f37d_35bcd4f6-2485-4d0f-9313-c60622726c9d.png?v=1757026857</t>
  </si>
  <si>
    <t>20031288</t>
  </si>
  <si>
    <t>Cápsulas Café L'OR Onyx 10 Unidades</t>
  </si>
  <si>
    <t>https://marche.com.br/collections/mercearia/products/capsulas-cafe-lor-onyx-10-unidades?store_id=66677604431</t>
  </si>
  <si>
    <t>https://cdn.shopify.com/s/files/1/0587/8487/4575/files/7b0dec2f-7310-4052-9b49-fcf084b28244_30e6c3f7-208b-4a4f-b7ba-28bbd973d607.png?v=1757032063</t>
  </si>
  <si>
    <t>20025172</t>
  </si>
  <si>
    <t>Café 3 CORAÇÕES Cápsulas Espresso Supremo Com 10 Cápsulas</t>
  </si>
  <si>
    <t>https://marche.com.br/collections/mercearia/products/cafe-3-coracoes-capsulas-espresso-supremo-com-10-capsulas?store_id=66677604431</t>
  </si>
  <si>
    <t>https://cdn.shopify.com/s/files/1/0587/8487/4575/files/20025172_1f5d8d28-4489-4cdf-b993-a181dba2760c.png?v=1757033091</t>
  </si>
  <si>
    <t>20078058</t>
  </si>
  <si>
    <t>Cápsulas de Café Pilão Arábica Clássico Com 10 Unidades</t>
  </si>
  <si>
    <t>https://marche.com.br/collections/mercearia/products/capsulas-de-cafe-pilao-arabica-classico-com-10-unidades?store_id=66677604431</t>
  </si>
  <si>
    <t>https://cdn.shopify.com/s/files/1/0587/8487/4575/files/20078058.png?v=1757029723</t>
  </si>
  <si>
    <t>20063560</t>
  </si>
  <si>
    <t>Cápsulas 3 Corações Café Portinari Com 8 Unidades</t>
  </si>
  <si>
    <t>https://marche.com.br/collections/mercearia/products/capsulas-3-coracoes-cafe-portinari-com-8-unidades?store_id=66677604431</t>
  </si>
  <si>
    <t>https://cdn.shopify.com/s/files/1/0587/8487/4575/files/f8f0aae9-9856-4ea6-8a55-1bb8272758b6.jpg?v=1757021914</t>
  </si>
  <si>
    <t>20054993</t>
  </si>
  <si>
    <t>Café em Cápsula L'or Torrado e Moído Espresso Último 52g 10 Unidades</t>
  </si>
  <si>
    <t>https://marche.com.br/collections/mercearia/products/capsulas-lor-ultimo-intensity-com-10-capsulas?store_id=66677604431</t>
  </si>
  <si>
    <t>https://cdn.shopify.com/s/files/1/0587/8487/4575/files/a678c0c9-4ed0-484c-b7a6-fcfa32fab8b6.png?v=1761224446</t>
  </si>
  <si>
    <t>20078209</t>
  </si>
  <si>
    <t>Cápsulas de Café Orfeu Nespresso Forte 10 Unidades</t>
  </si>
  <si>
    <t>https://marche.com.br/collections/mercearia/products/capsulas-de-cafe-orfeu-nespresso-forte-10-unidades?store_id=66677604431</t>
  </si>
  <si>
    <t>https://cdn.shopify.com/s/files/1/0587/8487/4575/files/20078209.png?v=1757025507</t>
  </si>
  <si>
    <t>20026068</t>
  </si>
  <si>
    <t>Cappuccino Pote Classic 3 CORAÇÕES 200g</t>
  </si>
  <si>
    <t>https://marche.com.br/collections/mercearia/products/cappuccino-pote-classic-3-coracoes-200g?store_id=66677604431</t>
  </si>
  <si>
    <t>https://cdn.shopify.com/s/files/1/0587/8487/4575/files/20026068_bd07e788-80ba-4adb-abab-0b4dc1d81a33.png?v=1757021736</t>
  </si>
  <si>
    <t>20029596</t>
  </si>
  <si>
    <t>Café Premium Vácuo 3 CORAÇÕES 500g</t>
  </si>
  <si>
    <t>45.49</t>
  </si>
  <si>
    <t>https://marche.com.br/collections/mercearia/products/cafe-premium-vacuo-3-coracoes-500g?store_id=66677604431</t>
  </si>
  <si>
    <t>https://cdn.shopify.com/s/files/1/0587/8487/4575/files/20029596_a24952b6-a5de-48f5-9629-1119b1531514.png?v=1757024621</t>
  </si>
  <si>
    <t>20068533</t>
  </si>
  <si>
    <t>Café Solúvel Lor Liofilizado Classique 84g</t>
  </si>
  <si>
    <t>https://marche.com.br/collections/mercearia/products/cafe-soluvel-lor-liofilizado-classique-84g?store_id=66677604431</t>
  </si>
  <si>
    <t>https://cdn.shopify.com/s/files/1/0587/8487/4575/files/3c722ac7-6f0f-45bf-a5f1-daa528fac44f_add7c03f-2619-46f6-b2a1-d9d5857bdc3d.png?v=1757023433</t>
  </si>
  <si>
    <t>20061980</t>
  </si>
  <si>
    <t>Café Torrado e Moído 3 CORAÇÕES Estrada Real Premium Pacote 500g</t>
  </si>
  <si>
    <t>https://marche.com.br/collections/mercearia/products/cafe-torrado-e-moido-3-coracoes-estrada-real-premium-pacote-500g?store_id=66677604431</t>
  </si>
  <si>
    <t>https://cdn.shopify.com/s/files/1/0587/8487/4575/files/20061980_05dc0b8d-7d99-42c2-b663-0f9f5e53e316.png?v=1757021830</t>
  </si>
  <si>
    <t>20078163</t>
  </si>
  <si>
    <t>Cápsulas Nescafé Kopenhagen Língua de Gato Com 10 Unidades</t>
  </si>
  <si>
    <t>https://marche.com.br/collections/mercearia/products/capsulas-nescafe-kopenhagen-lingua-de-gato-com-10-unidades?store_id=66677604431</t>
  </si>
  <si>
    <t>https://cdn.shopify.com/s/files/1/0587/8487/4575/files/20078163_60423ced-13df-4ad1-952c-571bf88b765f.png?v=1757026678</t>
  </si>
  <si>
    <t>20047779</t>
  </si>
  <si>
    <t>Cápsula de Café BAGGIO Chocolate Com Avelã Com 10 Cápsulas 50g</t>
  </si>
  <si>
    <t>https://marche.com.br/collections/mercearia/products/capsula-de-cafe-baggio-chocolate-com-avela-com-10-capsulas-50g?store_id=66677604431</t>
  </si>
  <si>
    <t>https://cdn.shopify.com/s/files/1/0587/8487/4575/files/c0e72d8e-15ea-4600-abfa-633d4b8ffb1f_b36534f3-b29d-49b0-a826-f87d1334c9fc.png?v=1757026800</t>
  </si>
  <si>
    <t>20082793</t>
  </si>
  <si>
    <t>Café Nescafé Gold Solúvel 5 Liofilizado 40g</t>
  </si>
  <si>
    <t>11.90</t>
  </si>
  <si>
    <t>https://marche.com.br/collections/mercearia/products/cafe-nescafe-gold-inst-5-liofilizado-40g?store_id=66677604431</t>
  </si>
  <si>
    <t>https://cdn.shopify.com/s/files/1/0587/8487/4575/files/449a6e2e-9e90-4c12-81b5-51f986ff0afc.png?v=1765915233</t>
  </si>
  <si>
    <t>20061981</t>
  </si>
  <si>
    <t>Café Torrado e Moído 3 CORAÇÕES Dark Roast Gourmet Pacote 250g</t>
  </si>
  <si>
    <t>35.99</t>
  </si>
  <si>
    <t>https://marche.com.br/collections/mercearia/products/cafe-torrado-e-moido-3-coracoes-dark-roast-gourmet-pacote-250g?store_id=66677604431</t>
  </si>
  <si>
    <t>https://cdn.shopify.com/s/files/1/0587/8487/4575/files/20061981_43a4e5e8-7e0a-4c82-8e8a-64ca199f1dee.png?v=1757023289</t>
  </si>
  <si>
    <t>20041429</t>
  </si>
  <si>
    <t>Café Solúvel NESCAFÉ Matinal Suave 160g</t>
  </si>
  <si>
    <t>https://marche.com.br/collections/mercearia/products/cafe-soluvel-nescafe-matinal-suave-160g?store_id=66677604431</t>
  </si>
  <si>
    <t>https://cdn.shopify.com/s/files/1/0587/8487/4575/files/20041429_6c64daca-306f-41b9-bebb-4bbaaaec50aa.png?v=1757024959</t>
  </si>
  <si>
    <t>20080999</t>
  </si>
  <si>
    <t>Café Bravo Premium Torrado e Moído Clara 500g</t>
  </si>
  <si>
    <t>https://marche.com.br/collections/mercearia/products/cafe-bravo-premium-torrado-e-moido-clara-500g?store_id=66677604431</t>
  </si>
  <si>
    <t>https://cdn.shopify.com/s/files/1/0587/8487/4575/files/e1de5770-dd59-4bc4-9a83-764e1719273d.png?v=1757449893</t>
  </si>
  <si>
    <t>20081000</t>
  </si>
  <si>
    <t>Café Bravo Premium Torrado e Moído 250g</t>
  </si>
  <si>
    <t>https://marche.com.br/collections/mercearia/products/cafe-bravo-premium-torrado-e-moido-250g?store_id=66677604431</t>
  </si>
  <si>
    <t>https://cdn.shopify.com/s/files/1/0587/8487/4575/files/ffebaa9b-8eb7-4867-b049-180f2fd126ed.png?v=1757449898</t>
  </si>
  <si>
    <t>20023026</t>
  </si>
  <si>
    <t>Cápsulas de Café ORFEU Clássico com 10 Unidades 50g</t>
  </si>
  <si>
    <t>https://marche.com.br/collections/mercearia/products/capsulas-de-cafe-orfeu-classico-com-10-unidades-50g?store_id=66677604431</t>
  </si>
  <si>
    <t>https://cdn.shopify.com/s/files/1/0587/8487/4575/files/dde787ca-96b8-4b1e-8835-552c1ff1d13e.jpg?v=1757023968</t>
  </si>
  <si>
    <t>20023082</t>
  </si>
  <si>
    <t>Cápsulas de Café ORFEU Intenso com 10 Unidades 50g</t>
  </si>
  <si>
    <t>https://marche.com.br/collections/mercearia/products/capsulas-de-cafe-orfeu-intenso-com-10-unidades-50g?store_id=66677604431</t>
  </si>
  <si>
    <t>https://cdn.shopify.com/s/files/1/0587/8487/4575/files/d9326191-51de-43d3-925a-927cb9ac0f8d.jpg?v=1757033236</t>
  </si>
  <si>
    <t>20078162</t>
  </si>
  <si>
    <t>Cápsulas de Café Nescafé Gold Expresso Com 10 Unidades</t>
  </si>
  <si>
    <t>https://marche.com.br/collections/mercearia/products/capsulas-de-cafe-nescafe-gold-expresso-com-10-unidades?store_id=66677604431</t>
  </si>
  <si>
    <t>https://cdn.shopify.com/s/files/1/0587/8487/4575/files/20078162.png?v=1757023158</t>
  </si>
  <si>
    <t>20030343</t>
  </si>
  <si>
    <t>Café Pilão Torrado E Moído Tradicional Abre&amp;Fecha 500g</t>
  </si>
  <si>
    <t>https://marche.com.br/collections/mercearia/products/cafe-pilao-torrado-e-moido-tradicional-abre-fecha-500g?store_id=66677604431</t>
  </si>
  <si>
    <t>https://cdn.shopify.com/s/files/1/0587/8487/4575/files/d00560cd-5715-4289-879c-698bdd1b9b46.jpg?v=1757025694</t>
  </si>
  <si>
    <t>20041376</t>
  </si>
  <si>
    <t>Café em Cápsula Torrado e Moído STARBUCKS Blonde Espresso Roast Caixa 53g 10 Unidades</t>
  </si>
  <si>
    <t>https://marche.com.br/collections/mercearia/products/cafe-em-capsula-torrado-e-moido-starbucks-blonde-espresso-roast-caixa-53g-10-unidades?store_id=66677604431</t>
  </si>
  <si>
    <t>https://cdn.shopify.com/s/files/1/0587/8487/4575/files/5aa7d558-a65e-4239-9896-cb6f57116af7_8ff64404-d8a4-4785-95d9-228883bece4b.png?v=1757033654</t>
  </si>
  <si>
    <t>20056764</t>
  </si>
  <si>
    <t>Café Solúvel L'OR Espresso 40g</t>
  </si>
  <si>
    <t>https://marche.com.br/collections/mercearia/products/cafe-soluvel-lor-espresso-40g?store_id=66677604431</t>
  </si>
  <si>
    <t>https://cdn.shopify.com/s/files/1/0587/8487/4575/files/d47d766f-5a20-4113-ba66-6a296a674cbe.png?v=1757032316</t>
  </si>
  <si>
    <t>20026266</t>
  </si>
  <si>
    <t>Café a Vácuo Torrado e Moído Extra Forte PILÃO 500g</t>
  </si>
  <si>
    <t>https://marche.com.br/collections/mercearia/products/cafe-a-vacuo-torrado-e-moido-extra-forte-pilao-500g?store_id=66677604431</t>
  </si>
  <si>
    <t>https://cdn.shopify.com/s/files/1/0587/8487/4575/files/7919d755-3118-4f0b-ad30-805c246ec3c7_9cbe5c53-27a7-4765-a749-95663ee28449.jpg?v=1757022425</t>
  </si>
  <si>
    <t>20041481</t>
  </si>
  <si>
    <t>Cappuccino Zero Lactose Balance 3 CORAÇÕES 180g</t>
  </si>
  <si>
    <t>https://marche.com.br/collections/mercearia/products/cappuccino-zero-lactose-balance-3-coracoes-180g?store_id=66677604431</t>
  </si>
  <si>
    <t>https://cdn.shopify.com/s/files/1/0587/8487/4575/files/20041481.png?v=1757026237</t>
  </si>
  <si>
    <t>20050565</t>
  </si>
  <si>
    <t>Cápsula HAVANA Cappuccino 3 Corações Com 10 Cápsulas</t>
  </si>
  <si>
    <t>https://marche.com.br/collections/mercearia/products/capsula-havana-cappuccino-3-coracoes-com-10-capsulas?store_id=66677604431</t>
  </si>
  <si>
    <t>https://cdn.shopify.com/s/files/1/0587/8487/4575/files/20050565_69bc60f9-8ee6-4a02-86e6-d5d666fe7d02.png?v=1757033262</t>
  </si>
  <si>
    <t>20078059</t>
  </si>
  <si>
    <t>Cápsulas de Café Pilão Arábica Intenso Com 10 Unidades</t>
  </si>
  <si>
    <t>https://marche.com.br/collections/mercearia/products/capsulas-de-cafe-pilao-arabica-intenso-com-10-unidades?store_id=66677604431</t>
  </si>
  <si>
    <t>https://cdn.shopify.com/s/files/1/0587/8487/4575/files/20078059.png?v=1757024101</t>
  </si>
  <si>
    <t>20052197</t>
  </si>
  <si>
    <t>https://marche.com.br/collections/mercearia/products/cafe-em-capsula-torrado-e-moido-intenso-espresso-illy-caixa-57g-10-unidades?store_id=66677604431</t>
  </si>
  <si>
    <t>https://cdn.shopify.com/s/files/1/0587/8487/4575/files/20052197_348c9242-9026-44a0-b692-3783b5c4b4f7.png?v=1757023991</t>
  </si>
  <si>
    <t>20031448</t>
  </si>
  <si>
    <t>Café em Cápsulas Pilão Torrado e moído Extraforte 104g 20 Unidades</t>
  </si>
  <si>
    <t>https://marche.com.br/collections/mercearia/products/cafe-espresso-pilao-capsulas-de-aluminio-12-com-20-unidades?store_id=66677604431</t>
  </si>
  <si>
    <t>https://cdn.shopify.com/s/files/1/0587/8487/4575/files/300eb26b-4b12-4d1f-8df8-48e9dab076f2.jpg?v=1757024955</t>
  </si>
  <si>
    <t>20064636</t>
  </si>
  <si>
    <t>Cápsula Dolce Gusto Café Caseiro Com 10 Unidades 80g</t>
  </si>
  <si>
    <t>https://marche.com.br/collections/mercearia/products/capsula-dolce-gusto-cafe-caseiro-com-10-unidades-80g?store_id=66677604431</t>
  </si>
  <si>
    <t>https://cdn.shopify.com/s/files/1/0587/8487/4575/files/cdf3c91e-d3f6-4bde-9ece-5d289395456f.jpg?v=1757032320</t>
  </si>
  <si>
    <t>20064368</t>
  </si>
  <si>
    <t>Cápsulas de Café Nescafé Brasil Original Com 10 Unidades 52g</t>
  </si>
  <si>
    <t>https://marche.com.br/collections/mercearia/products/capsulas-de-cafe-nescafe-brasil-original-com-10-unidades-52g?store_id=66677604431</t>
  </si>
  <si>
    <t>https://cdn.shopify.com/s/files/1/0587/8487/4575/files/50655a0f-5acf-4553-8e8d-9c67a3ee6e99.png?v=1757022686</t>
  </si>
  <si>
    <t>20025998</t>
  </si>
  <si>
    <t>Café Tradicional 3 CORAÇÕES 500g</t>
  </si>
  <si>
    <t>https://marche.com.br/collections/mercearia/products/cafe-tradicional-3-coracoes-500g?store_id=66677604431</t>
  </si>
  <si>
    <t>https://cdn.shopify.com/s/files/1/0587/8487/4575/files/20025998.png?v=1757026074</t>
  </si>
  <si>
    <t>20059127</t>
  </si>
  <si>
    <t>Café BAGGIO Torrado e Moído Chocolate com Avelã 250g</t>
  </si>
  <si>
    <t>https://marche.com.br/collections/mercearia/products/cafe-baggio-torrado-e-moido-chocolate-com-avela-250g?store_id=66677604431</t>
  </si>
  <si>
    <t>https://cdn.shopify.com/s/files/1/0587/8487/4575/files/f7c70acb-37a1-4486-9018-76be81b2a07b_7a29a670-5d59-4f4b-8f54-f3cb4ed387c8.png?v=1757022743</t>
  </si>
  <si>
    <t>20075802</t>
  </si>
  <si>
    <t>Cafe 3 Corações Torrado e Moído Rituais Frutas Secas 250g</t>
  </si>
  <si>
    <t>https://marche.com.br/collections/mercearia/products/cafe-3-coracoes-torrado-e-moido-rituais-frutas-secas-250g?store_id=66677604431</t>
  </si>
  <si>
    <t>https://cdn.shopify.com/s/files/1/0587/8487/4575/files/4536041e-2624-4f7a-9c48-100d8b91cb66.png?v=1757031563</t>
  </si>
  <si>
    <t>20062440</t>
  </si>
  <si>
    <t>Cápsula de Café LOR Epresso de Caramelo Com 10 Unidades</t>
  </si>
  <si>
    <t>https://marche.com.br/collections/mercearia/products/capsula-de-cafe-lor-epresso-de-caramelo-com-10-unidades?store_id=66677604431</t>
  </si>
  <si>
    <t>https://cdn.shopify.com/s/files/1/0587/8487/4575/files/20062440_535c4aef-afe6-4ab8-a3b2-1f4d4940da13.png?v=1757031784</t>
  </si>
  <si>
    <t>20029649</t>
  </si>
  <si>
    <t>Café Torrado e Moído BRAVO Pacote 500g</t>
  </si>
  <si>
    <t>41.90</t>
  </si>
  <si>
    <t>https://marche.com.br/collections/mercearia/products/cafe-torrado-e-moido-bravo-pacote-500g?store_id=66677604431</t>
  </si>
  <si>
    <t>https://cdn.shopify.com/s/files/1/0587/8487/4575/files/20029649_01f48d7e-fec7-442a-82f2-4b2c5324ea56.png?v=1757021580</t>
  </si>
  <si>
    <t>20064646</t>
  </si>
  <si>
    <t>Cápsula Dolce Gusto Café Caseiro Com 10 Unidades 90g</t>
  </si>
  <si>
    <t>https://marche.com.br/collections/mercearia/products/capsula-dolce-gusto-cafe-caseiro-com-10-unidades-90g?store_id=66677604431</t>
  </si>
  <si>
    <t>https://cdn.shopify.com/s/files/1/0587/8487/4575/files/5584ae25-d216-4011-b562-5978d34f5c82_bc6c0d30-f500-48a0-b14c-15cf3682c79c.jpg?v=1757024004</t>
  </si>
  <si>
    <t>20075812</t>
  </si>
  <si>
    <t>Café 3 Corações em Cápsulas Rituais Exótico 8 Unidades</t>
  </si>
  <si>
    <t>https://marche.com.br/collections/mercearia/products/cafe-3-coracoes-em-capsulas-rituais-exotico-8-unidades?store_id=66677604431</t>
  </si>
  <si>
    <t>https://cdn.shopify.com/s/files/1/0587/8487/4575/files/e8e00f1d-2b3b-4b30-8438-424edc2824c8.png?v=1757023436</t>
  </si>
  <si>
    <t>20041328</t>
  </si>
  <si>
    <t>Café Torrado e Moído House Blend Torra Média STARBUCKS 250g</t>
  </si>
  <si>
    <t>https://marche.com.br/collections/mercearia/products/cafe-torrado-e-moido-house-blend-torra-media-starbucks-250g?store_id=66677604431</t>
  </si>
  <si>
    <t>https://cdn.shopify.com/s/files/1/0587/8487/4575/files/e29e7be2-f6ae-4a7b-b80c-f0b10323bebb.jpg?v=1757024127</t>
  </si>
  <si>
    <t>20078164</t>
  </si>
  <si>
    <t>Cápsulas Nescafé Kopenhagen Lajotinha Com 10 Unidades</t>
  </si>
  <si>
    <t>https://marche.com.br/collections/mercearia/products/capsulas-nescafe-kopenhagen-lajotinha-com-10-unidades?store_id=66677604431</t>
  </si>
  <si>
    <t>https://cdn.shopify.com/s/files/1/0587/8487/4575/files/20078164.png?v=1757031521</t>
  </si>
  <si>
    <t>20026179</t>
  </si>
  <si>
    <t>Café Torrado e Moído Tradicional MELITTA Caixa 500g</t>
  </si>
  <si>
    <t>https://marche.com.br/collections/mercearia/products/cafe-torrado-e-moido-tradicional-melitta-caixa-500g?store_id=66677604431</t>
  </si>
  <si>
    <t>https://cdn.shopify.com/s/files/1/0587/8487/4575/files/cfd272fb-3ad4-4d83-a026-1d98f5f822a8.png?v=1757029674</t>
  </si>
  <si>
    <t>20063955</t>
  </si>
  <si>
    <t>Café Baobá Especial Premium Grãos 250g</t>
  </si>
  <si>
    <t>https://marche.com.br/collections/mercearia/products/cafe-baoba-especial-premium-graos-250g?store_id=66677604431</t>
  </si>
  <si>
    <t>https://cdn.shopify.com/s/files/1/0587/8487/4575/files/f95f4fc8-3094-466c-b5ce-5759abee61ec_0e5a76f8-b521-4b81-be27-b174f44c0cad.png?v=1757032652</t>
  </si>
  <si>
    <t>20071625</t>
  </si>
  <si>
    <t>Cápsula de Café Starbucks Capuccino com 10 Unidades 100g</t>
  </si>
  <si>
    <t>https://marche.com.br/collections/mercearia/products/capsula-de-cafe-starbucks-capuccino-com-10-unidades-100g?store_id=66677604431</t>
  </si>
  <si>
    <t>https://cdn.shopify.com/s/files/1/0587/8487/4575/files/9c3573fc-9f46-44ac-9a5d-63382ab83e1e_d8d5e8db-83f4-4d41-b718-3c9376dad881.png?v=1757024750</t>
  </si>
  <si>
    <t>20064648</t>
  </si>
  <si>
    <t>Cápsula Dolce Gusto Café� Au Lait Com 10 Unidades 100g</t>
  </si>
  <si>
    <t>https://marche.com.br/collections/mercearia/products/capsula-dolce-gusto-cafe-au-lait-com-10-unidades-100g?store_id=66677604431</t>
  </si>
  <si>
    <t>https://cdn.shopify.com/s/files/1/0587/8487/4575/files/4835765f-c24e-46e3-bba0-537135033edb.jpg?v=1757021837</t>
  </si>
  <si>
    <t>20030936</t>
  </si>
  <si>
    <t>Cápsula de Chocolatto 3 CORAÇÕES 10 Cápsulas</t>
  </si>
  <si>
    <t>https://marche.com.br/collections/mercearia/products/capsula-de-chocolatto-3-coracoes-10-capsulas?store_id=66677604431</t>
  </si>
  <si>
    <t>https://cdn.shopify.com/s/files/1/0587/8487/4575/files/20030936_73f51ff7-2c5f-482f-a56e-c3ea7552ed52.png?v=1757027982</t>
  </si>
  <si>
    <t>20041329</t>
  </si>
  <si>
    <t>Café Torrado e Moído Pike Place Torra Média STARBUCKS 250g</t>
  </si>
  <si>
    <t>https://marche.com.br/collections/mercearia/products/cafe-torrado-e-moido-pike-place-torra-media-starbucks-250g?store_id=66677604431</t>
  </si>
  <si>
    <t>https://cdn.shopify.com/s/files/1/0587/8487/4575/files/20041329_92358c77-6900-45ca-985e-61951e550b70.png?v=1757024312</t>
  </si>
  <si>
    <t>20048915</t>
  </si>
  <si>
    <t>Café Gourment Torrado e Moído Cerrado Mineiro 3 CORAÇÕES 250g</t>
  </si>
  <si>
    <t>https://marche.com.br/collections/mercearia/products/cafe-gourment-torrado-e-moido-cerrado-mineiro-3-coracoes-250g?store_id=66677604431</t>
  </si>
  <si>
    <t>https://cdn.shopify.com/s/files/1/0587/8487/4575/files/20048915_636bae94-e771-4dfc-9669-ef49c0f714be.png?v=1757026809</t>
  </si>
  <si>
    <t>20071618</t>
  </si>
  <si>
    <t>Cápsulas Dolce Gusto Pingado com 10 Unidades 140g</t>
  </si>
  <si>
    <t>https://marche.com.br/collections/mercearia/products/capsulas-dolce-gusto-pingado-com-10-unidades-140g?store_id=66677604431</t>
  </si>
  <si>
    <t>https://cdn.shopify.com/s/files/1/0587/8487/4575/files/20071618_56f49aa7-200a-49b7-846a-50df7983c099.png?v=1757022091</t>
  </si>
  <si>
    <t>20026079</t>
  </si>
  <si>
    <t>Café a Vácuo Torrado e Moído Tradicional PILÃO 500g</t>
  </si>
  <si>
    <t>https://marche.com.br/collections/mercearia/products/cafe-a-vacuo-torrado-e-moido-tradicional-pilao-500g?store_id=66677604431</t>
  </si>
  <si>
    <t>https://cdn.shopify.com/s/files/1/0587/8487/4575/files/95b7f2c1-4de2-4d9a-9061-fa5f52e9eec9.png?v=1757033698</t>
  </si>
  <si>
    <t>20041378</t>
  </si>
  <si>
    <t>Café Espresso Nespresso Colombia STARBUCKS 57g</t>
  </si>
  <si>
    <t>https://marche.com.br/collections/mercearia/products/cafe-espresso-nespresso-colombia-starbucks-57g?store_id=66677604431</t>
  </si>
  <si>
    <t>https://cdn.shopify.com/s/files/1/0587/8487/4575/files/3aec7040-8e71-470e-8227-eef54f60495b.png?v=1757025301</t>
  </si>
  <si>
    <t>20057566</t>
  </si>
  <si>
    <t>Cápsula de Café TRÊS CORAÇÕES Baileys Supremo Macchiato 11g</t>
  </si>
  <si>
    <t>https://marche.com.br/collections/mercearia/products/capsula-de-cafe-tres-coracoes-baileys-supremo-macchiato-11g?store_id=66677604431</t>
  </si>
  <si>
    <t>https://cdn.shopify.com/s/files/1/0587/8487/4575/files/20057566_6cfd69c2-a2bc-4c95-abc6-b10cbda6f135.png?v=1757021686</t>
  </si>
  <si>
    <t>20064365</t>
  </si>
  <si>
    <t>Cápsulas de Café Nescafé Índia Original Com 10 Unidades 53g</t>
  </si>
  <si>
    <t>https://marche.com.br/collections/mercearia/products/capsulas-de-cafe-nescafe-india-original-com-10-unidades-53g?store_id=66677604431</t>
  </si>
  <si>
    <t>https://cdn.shopify.com/s/files/1/0587/8487/4575/files/73e6cced-6b16-4ad2-a0ff-4678fa7d28a5_ce790fbd-e7f0-4282-af12-e01dd314bb9c.png?v=1757023671</t>
  </si>
  <si>
    <t>20063956</t>
  </si>
  <si>
    <t>Café Baobá Especial Premium Moído 250g</t>
  </si>
  <si>
    <t>https://marche.com.br/collections/mercearia/products/cafe-baoba-especial-premium-moido-250g?store_id=66677604431</t>
  </si>
  <si>
    <t>https://cdn.shopify.com/s/files/1/0587/8487/4575/files/e4ef3502-6356-4735-b303-38fe85b45ca9.png?v=1757023415</t>
  </si>
  <si>
    <t>20014347</t>
  </si>
  <si>
    <t>Cápsulas Café L'OR Colômbia 10 Unidades</t>
  </si>
  <si>
    <t>https://marche.com.br/collections/mercearia/products/capsulas-cafe-lor-colombia-10-unidades?store_id=66677604431</t>
  </si>
  <si>
    <t>https://cdn.shopify.com/s/files/1/0587/8487/4575/files/7b02b55e-3944-4e9b-89cb-cda61c4dc159_af154b5b-4420-4688-857a-3b978b17ed59.jpg?v=1757022471</t>
  </si>
  <si>
    <t>20060013</t>
  </si>
  <si>
    <t>Café LOR Delicado Torrado Moído 250g</t>
  </si>
  <si>
    <t>https://marche.com.br/collections/mercearia/products/cafe-lor-delicado-torrado-moido-250g?store_id=66677604431</t>
  </si>
  <si>
    <t>https://cdn.shopify.com/s/files/1/0587/8487/4575/files/e6de696b-47b3-46a0-9ea5-5afcdba13f09.png?v=1757031530</t>
  </si>
  <si>
    <t>20048916</t>
  </si>
  <si>
    <t>Café Gourment Torrado e Moído Sul de Minas 3 CORAÇÕES 250g</t>
  </si>
  <si>
    <t>https://marche.com.br/collections/mercearia/products/cafe-gourment-torrado-e-moido-sul-de-minas-3-coracoes-250g?store_id=66677604431</t>
  </si>
  <si>
    <t>https://cdn.shopify.com/s/files/1/0587/8487/4575/files/20048916.png?v=1757033857</t>
  </si>
  <si>
    <t>20073307</t>
  </si>
  <si>
    <t>Capsulas de Alumínio Café Descafeínado 5g</t>
  </si>
  <si>
    <t>5</t>
  </si>
  <si>
    <t>https://marche.com.br/collections/mercearia/products/capsulas-de-aluminio-cafe-descafeinado-5g?store_id=66677604431</t>
  </si>
  <si>
    <t>https://cdn.shopify.com/s/files/1/0587/8487/4575/files/20073307_3d948f5b-40ca-4a37-910f-98303aab9967.png?v=1757033345</t>
  </si>
  <si>
    <t>20007890</t>
  </si>
  <si>
    <t>Cápsulas Café L'OR Ristretto 20 Unidades</t>
  </si>
  <si>
    <t>https://marche.com.br/collections/mercearia/products/capsulas-cafe-lor-ristretto-20-unidades?store_id=66677604431</t>
  </si>
  <si>
    <t>https://cdn.shopify.com/s/files/1/0587/8487/4575/files/520e758f-0b1b-40fe-81e0-c5621eb89dfe.jpg?v=1757025519</t>
  </si>
  <si>
    <t>20031446</t>
  </si>
  <si>
    <t>Café em Cápsula Pilão Torrado e Moído Espresso Extraforte 52g 10 Unidades</t>
  </si>
  <si>
    <t>https://marche.com.br/collections/mercearia/products/capsulas-de-aluminio-espresso-12-pilao-52g?store_id=66677604431</t>
  </si>
  <si>
    <t>https://cdn.shopify.com/s/files/1/0587/8487/4575/files/5fb1490a-18be-4880-8ba8-a90eb7b69123.jpg?v=1757028889</t>
  </si>
  <si>
    <t>20053271</t>
  </si>
  <si>
    <t>Café Torrado e Moído STARBUCKS Colômbia 250g</t>
  </si>
  <si>
    <t>https://marche.com.br/collections/mercearia/products/cafe-torrado-e-moido-starbucks-colombia-250g?store_id=66677604431</t>
  </si>
  <si>
    <t>https://cdn.shopify.com/s/files/1/0587/8487/4575/files/20053271.png?v=1757026250</t>
  </si>
  <si>
    <t>20008859</t>
  </si>
  <si>
    <t>Cápsula de Café Chocolate Trufado BAGGIO Com 10 Cápsulas</t>
  </si>
  <si>
    <t>https://marche.com.br/collections/mercearia/products/capsula-de-cafe-chocolate-trufado-baggio-com-10-capsulas?store_id=66677604431</t>
  </si>
  <si>
    <t>https://cdn.shopify.com/s/files/1/0587/8487/4575/files/c183095f-6caf-4fca-b8ff-66bd8a6b24db.jpg?v=1757033544</t>
  </si>
  <si>
    <t>20008165</t>
  </si>
  <si>
    <t>Cappuccino 3 CORAÇÕES Light Solúvel Sachê Com 10 Unidades</t>
  </si>
  <si>
    <t>https://marche.com.br/collections/mercearia/products/cappuccino-3-coracoes-light-soluvel-sache-com-10-unidades?store_id=66677604431</t>
  </si>
  <si>
    <t>https://cdn.shopify.com/s/files/1/0587/8487/4575/files/6285d261-5310-4957-b5c4-42202af74e6c_cce8f875-8cd4-4a0c-8b7e-817a909c54b6.jpg?v=1757024860</t>
  </si>
  <si>
    <t>20058225</t>
  </si>
  <si>
    <t>Kit Cáspsula de Café STARBUCK 4 Unidades Com Uma Caneca Grátis</t>
  </si>
  <si>
    <t>4</t>
  </si>
  <si>
    <t>https://marche.com.br/collections/mercearia/products/kit-caspsula-de-cafe-starbuck-4-unidades-com-uma-caneca-gratis?store_id=66677604431</t>
  </si>
  <si>
    <t>https://cdn.shopify.com/s/files/1/0587/8487/4575/files/bf7da673-3125-479d-9207-a95d266a4460_c9251c22-a0a1-46af-89f6-998f23987a0a.png?v=1757033277</t>
  </si>
  <si>
    <t>20064651</t>
  </si>
  <si>
    <t>Cápsula Dolce Gusto Latte Mach Com 10 Unidades 112,5g</t>
  </si>
  <si>
    <t>https://marche.com.br/collections/mercearia/products/capsula-dolce-gusto-latte-mach-com-10-unidades-112-5g?store_id=66677604431</t>
  </si>
  <si>
    <t>https://cdn.shopify.com/s/files/1/0587/8487/4575/files/c9945c3e-68ab-4de2-9c09-3113213e92c8.jpg?v=1757033338</t>
  </si>
  <si>
    <t>20030915</t>
  </si>
  <si>
    <t>Café Espresso Grãos CAFÉ DO PONTO 1kg</t>
  </si>
  <si>
    <t>165.29</t>
  </si>
  <si>
    <t>https://marche.com.br/collections/mercearia/products/cafe-espresso-graos-cafe-do-ponto-1kg?store_id=66677604431</t>
  </si>
  <si>
    <t>https://cdn.shopify.com/s/files/1/0587/8487/4575/files/e479f0ab-8159-447c-8544-44cd18e5df10.jpg?v=1757023382</t>
  </si>
  <si>
    <t>20064643</t>
  </si>
  <si>
    <t>Cápsula Dolce Gusto Nescau Com 10 Unidades 170g</t>
  </si>
  <si>
    <t>https://marche.com.br/collections/mercearia/products/capsula-dolce-gusto-nescau-com-10-unidades-170g?store_id=66677604431</t>
  </si>
  <si>
    <t>https://cdn.shopify.com/s/files/1/0587/8487/4575/files/7eaaefb7-5a1b-494a-997e-77616afbc418_ae2fe60d-6a9b-41fa-acd5-a44080125674.jpg?v=1757023379</t>
  </si>
  <si>
    <t>20068059</t>
  </si>
  <si>
    <t>Café Solúvel Nescafé Tradição 40g</t>
  </si>
  <si>
    <t>10.09</t>
  </si>
  <si>
    <t>https://marche.com.br/collections/mercearia/products/cafe-soluvel-nescafe-tradicao-40g?store_id=66677604431</t>
  </si>
  <si>
    <t>https://cdn.shopify.com/s/files/1/0587/8487/4575/files/a94892c1-8bc9-437d-b5d5-17b10f8e81f5.jpg?v=1757031944</t>
  </si>
  <si>
    <t>20045354</t>
  </si>
  <si>
    <t>Café Com Leite 3 CORAÇÕES Solúvel em Pó Com Cálcio Lata 300g</t>
  </si>
  <si>
    <t>https://marche.com.br/collections/mercearia/products/cafe-com-leite-3-coracoes-soluvel-em-po-com-calcio-lata-300g?store_id=66677604431</t>
  </si>
  <si>
    <t>https://cdn.shopify.com/s/files/1/0587/8487/4575/files/25e49449-d69d-48b7-a225-9f5c9582300f.jpg?v=1757032305</t>
  </si>
  <si>
    <t>20064638</t>
  </si>
  <si>
    <t>Cápsula Dolce Gusto Cappuccino Com 10 Unidades 117g</t>
  </si>
  <si>
    <t>https://marche.com.br/collections/mercearia/products/capsula-dolce-gusto-cappuccino-com-10-unidades-117g?store_id=66677604431</t>
  </si>
  <si>
    <t>https://cdn.shopify.com/s/files/1/0587/8487/4575/files/586ba8ae-cf5c-4491-a623-56f1835885c9.jpg?v=1757026651</t>
  </si>
  <si>
    <t>20078167</t>
  </si>
  <si>
    <t>Cápsulas de Café Nescafé Africas Com 10 Unidades</t>
  </si>
  <si>
    <t>https://marche.com.br/collections/mercearia/products/capsulas-de-cafe-nescafe-africas-com-10-unidades?store_id=66677604431</t>
  </si>
  <si>
    <t>https://cdn.shopify.com/s/files/1/0587/8487/4575/files/20078167.png?v=1757021952</t>
  </si>
  <si>
    <t>20044256</t>
  </si>
  <si>
    <t>Café 3 CORAÇÕES Solúvel Liofilizado 100% Arábica Vidro 100g</t>
  </si>
  <si>
    <t>https://marche.com.br/collections/mercearia/products/cafe-3-coracoes-soluvel-liofilizado-100-arabica-vidro-100g?store_id=66677604431</t>
  </si>
  <si>
    <t>https://cdn.shopify.com/s/files/1/0587/8487/4575/files/20044256.png?v=1757032793</t>
  </si>
  <si>
    <t>20048094</t>
  </si>
  <si>
    <t>Cápsulas de Café Intenso FAZENDA PESSEGUEIRO Com 10 Cápsulas</t>
  </si>
  <si>
    <t>https://marche.com.br/collections/mercearia/products/capsulas-de-cafe-intenso-fazenda-pessegueiro-com-10-capsulas?store_id=66677604431</t>
  </si>
  <si>
    <t>https://cdn.shopify.com/s/files/1/0587/8487/4575/files/e5c8777e-7160-4283-ac53-d24d238e9e9c.jpg?v=1757026963</t>
  </si>
  <si>
    <t>20026000</t>
  </si>
  <si>
    <t>Café Pilão Torrado E Moído Tradicional Almofada 500g</t>
  </si>
  <si>
    <t>https://marche.com.br/collections/mercearia/products/cafe-pilao-torrado-e-moido-tradicional-almofada-500g?store_id=66677604431</t>
  </si>
  <si>
    <t>https://cdn.shopify.com/s/files/1/0587/8487/4575/files/6ad6ac49-c905-42f1-b4e6-6d9ade4130d3_72955985-cffc-4805-913d-73fdc91a6d93.jpg?v=1757023802</t>
  </si>
  <si>
    <t>20064640</t>
  </si>
  <si>
    <t>Cápsula Dolce Gusto Espresso Intenso Com 10 Unidades 80g</t>
  </si>
  <si>
    <t>https://marche.com.br/collections/mercearia/products/capsula-dolce-gusto-espresso-intenso-com-10-unidades-80g?store_id=66677604431</t>
  </si>
  <si>
    <t>https://cdn.shopify.com/s/files/1/0587/8487/4575/files/9e0cf89a-b791-4ce0-8eda-17674f063dca_4d44ef7a-3918-4eac-9aaa-d765ae185bd9.jpg?v=1757024145</t>
  </si>
  <si>
    <t>20002027</t>
  </si>
  <si>
    <t>Café a Vácuo Torrado e Moído Extra Forte CAFÉ DO PONTO 500g</t>
  </si>
  <si>
    <t>https://marche.com.br/collections/mercearia/products/cafe-a-vacuo-torrado-e-moido-extra-forte-cafe-do-ponto-500g?store_id=66677604431</t>
  </si>
  <si>
    <t>https://cdn.shopify.com/s/files/1/0587/8487/4575/files/4096ca46-a8f9-478a-9b1b-985c14e5209a_8400c5c2-5bb4-4eae-9cac-406ec2d306d8.png?v=1757023960</t>
  </si>
  <si>
    <t>20031046</t>
  </si>
  <si>
    <t>Café Descafeinado em Pó Torrado e Moído Vácuo 3 CORAÇÕES 250G</t>
  </si>
  <si>
    <t>https://marche.com.br/collections/mercearia/products/cafe-descafeinado-em-po-torrado-e-moido-vacuo-3-coracoes-250g?store_id=66677604431</t>
  </si>
  <si>
    <t>https://cdn.shopify.com/s/files/1/0587/8487/4575/files/4f2cdffb-dad0-414c-9302-e34ff56dd15d_4f1b41af-a13c-4dea-a53b-1ac4f7e49d60.jpg?v=1757033712</t>
  </si>
  <si>
    <t>20009237</t>
  </si>
  <si>
    <t>Café a Vácuo Torrado e Moído tipo Exportação CAFÉ DO PONTO 500g</t>
  </si>
  <si>
    <t>https://marche.com.br/collections/mercearia/products/cafe-a-vacuo-torrado-e-moido-tipo-exportacao-cafe-do-ponto-500g?store_id=66677604431</t>
  </si>
  <si>
    <t>https://cdn.shopify.com/s/files/1/0587/8487/4575/files/1812f370-5c38-45f6-8ccc-8ad4433a81c5.jpg?v=1757023482</t>
  </si>
  <si>
    <t>20029609</t>
  </si>
  <si>
    <t>Café Torrado e Moído Fazenda PESSEGUEIRO 250g</t>
  </si>
  <si>
    <t>https://marche.com.br/collections/mercearia/products/cafe-torrado-e-moido-fazenda-pessegueiro-250g?store_id=66677604431</t>
  </si>
  <si>
    <t>https://cdn.shopify.com/s/files/1/0587/8487/4575/files/a0da7b7c-9498-4d31-8b0f-a29ff7f6858c_dab76229-9496-49cc-ab1f-1aa7c13bb3ff.png?v=1757033383</t>
  </si>
  <si>
    <t>20026142</t>
  </si>
  <si>
    <t>Café Torrado e Moído Tradicional Vácuo 3 CORAÇÕES 500g</t>
  </si>
  <si>
    <t>https://marche.com.br/collections/mercearia/products/cafe-torrado-e-moido-tradicional-vacuo-3-coracoes-500g?store_id=66677604431</t>
  </si>
  <si>
    <t>https://cdn.shopify.com/s/files/1/0587/8487/4575/files/20026142_423e0e81-0bc4-4843-8a44-1a040ead09ac.png?v=1757033376</t>
  </si>
  <si>
    <t>20048914</t>
  </si>
  <si>
    <t>Café Gourment Torrado e Moído Mogiana Paulista 3 CORAÇÕES 250g</t>
  </si>
  <si>
    <t>https://marche.com.br/collections/mercearia/products/cafe-gourment-torrado-e-moido-mogiana-paulista-3-coracoes-250g?store_id=66677604431</t>
  </si>
  <si>
    <t>https://cdn.shopify.com/s/files/1/0587/8487/4575/files/20048914.png?v=1757023511</t>
  </si>
  <si>
    <t>20045351</t>
  </si>
  <si>
    <t>Café Solúvel Tradicional 3 CORAÇÕES 100g</t>
  </si>
  <si>
    <t>https://marche.com.br/collections/mercearia/products/cafe-soluvel-tradicional-3-coracoes-100g?store_id=66677604431</t>
  </si>
  <si>
    <t>https://cdn.shopify.com/s/files/1/0587/8487/4575/files/20045351_d3372f78-8829-47af-b735-24298522cc79.png?v=1757024784</t>
  </si>
  <si>
    <t>20067869</t>
  </si>
  <si>
    <t>Cápsulas Café Pilão Expresso 52g com 10 Unidades</t>
  </si>
  <si>
    <t>https://marche.com.br/collections/mercearia/products/capsulas-cafe-pilao-expresso-52g-com-10-unidades?store_id=66677604431</t>
  </si>
  <si>
    <t>https://cdn.shopify.com/s/files/1/0587/8487/4575/files/484313ae-5fcb-4ec6-ba82-e6f492de493b_b3fa82b8-bbe5-4246-8903-35d95bc0881b.jpg?v=1757023427</t>
  </si>
  <si>
    <t>20045282</t>
  </si>
  <si>
    <t>Café BAGGIO Aromas Caramelo Torrado e Moído 250g</t>
  </si>
  <si>
    <t>https://marche.com.br/collections/mercearia/products/cafe-baggio-aromas-caramelo-torrado-e-moido-250g?store_id=66677604431</t>
  </si>
  <si>
    <t>https://cdn.shopify.com/s/files/1/0587/8487/4575/files/dad3db42-374f-4cfd-ae86-0ee581d9485d_68b1b013-abcb-4e40-b767-8668c684bf11.png?v=1757024633</t>
  </si>
  <si>
    <t>20064644</t>
  </si>
  <si>
    <t>Cápsula Dolce Gusto Orgânico Com 10 Unidades 80g</t>
  </si>
  <si>
    <t>https://marche.com.br/collections/mercearia/products/capsula-dolce-gusto-organico-com-10-unidades-80g?store_id=66677604431</t>
  </si>
  <si>
    <t>https://cdn.shopify.com/s/files/1/0587/8487/4575/files/3c28fb6f-fc48-4ef1-81cc-745a54de4cfd.jpg?v=1757024329</t>
  </si>
  <si>
    <t>20029822</t>
  </si>
  <si>
    <t>Café Torrado e Moído Descafeinado PILÃO 250g</t>
  </si>
  <si>
    <t>https://marche.com.br/collections/mercearia/products/cafe-torrado-e-moido-descafeinado-pilao-250g?store_id=66677604431</t>
  </si>
  <si>
    <t>https://cdn.shopify.com/s/files/1/0587/8487/4575/files/6433e7e2-5a0b-410f-b679-0601f4656f3e.png?v=1757026295</t>
  </si>
  <si>
    <t>20050138</t>
  </si>
  <si>
    <t>Cápsula de Café BAGGIO Vanilla Com 10 Cápsulas 50g</t>
  </si>
  <si>
    <t>https://marche.com.br/collections/mercearia/products/capsula-de-cafe-baggio-vanilla-com-10-capsulas-50g?store_id=66677604431</t>
  </si>
  <si>
    <t>https://cdn.shopify.com/s/files/1/0587/8487/4575/files/2111203c-8bf5-484f-b2a9-ed91bd18651e_7c29eec0-6365-43ae-ba1f-87152d8b0319.png?v=1757033412</t>
  </si>
  <si>
    <t>20030822</t>
  </si>
  <si>
    <t>Cappuccino Pote Diet 3 CORAÇÕES 150g</t>
  </si>
  <si>
    <t>27.29</t>
  </si>
  <si>
    <t>https://marche.com.br/collections/mercearia/products/cappuccino-pote-diet-3-coracoes-150g?store_id=66677604431</t>
  </si>
  <si>
    <t>https://cdn.shopify.com/s/files/1/0587/8487/4575/files/20030822_bac284b0-7e23-4692-b2a4-9a0eb9da4b9e.png?v=1757026991</t>
  </si>
  <si>
    <t>20045283</t>
  </si>
  <si>
    <t>Café BAGGIO Aromas Chocolate Trufado Torrado e Moído 250g</t>
  </si>
  <si>
    <t>https://marche.com.br/collections/mercearia/products/cafe-baggio-aromas-chocolate-trufado-torrado-e-moido-250g?store_id=66677604431</t>
  </si>
  <si>
    <t>https://cdn.shopify.com/s/files/1/0587/8487/4575/files/92ce87f8-04f2-48a0-8d9a-3cd99a8fb044_11e88c37-f2bd-4d2f-8e5c-1154d287f112.png?v=1757032003</t>
  </si>
  <si>
    <t>20031292</t>
  </si>
  <si>
    <t>Cápsulas Café L'OR Sontuoso 10 Unidades</t>
  </si>
  <si>
    <t>https://marche.com.br/collections/mercearia/products/capsulas-cafe-lor-sontuoso-10-unidades?store_id=66677604431</t>
  </si>
  <si>
    <t>https://cdn.shopify.com/s/files/1/0587/8487/4575/files/0bea2129-b7f2-42cd-a839-6c949209fdc7.png?v=1757022129</t>
  </si>
  <si>
    <t>20052196</t>
  </si>
  <si>
    <t>https://marche.com.br/collections/mercearia/products/cafe-em-capsula-torrado-e-moido-classico-espresso-illy-caixa-57g-10-unidades?store_id=66677604431</t>
  </si>
  <si>
    <t>https://cdn.shopify.com/s/files/1/0587/8487/4575/files/20047635-8a35-429e-8ee5-78995318003c_31549a3d-14b3-49ad-97d9-ba8af22033dc.png?v=1757033661</t>
  </si>
  <si>
    <t>20075977</t>
  </si>
  <si>
    <t>Cápsulas de Café 3 Corações Especiais Peru Com 10 Unidades</t>
  </si>
  <si>
    <t>https://marche.com.br/collections/mercearia/products/capsulas-de-cafe-3-coracoes-especiais-peru-com-10-unidades?store_id=66677604431</t>
  </si>
  <si>
    <t>https://cdn.shopify.com/s/files/1/0587/8487/4575/files/cdbe5051-71c2-4aa1-af6d-8af2b074fa69_64e06a97-8b9d-43f0-81a1-947c058ce677.png?v=1757031632</t>
  </si>
  <si>
    <t>20026089</t>
  </si>
  <si>
    <t>Café Torrado e Moído Extraforte MELITTA Caixa 500g</t>
  </si>
  <si>
    <t>https://marche.com.br/collections/mercearia/products/cafe-torrado-e-moido-extraforte-melitta-caixa-500g?store_id=66677604431</t>
  </si>
  <si>
    <t>https://cdn.shopify.com/s/files/1/0587/8487/4575/files/e9fb6fc8-e85b-4431-bd27-f6073679f461_8f0e05e3-0e6b-48b4-b021-1ecf17052f9e.png?v=1757024768</t>
  </si>
  <si>
    <t>20025999</t>
  </si>
  <si>
    <t>Café Extra Forte 3 CORAÇÕES 500g</t>
  </si>
  <si>
    <t>https://marche.com.br/collections/mercearia/products/cafe-extra-forte-3-coracoes-500g?store_id=66677604431</t>
  </si>
  <si>
    <t>https://cdn.shopify.com/s/files/1/0587/8487/4575/files/20025999_bc6361b8-1380-42da-9357-5d5526bb7588.png?v=1757033244</t>
  </si>
  <si>
    <t>20007800</t>
  </si>
  <si>
    <t>Cápsula de Café Aroma Caramelo BAGGIO Com 10 Cápsulas</t>
  </si>
  <si>
    <t>https://marche.com.br/collections/mercearia/products/capsula-de-cafe-aroma-caramelo-baggio-com-10-capsulas?store_id=66677604431</t>
  </si>
  <si>
    <t>https://cdn.shopify.com/s/files/1/0587/8487/4575/files/45eb0cf5-add5-4be6-bf98-f7e58ca9e13c.jpg?v=1757033777</t>
  </si>
  <si>
    <t>20031286</t>
  </si>
  <si>
    <t>Cápsulas Café L'OR Forza 10 Unidades</t>
  </si>
  <si>
    <t>https://marche.com.br/collections/mercearia/products/capsulas-cafe-lor-forza-10-unidades?store_id=66677604431</t>
  </si>
  <si>
    <t>https://cdn.shopify.com/s/files/1/0587/8487/4575/files/27c93948-9371-4078-91b7-1d4ec26005b4.png?v=1757021666</t>
  </si>
  <si>
    <t>20078087</t>
  </si>
  <si>
    <t>Cápsulas de Café Nescafé South Asia com 12 Unidades</t>
  </si>
  <si>
    <t>https://marche.com.br/collections/mercearia/products/capsulas-de-cafe-nescafe-south-asia-com-12-unidades?store_id=66677604431</t>
  </si>
  <si>
    <t>https://cdn.shopify.com/s/files/1/0587/8487/4575/files/20078087_734fc2a5-9649-492b-b33a-abfea654e9e5.png?v=1757033140</t>
  </si>
  <si>
    <t>20058797</t>
  </si>
  <si>
    <t>Cápsula de Café 3 CORAÇÕES Nespresso Intenso 50g</t>
  </si>
  <si>
    <t>https://marche.com.br/collections/mercearia/products/capsula-de-cafe-3-coracoes-nespresso-intenso-50g?store_id=66677604431</t>
  </si>
  <si>
    <t>https://cdn.shopify.com/s/files/1/0587/8487/4575/files/20058797_5c1735b9-4d18-42bf-92fd-bf435c51e3ef.png?v=1757021762</t>
  </si>
  <si>
    <t>20074007</t>
  </si>
  <si>
    <t>Cápsulas de Café Nescafé México 44g</t>
  </si>
  <si>
    <t>https://marche.com.br/collections/mercearia/products/capsulas-de-cafe-nescafe-mexico-44g?store_id=66677604431</t>
  </si>
  <si>
    <t>https://cdn.shopify.com/s/files/1/0587/8487/4575/files/740064ed-2dd8-47a4-82fa-d65a554b2c93_af384967-5979-4db0-bf77-de05ae161e6f.png?v=1757024754</t>
  </si>
  <si>
    <t>20068060</t>
  </si>
  <si>
    <t>Café Solúvel Nescafé Matinal Suave 40g</t>
  </si>
  <si>
    <t>https://marche.com.br/collections/mercearia/products/cafe-soluvel-nescafe-matinal-suave-40g?store_id=66677604431</t>
  </si>
  <si>
    <t>https://cdn.shopify.com/s/files/1/0587/8487/4575/files/fd76b609-c02f-4f35-91a6-6959b0ab8df8_cf545d40-5141-4124-974f-3a5a8b20c59c.jpg?v=1757033123</t>
  </si>
  <si>
    <t>(Multiple Items)</t>
  </si>
  <si>
    <t>TRUE</t>
  </si>
  <si>
    <t>Average of Média Preço Normal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</si>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</sst>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16]dd\-mmmm"/>
  </numFmts>
  <fonts count="4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2" numFmtId="0" xfId="0" applyFont="1"/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4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dados-style">
      <tableStyleElement dxfId="1" type="headerRow"/>
      <tableStyleElement dxfId="2" type="firstRowStripe"/>
      <tableStyleElement dxfId="3" type="secondRowStripe"/>
    </tableStyle>
    <tableStyle count="3" pivot="0" name="mambo-style">
      <tableStyleElement dxfId="1" type="headerRow"/>
      <tableStyleElement dxfId="2" type="firstRowStripe"/>
      <tableStyleElement dxfId="3" type="secondRowStripe"/>
    </tableStyle>
    <tableStyle count="3" pivot="0" name="march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48" displayName="Table_1" name="Table_1" id="1">
  <tableColumns count="19">
    <tableColumn name="Código" id="1"/>
    <tableColumn name="Descrição" id="2"/>
    <tableColumn name="Departamento" id="3"/>
    <tableColumn name="Categoria/Setor" id="4"/>
    <tableColumn name="Marca" id="5"/>
    <tableColumn name="Famlíia" id="6"/>
    <tableColumn name="Código do Fabricante" id="7"/>
    <tableColumn name="Código de Barras" id="8"/>
    <tableColumn name="SKU Monitorado" id="9"/>
    <tableColumn name="Website Monitorado" id="10"/>
    <tableColumn name="URL Produto Monitorado" id="11"/>
    <tableColumn name="Data" id="12"/>
    <tableColumn name="Média Preço Normal" id="13"/>
    <tableColumn name="Média Preço Oferta" id="14"/>
    <tableColumn name="Leituras" id="15"/>
    <tableColumn name="Leituras com disponibilidade" id="16"/>
    <tableColumn name="URL Monitor" id="17"/>
    <tableColumn name="Desvio Média Preço %" id="18"/>
    <tableColumn name="Marca Target" id="19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ref="A1:AL499" displayName="Table_2" name="Table_2" id="2">
  <tableColumns count="38">
    <tableColumn name="SKU" id="1"/>
    <tableColumn name="Titulo" id="2"/>
    <tableColumn name="Fabricante" id="3"/>
    <tableColumn name="Tipo Produto" id="4"/>
    <tableColumn name="Departamento" id="5"/>
    <tableColumn name="Categoria" id="6"/>
    <tableColumn name="Sub Categoria" id="7"/>
    <tableColumn name="GTIN" id="8"/>
    <tableColumn name="Modelo" id="9"/>
    <tableColumn name="Bytes" id="10"/>
    <tableColumn name="Litros" id="11"/>
    <tableColumn name="Tamanho" id="12"/>
    <tableColumn name="Qtde. Pacote" id="13"/>
    <tableColumn name="Cor" id="14"/>
    <tableColumn name="Peso" id="15"/>
    <tableColumn name="Genero" id="16"/>
    <tableColumn name="Volume" id="17"/>
    <tableColumn name="Voltagem" id="18"/>
    <tableColumn name="Disponibilidade" id="19"/>
    <tableColumn name="Preco" id="20"/>
    <tableColumn name="Preço Oferta" id="21"/>
    <tableColumn name="Vendedor" id="22"/>
    <tableColumn name="Descricao" id="23"/>
    <tableColumn name="Descricao_1" id="24"/>
    <tableColumn name="URL" id="25"/>
    <tableColumn name="URL Imagem" id="26"/>
    <tableColumn name="URL Imagem_2" id="27"/>
    <tableColumn name="Column1" id="28"/>
    <tableColumn name="_3" id="29"/>
    <tableColumn name="_4" id="30"/>
    <tableColumn name="_5" id="31"/>
    <tableColumn name="_6" id="32"/>
    <tableColumn name="_7" id="33"/>
    <tableColumn name="_8" id="34"/>
    <tableColumn name="_9" id="35"/>
    <tableColumn name="_10" id="36"/>
    <tableColumn name="_11" id="37"/>
    <tableColumn name="CLUSTER PAO" id="38"/>
  </tableColumns>
  <tableStyleInfo name="mambo-style" showColumnStripes="0" showFirstColumn="1" showLastColumn="1" showRowStripes="1"/>
</table>
</file>

<file path=xl/tables/table3.xml><?xml version="1.0" encoding="utf-8"?>
<table xmlns="http://schemas.openxmlformats.org/spreadsheetml/2006/main" ref="A1:AB367" displayName="Table_3" name="Table_3" id="3">
  <tableColumns count="28">
    <tableColumn name="SKU" id="1"/>
    <tableColumn name="Titulo" id="2"/>
    <tableColumn name="Fabricante" id="3"/>
    <tableColumn name="Tipo Produto" id="4"/>
    <tableColumn name="Departamento" id="5"/>
    <tableColumn name="Categoria" id="6"/>
    <tableColumn name="Sub Categoria" id="7"/>
    <tableColumn name="GTIN" id="8"/>
    <tableColumn name="Modelo" id="9"/>
    <tableColumn name="Bytes" id="10"/>
    <tableColumn name="Litros" id="11"/>
    <tableColumn name="Tamanho" id="12"/>
    <tableColumn name="Qtde. Pacote" id="13"/>
    <tableColumn name="Cor" id="14"/>
    <tableColumn name="Peso" id="15"/>
    <tableColumn name="Genero" id="16"/>
    <tableColumn name="Volume" id="17"/>
    <tableColumn name="Voltagem" id="18"/>
    <tableColumn name="Disponibilidade" id="19"/>
    <tableColumn name="Preco" id="20"/>
    <tableColumn name="Preço Oferta" id="21"/>
    <tableColumn name="Vendedor" id="22"/>
    <tableColumn name="Descricao" id="23"/>
    <tableColumn name="Descricao_1" id="24"/>
    <tableColumn name="URL" id="25"/>
    <tableColumn name="URL Imagem" id="26"/>
    <tableColumn name="URL Imagem_2" id="27"/>
    <tableColumn name="CLUSTER PAO" id="28"/>
  </tableColumns>
  <tableStyleInfo name="march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81.13"/>
    <col customWidth="1" min="3" max="3" width="16.38"/>
    <col customWidth="1" min="4" max="4" width="19.75"/>
    <col customWidth="1" min="5" max="5" width="21.38"/>
    <col customWidth="1" min="6" max="6" width="9.75"/>
    <col customWidth="1" min="7" max="7" width="22.63"/>
    <col customWidth="1" min="8" max="8" width="18.63"/>
    <col customWidth="1" min="9" max="9" width="17.75"/>
    <col customWidth="1" min="10" max="10" width="22.38"/>
    <col customWidth="1" min="11" max="11" width="81.13"/>
    <col customWidth="1" min="12" max="12" width="10.38"/>
    <col customWidth="1" min="13" max="13" width="21.63"/>
    <col customWidth="1" min="14" max="14" width="20.75"/>
    <col customWidth="1" min="15" max="15" width="10.63"/>
    <col customWidth="1" min="16" max="16" width="29.88"/>
    <col customWidth="1" min="17" max="17" width="69.75"/>
    <col customWidth="1" min="18" max="18" width="23.25"/>
    <col customWidth="1" min="19" max="19" width="14.63"/>
    <col customWidth="1" min="2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24</v>
      </c>
      <c r="H2" s="2" t="s">
        <v>25</v>
      </c>
      <c r="I2" s="2" t="s">
        <v>19</v>
      </c>
      <c r="J2" s="2" t="s">
        <v>26</v>
      </c>
      <c r="K2" s="2" t="s">
        <v>27</v>
      </c>
      <c r="L2" s="3">
        <v>46089.0</v>
      </c>
      <c r="M2" s="2">
        <v>27.49</v>
      </c>
      <c r="N2" s="2">
        <v>27.49</v>
      </c>
      <c r="O2" s="2">
        <v>22.0</v>
      </c>
      <c r="P2" s="2">
        <v>22.0</v>
      </c>
      <c r="Q2" s="2" t="s">
        <v>28</v>
      </c>
      <c r="R2" s="2">
        <v>28.4</v>
      </c>
      <c r="S2" s="2" t="b">
        <f>COUNTIF('Marcas Target'!A:A,dados!$E2)&gt;0</f>
        <v>0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24</v>
      </c>
      <c r="H3" s="2" t="s">
        <v>25</v>
      </c>
      <c r="I3" s="2" t="s">
        <v>19</v>
      </c>
      <c r="J3" s="2" t="s">
        <v>26</v>
      </c>
      <c r="K3" s="2" t="s">
        <v>27</v>
      </c>
      <c r="L3" s="3">
        <v>46088.0</v>
      </c>
      <c r="M3" s="2">
        <v>27.49</v>
      </c>
      <c r="N3" s="2">
        <v>27.49</v>
      </c>
      <c r="O3" s="2">
        <v>24.0</v>
      </c>
      <c r="P3" s="2">
        <v>24.0</v>
      </c>
      <c r="Q3" s="2" t="s">
        <v>28</v>
      </c>
      <c r="R3" s="2">
        <v>28.4</v>
      </c>
      <c r="S3" s="2" t="b">
        <f>COUNTIF('Marcas Target'!A:A,dados!$E3)&gt;0</f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24</v>
      </c>
      <c r="H4" s="2" t="s">
        <v>25</v>
      </c>
      <c r="I4" s="2" t="s">
        <v>19</v>
      </c>
      <c r="J4" s="2" t="s">
        <v>26</v>
      </c>
      <c r="K4" s="2" t="s">
        <v>27</v>
      </c>
      <c r="L4" s="3">
        <v>46087.0</v>
      </c>
      <c r="M4" s="2">
        <v>27.49</v>
      </c>
      <c r="N4" s="2">
        <v>27.49</v>
      </c>
      <c r="O4" s="2">
        <v>24.0</v>
      </c>
      <c r="P4" s="2">
        <v>17.0</v>
      </c>
      <c r="Q4" s="2" t="s">
        <v>28</v>
      </c>
      <c r="R4" s="2">
        <v>28.4</v>
      </c>
      <c r="S4" s="2" t="b">
        <f>COUNTIF('Marcas Target'!A:A,dados!$E4)&gt;0</f>
        <v>0</v>
      </c>
    </row>
    <row r="5">
      <c r="A5" s="2" t="s">
        <v>29</v>
      </c>
      <c r="B5" s="2" t="s">
        <v>30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24</v>
      </c>
      <c r="H5" s="2" t="s">
        <v>31</v>
      </c>
      <c r="I5" s="2" t="s">
        <v>29</v>
      </c>
      <c r="J5" s="2" t="s">
        <v>26</v>
      </c>
      <c r="K5" s="2" t="s">
        <v>32</v>
      </c>
      <c r="L5" s="3">
        <v>46089.0</v>
      </c>
      <c r="M5" s="2">
        <v>27.99</v>
      </c>
      <c r="N5" s="2">
        <v>27.99</v>
      </c>
      <c r="O5" s="2">
        <v>22.0</v>
      </c>
      <c r="P5" s="2">
        <v>22.0</v>
      </c>
      <c r="Q5" s="2" t="s">
        <v>33</v>
      </c>
      <c r="R5" s="2" t="s">
        <v>24</v>
      </c>
      <c r="S5" s="2" t="b">
        <f>COUNTIF('Marcas Target'!A:A,dados!$E5)&gt;0</f>
        <v>0</v>
      </c>
    </row>
    <row r="6">
      <c r="A6" s="2" t="s">
        <v>29</v>
      </c>
      <c r="B6" s="2" t="s">
        <v>30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24</v>
      </c>
      <c r="H6" s="2" t="s">
        <v>31</v>
      </c>
      <c r="I6" s="2" t="s">
        <v>29</v>
      </c>
      <c r="J6" s="2" t="s">
        <v>26</v>
      </c>
      <c r="K6" s="2" t="s">
        <v>32</v>
      </c>
      <c r="L6" s="3">
        <v>46088.0</v>
      </c>
      <c r="M6" s="2">
        <v>27.99</v>
      </c>
      <c r="N6" s="2">
        <v>27.99</v>
      </c>
      <c r="O6" s="2">
        <v>24.0</v>
      </c>
      <c r="P6" s="2">
        <v>23.0</v>
      </c>
      <c r="Q6" s="2" t="s">
        <v>33</v>
      </c>
      <c r="R6" s="2" t="s">
        <v>24</v>
      </c>
      <c r="S6" s="2" t="b">
        <f>COUNTIF('Marcas Target'!A:A,dados!$E6)&gt;0</f>
        <v>0</v>
      </c>
    </row>
    <row r="7">
      <c r="A7" s="2" t="s">
        <v>29</v>
      </c>
      <c r="B7" s="2" t="s">
        <v>30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31</v>
      </c>
      <c r="I7" s="2" t="s">
        <v>29</v>
      </c>
      <c r="J7" s="2" t="s">
        <v>26</v>
      </c>
      <c r="K7" s="2" t="s">
        <v>32</v>
      </c>
      <c r="L7" s="3">
        <v>46087.0</v>
      </c>
      <c r="M7" s="2">
        <v>27.99</v>
      </c>
      <c r="N7" s="2">
        <v>27.99</v>
      </c>
      <c r="O7" s="2">
        <v>24.0</v>
      </c>
      <c r="P7" s="2">
        <v>23.0</v>
      </c>
      <c r="Q7" s="2" t="s">
        <v>33</v>
      </c>
      <c r="R7" s="2" t="s">
        <v>24</v>
      </c>
      <c r="S7" s="2" t="b">
        <f>COUNTIF('Marcas Target'!A:A,dados!$E7)&gt;0</f>
        <v>0</v>
      </c>
    </row>
    <row r="8">
      <c r="A8" s="2" t="s">
        <v>34</v>
      </c>
      <c r="B8" s="2" t="s">
        <v>35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24</v>
      </c>
      <c r="H8" s="2" t="s">
        <v>36</v>
      </c>
      <c r="I8" s="2" t="s">
        <v>34</v>
      </c>
      <c r="J8" s="2" t="s">
        <v>26</v>
      </c>
      <c r="K8" s="2" t="s">
        <v>37</v>
      </c>
      <c r="L8" s="3">
        <v>46089.0</v>
      </c>
      <c r="M8" s="2">
        <v>27.99</v>
      </c>
      <c r="N8" s="2">
        <v>27.99</v>
      </c>
      <c r="O8" s="2">
        <v>22.0</v>
      </c>
      <c r="P8" s="2">
        <v>22.0</v>
      </c>
      <c r="Q8" s="2" t="s">
        <v>38</v>
      </c>
      <c r="R8" s="2" t="s">
        <v>24</v>
      </c>
      <c r="S8" s="2" t="b">
        <f>COUNTIF('Marcas Target'!A:A,dados!$E8)&gt;0</f>
        <v>0</v>
      </c>
    </row>
    <row r="9">
      <c r="A9" s="2" t="s">
        <v>34</v>
      </c>
      <c r="B9" s="2" t="s">
        <v>35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24</v>
      </c>
      <c r="H9" s="2" t="s">
        <v>36</v>
      </c>
      <c r="I9" s="2" t="s">
        <v>34</v>
      </c>
      <c r="J9" s="2" t="s">
        <v>26</v>
      </c>
      <c r="K9" s="2" t="s">
        <v>37</v>
      </c>
      <c r="L9" s="3">
        <v>46088.0</v>
      </c>
      <c r="M9" s="2">
        <v>27.99</v>
      </c>
      <c r="N9" s="2">
        <v>27.99</v>
      </c>
      <c r="O9" s="2">
        <v>24.0</v>
      </c>
      <c r="P9" s="2">
        <v>24.0</v>
      </c>
      <c r="Q9" s="2" t="s">
        <v>38</v>
      </c>
      <c r="R9" s="2" t="s">
        <v>24</v>
      </c>
      <c r="S9" s="2" t="b">
        <f>COUNTIF('Marcas Target'!A:A,dados!$E9)&gt;0</f>
        <v>0</v>
      </c>
    </row>
    <row r="10">
      <c r="A10" s="2" t="s">
        <v>34</v>
      </c>
      <c r="B10" s="2" t="s">
        <v>35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24</v>
      </c>
      <c r="H10" s="2" t="s">
        <v>36</v>
      </c>
      <c r="I10" s="2" t="s">
        <v>34</v>
      </c>
      <c r="J10" s="2" t="s">
        <v>26</v>
      </c>
      <c r="K10" s="2" t="s">
        <v>37</v>
      </c>
      <c r="L10" s="3">
        <v>46087.0</v>
      </c>
      <c r="M10" s="2">
        <v>29.9</v>
      </c>
      <c r="N10" s="2">
        <v>29.9</v>
      </c>
      <c r="O10" s="2">
        <v>24.0</v>
      </c>
      <c r="P10" s="2">
        <v>22.0</v>
      </c>
      <c r="Q10" s="2" t="s">
        <v>38</v>
      </c>
      <c r="R10" s="2" t="s">
        <v>24</v>
      </c>
      <c r="S10" s="2" t="b">
        <f>COUNTIF('Marcas Target'!A:A,dados!$E10)&gt;0</f>
        <v>0</v>
      </c>
    </row>
    <row r="11">
      <c r="A11" s="2" t="s">
        <v>39</v>
      </c>
      <c r="B11" s="2" t="s">
        <v>40</v>
      </c>
      <c r="C11" s="2" t="s">
        <v>21</v>
      </c>
      <c r="D11" s="2" t="s">
        <v>22</v>
      </c>
      <c r="E11" s="2" t="s">
        <v>23</v>
      </c>
      <c r="F11" s="2" t="s">
        <v>24</v>
      </c>
      <c r="G11" s="2" t="s">
        <v>24</v>
      </c>
      <c r="H11" s="2" t="s">
        <v>41</v>
      </c>
      <c r="I11" s="2" t="s">
        <v>39</v>
      </c>
      <c r="J11" s="2" t="s">
        <v>26</v>
      </c>
      <c r="K11" s="2" t="s">
        <v>42</v>
      </c>
      <c r="L11" s="3">
        <v>46089.0</v>
      </c>
      <c r="M11" s="2">
        <v>27.99</v>
      </c>
      <c r="N11" s="2">
        <v>27.99</v>
      </c>
      <c r="O11" s="2">
        <v>22.0</v>
      </c>
      <c r="P11" s="2">
        <v>12.0</v>
      </c>
      <c r="Q11" s="2" t="s">
        <v>43</v>
      </c>
      <c r="R11" s="2" t="s">
        <v>24</v>
      </c>
      <c r="S11" s="2" t="b">
        <f>COUNTIF('Marcas Target'!A:A,dados!$E11)&gt;0</f>
        <v>0</v>
      </c>
    </row>
    <row r="12">
      <c r="A12" s="2" t="s">
        <v>39</v>
      </c>
      <c r="B12" s="2" t="s">
        <v>40</v>
      </c>
      <c r="C12" s="2" t="s">
        <v>21</v>
      </c>
      <c r="D12" s="2" t="s">
        <v>22</v>
      </c>
      <c r="E12" s="2" t="s">
        <v>23</v>
      </c>
      <c r="F12" s="2" t="s">
        <v>24</v>
      </c>
      <c r="G12" s="2" t="s">
        <v>24</v>
      </c>
      <c r="H12" s="2" t="s">
        <v>41</v>
      </c>
      <c r="I12" s="2" t="s">
        <v>39</v>
      </c>
      <c r="J12" s="2" t="s">
        <v>26</v>
      </c>
      <c r="K12" s="2" t="s">
        <v>42</v>
      </c>
      <c r="L12" s="3">
        <v>46088.0</v>
      </c>
      <c r="M12" s="2">
        <v>27.99</v>
      </c>
      <c r="N12" s="2">
        <v>27.99</v>
      </c>
      <c r="O12" s="2">
        <v>24.0</v>
      </c>
      <c r="P12" s="2">
        <v>11.0</v>
      </c>
      <c r="Q12" s="2" t="s">
        <v>43</v>
      </c>
      <c r="R12" s="2" t="s">
        <v>24</v>
      </c>
      <c r="S12" s="2" t="b">
        <f>COUNTIF('Marcas Target'!A:A,dados!$E12)&gt;0</f>
        <v>0</v>
      </c>
    </row>
    <row r="13">
      <c r="A13" s="2" t="s">
        <v>39</v>
      </c>
      <c r="B13" s="2" t="s">
        <v>40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24</v>
      </c>
      <c r="H13" s="2" t="s">
        <v>41</v>
      </c>
      <c r="I13" s="2" t="s">
        <v>39</v>
      </c>
      <c r="J13" s="2" t="s">
        <v>26</v>
      </c>
      <c r="K13" s="2" t="s">
        <v>42</v>
      </c>
      <c r="L13" s="3">
        <v>46087.0</v>
      </c>
      <c r="M13" s="2">
        <v>31.67</v>
      </c>
      <c r="N13" s="2">
        <v>31.67</v>
      </c>
      <c r="O13" s="2">
        <v>24.0</v>
      </c>
      <c r="P13" s="2">
        <v>19.0</v>
      </c>
      <c r="Q13" s="2" t="s">
        <v>43</v>
      </c>
      <c r="R13" s="2" t="s">
        <v>24</v>
      </c>
      <c r="S13" s="2" t="b">
        <f>COUNTIF('Marcas Target'!A:A,dados!$E13)&gt;0</f>
        <v>0</v>
      </c>
    </row>
    <row r="14">
      <c r="A14" s="2" t="s">
        <v>44</v>
      </c>
      <c r="B14" s="2" t="s">
        <v>45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24</v>
      </c>
      <c r="H14" s="2" t="s">
        <v>46</v>
      </c>
      <c r="I14" s="2" t="s">
        <v>44</v>
      </c>
      <c r="J14" s="2" t="s">
        <v>26</v>
      </c>
      <c r="K14" s="2" t="s">
        <v>47</v>
      </c>
      <c r="L14" s="3">
        <v>46089.0</v>
      </c>
      <c r="M14" s="2">
        <v>27.49</v>
      </c>
      <c r="N14" s="2">
        <v>27.49</v>
      </c>
      <c r="O14" s="2">
        <v>22.0</v>
      </c>
      <c r="P14" s="2">
        <v>22.0</v>
      </c>
      <c r="Q14" s="2" t="s">
        <v>48</v>
      </c>
      <c r="R14" s="2">
        <v>28.4</v>
      </c>
      <c r="S14" s="2" t="b">
        <f>COUNTIF('Marcas Target'!A:A,dados!$E14)&gt;0</f>
        <v>0</v>
      </c>
    </row>
    <row r="15">
      <c r="A15" s="2" t="s">
        <v>44</v>
      </c>
      <c r="B15" s="2" t="s">
        <v>45</v>
      </c>
      <c r="C15" s="2" t="s">
        <v>21</v>
      </c>
      <c r="D15" s="2" t="s">
        <v>22</v>
      </c>
      <c r="E15" s="2" t="s">
        <v>23</v>
      </c>
      <c r="F15" s="2" t="s">
        <v>24</v>
      </c>
      <c r="G15" s="2" t="s">
        <v>24</v>
      </c>
      <c r="H15" s="2" t="s">
        <v>46</v>
      </c>
      <c r="I15" s="2" t="s">
        <v>44</v>
      </c>
      <c r="J15" s="2" t="s">
        <v>26</v>
      </c>
      <c r="K15" s="2" t="s">
        <v>47</v>
      </c>
      <c r="L15" s="3">
        <v>46088.0</v>
      </c>
      <c r="M15" s="2">
        <v>27.49</v>
      </c>
      <c r="N15" s="2">
        <v>27.49</v>
      </c>
      <c r="O15" s="2">
        <v>24.0</v>
      </c>
      <c r="P15" s="2">
        <v>24.0</v>
      </c>
      <c r="Q15" s="2" t="s">
        <v>48</v>
      </c>
      <c r="R15" s="2">
        <v>28.4</v>
      </c>
      <c r="S15" s="2" t="b">
        <f>COUNTIF('Marcas Target'!A:A,dados!$E15)&gt;0</f>
        <v>0</v>
      </c>
    </row>
    <row r="16">
      <c r="A16" s="2" t="s">
        <v>44</v>
      </c>
      <c r="B16" s="2" t="s">
        <v>45</v>
      </c>
      <c r="C16" s="2" t="s">
        <v>21</v>
      </c>
      <c r="D16" s="2" t="s">
        <v>22</v>
      </c>
      <c r="E16" s="2" t="s">
        <v>23</v>
      </c>
      <c r="F16" s="2" t="s">
        <v>24</v>
      </c>
      <c r="G16" s="2" t="s">
        <v>24</v>
      </c>
      <c r="H16" s="2" t="s">
        <v>46</v>
      </c>
      <c r="I16" s="2" t="s">
        <v>44</v>
      </c>
      <c r="J16" s="2" t="s">
        <v>26</v>
      </c>
      <c r="K16" s="2" t="s">
        <v>47</v>
      </c>
      <c r="L16" s="3">
        <v>46087.0</v>
      </c>
      <c r="M16" s="2">
        <v>28.44</v>
      </c>
      <c r="N16" s="2">
        <v>28.44</v>
      </c>
      <c r="O16" s="2">
        <v>24.0</v>
      </c>
      <c r="P16" s="2">
        <v>20.0</v>
      </c>
      <c r="Q16" s="2" t="s">
        <v>48</v>
      </c>
      <c r="R16" s="2">
        <v>32.84</v>
      </c>
      <c r="S16" s="2" t="b">
        <f>COUNTIF('Marcas Target'!A:A,dados!$E16)&gt;0</f>
        <v>0</v>
      </c>
    </row>
    <row r="17">
      <c r="A17" s="2" t="s">
        <v>49</v>
      </c>
      <c r="B17" s="2" t="s">
        <v>50</v>
      </c>
      <c r="C17" s="2" t="s">
        <v>21</v>
      </c>
      <c r="D17" s="2" t="s">
        <v>22</v>
      </c>
      <c r="E17" s="2" t="s">
        <v>23</v>
      </c>
      <c r="F17" s="2" t="s">
        <v>24</v>
      </c>
      <c r="G17" s="2" t="s">
        <v>24</v>
      </c>
      <c r="H17" s="2" t="s">
        <v>51</v>
      </c>
      <c r="I17" s="2" t="s">
        <v>49</v>
      </c>
      <c r="J17" s="2" t="s">
        <v>26</v>
      </c>
      <c r="K17" s="2" t="s">
        <v>52</v>
      </c>
      <c r="L17" s="3">
        <v>46089.0</v>
      </c>
      <c r="M17" s="2">
        <v>27.19</v>
      </c>
      <c r="N17" s="2">
        <v>27.19</v>
      </c>
      <c r="O17" s="2">
        <v>22.0</v>
      </c>
      <c r="P17" s="2">
        <v>22.0</v>
      </c>
      <c r="Q17" s="2" t="s">
        <v>53</v>
      </c>
      <c r="R17" s="2" t="s">
        <v>24</v>
      </c>
      <c r="S17" s="2" t="b">
        <f>COUNTIF('Marcas Target'!A:A,dados!$E17)&gt;0</f>
        <v>0</v>
      </c>
    </row>
    <row r="18">
      <c r="A18" s="2" t="s">
        <v>49</v>
      </c>
      <c r="B18" s="2" t="s">
        <v>50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24</v>
      </c>
      <c r="H18" s="2" t="s">
        <v>51</v>
      </c>
      <c r="I18" s="2" t="s">
        <v>49</v>
      </c>
      <c r="J18" s="2" t="s">
        <v>26</v>
      </c>
      <c r="K18" s="2" t="s">
        <v>52</v>
      </c>
      <c r="L18" s="3">
        <v>46088.0</v>
      </c>
      <c r="M18" s="2">
        <v>31.62</v>
      </c>
      <c r="N18" s="2">
        <v>31.62</v>
      </c>
      <c r="O18" s="2">
        <v>24.0</v>
      </c>
      <c r="P18" s="2">
        <v>23.0</v>
      </c>
      <c r="Q18" s="2" t="s">
        <v>53</v>
      </c>
      <c r="R18" s="2" t="s">
        <v>24</v>
      </c>
      <c r="S18" s="2" t="b">
        <f>COUNTIF('Marcas Target'!A:A,dados!$E18)&gt;0</f>
        <v>0</v>
      </c>
    </row>
    <row r="19">
      <c r="A19" s="2" t="s">
        <v>49</v>
      </c>
      <c r="B19" s="2" t="s">
        <v>50</v>
      </c>
      <c r="C19" s="2" t="s">
        <v>21</v>
      </c>
      <c r="D19" s="2" t="s">
        <v>22</v>
      </c>
      <c r="E19" s="2" t="s">
        <v>23</v>
      </c>
      <c r="F19" s="2" t="s">
        <v>24</v>
      </c>
      <c r="G19" s="2" t="s">
        <v>24</v>
      </c>
      <c r="H19" s="2" t="s">
        <v>51</v>
      </c>
      <c r="I19" s="2" t="s">
        <v>49</v>
      </c>
      <c r="J19" s="2" t="s">
        <v>26</v>
      </c>
      <c r="K19" s="2" t="s">
        <v>52</v>
      </c>
      <c r="L19" s="3">
        <v>46087.0</v>
      </c>
      <c r="M19" s="2">
        <v>30.31</v>
      </c>
      <c r="N19" s="2">
        <v>30.31</v>
      </c>
      <c r="O19" s="2">
        <v>24.0</v>
      </c>
      <c r="P19" s="2">
        <v>24.0</v>
      </c>
      <c r="Q19" s="2" t="s">
        <v>53</v>
      </c>
      <c r="R19" s="2" t="s">
        <v>24</v>
      </c>
      <c r="S19" s="2" t="b">
        <f>COUNTIF('Marcas Target'!A:A,dados!$E19)&gt;0</f>
        <v>0</v>
      </c>
    </row>
    <row r="20">
      <c r="A20" s="2" t="s">
        <v>54</v>
      </c>
      <c r="B20" s="2" t="s">
        <v>55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24</v>
      </c>
      <c r="H20" s="2" t="s">
        <v>56</v>
      </c>
      <c r="I20" s="2" t="s">
        <v>54</v>
      </c>
      <c r="J20" s="2" t="s">
        <v>26</v>
      </c>
      <c r="K20" s="2" t="s">
        <v>57</v>
      </c>
      <c r="L20" s="3">
        <v>46089.0</v>
      </c>
      <c r="M20" s="2">
        <v>27.19</v>
      </c>
      <c r="N20" s="2">
        <v>27.19</v>
      </c>
      <c r="O20" s="2">
        <v>22.0</v>
      </c>
      <c r="P20" s="2">
        <v>22.0</v>
      </c>
      <c r="Q20" s="2" t="s">
        <v>58</v>
      </c>
      <c r="R20" s="2" t="s">
        <v>24</v>
      </c>
      <c r="S20" s="2" t="b">
        <f>COUNTIF('Marcas Target'!A:A,dados!$E20)&gt;0</f>
        <v>0</v>
      </c>
    </row>
    <row r="21" ht="15.75" customHeight="1">
      <c r="A21" s="2" t="s">
        <v>54</v>
      </c>
      <c r="B21" s="2" t="s">
        <v>55</v>
      </c>
      <c r="C21" s="2" t="s">
        <v>21</v>
      </c>
      <c r="D21" s="2" t="s">
        <v>22</v>
      </c>
      <c r="E21" s="2" t="s">
        <v>23</v>
      </c>
      <c r="F21" s="2" t="s">
        <v>24</v>
      </c>
      <c r="G21" s="2" t="s">
        <v>24</v>
      </c>
      <c r="H21" s="2" t="s">
        <v>56</v>
      </c>
      <c r="I21" s="2" t="s">
        <v>54</v>
      </c>
      <c r="J21" s="2" t="s">
        <v>26</v>
      </c>
      <c r="K21" s="2" t="s">
        <v>57</v>
      </c>
      <c r="L21" s="3">
        <v>46088.0</v>
      </c>
      <c r="M21" s="2">
        <v>31.16</v>
      </c>
      <c r="N21" s="2">
        <v>31.16</v>
      </c>
      <c r="O21" s="2">
        <v>24.0</v>
      </c>
      <c r="P21" s="2">
        <v>24.0</v>
      </c>
      <c r="Q21" s="2" t="s">
        <v>58</v>
      </c>
      <c r="R21" s="2" t="s">
        <v>24</v>
      </c>
      <c r="S21" s="2" t="b">
        <f>COUNTIF('Marcas Target'!A:A,dados!$E21)&gt;0</f>
        <v>0</v>
      </c>
    </row>
    <row r="22" ht="15.75" customHeight="1">
      <c r="A22" s="2" t="s">
        <v>54</v>
      </c>
      <c r="B22" s="2" t="s">
        <v>55</v>
      </c>
      <c r="C22" s="2" t="s">
        <v>21</v>
      </c>
      <c r="D22" s="2" t="s">
        <v>22</v>
      </c>
      <c r="E22" s="2" t="s">
        <v>23</v>
      </c>
      <c r="F22" s="2" t="s">
        <v>24</v>
      </c>
      <c r="G22" s="2" t="s">
        <v>24</v>
      </c>
      <c r="H22" s="2" t="s">
        <v>56</v>
      </c>
      <c r="I22" s="2" t="s">
        <v>54</v>
      </c>
      <c r="J22" s="2" t="s">
        <v>26</v>
      </c>
      <c r="K22" s="2" t="s">
        <v>57</v>
      </c>
      <c r="L22" s="3">
        <v>46087.0</v>
      </c>
      <c r="M22" s="2">
        <v>30.44</v>
      </c>
      <c r="N22" s="2">
        <v>30.44</v>
      </c>
      <c r="O22" s="2">
        <v>24.0</v>
      </c>
      <c r="P22" s="2">
        <v>23.0</v>
      </c>
      <c r="Q22" s="2" t="s">
        <v>58</v>
      </c>
      <c r="R22" s="2" t="s">
        <v>24</v>
      </c>
      <c r="S22" s="2" t="b">
        <f>COUNTIF('Marcas Target'!A:A,dados!$E22)&gt;0</f>
        <v>0</v>
      </c>
    </row>
    <row r="23" ht="15.75" customHeight="1">
      <c r="A23" s="2" t="s">
        <v>59</v>
      </c>
      <c r="B23" s="2" t="s">
        <v>60</v>
      </c>
      <c r="C23" s="2" t="s">
        <v>21</v>
      </c>
      <c r="D23" s="2" t="s">
        <v>22</v>
      </c>
      <c r="E23" s="2" t="s">
        <v>23</v>
      </c>
      <c r="F23" s="2" t="s">
        <v>24</v>
      </c>
      <c r="G23" s="2" t="s">
        <v>24</v>
      </c>
      <c r="H23" s="2" t="s">
        <v>61</v>
      </c>
      <c r="I23" s="2" t="s">
        <v>59</v>
      </c>
      <c r="J23" s="2" t="s">
        <v>26</v>
      </c>
      <c r="K23" s="2" t="s">
        <v>62</v>
      </c>
      <c r="L23" s="3">
        <v>46089.0</v>
      </c>
      <c r="M23" s="2">
        <v>38.99</v>
      </c>
      <c r="N23" s="2">
        <v>38.99</v>
      </c>
      <c r="O23" s="2">
        <v>22.0</v>
      </c>
      <c r="P23" s="2">
        <v>11.0</v>
      </c>
      <c r="Q23" s="2" t="s">
        <v>63</v>
      </c>
      <c r="R23" s="2" t="s">
        <v>24</v>
      </c>
      <c r="S23" s="2" t="b">
        <f>COUNTIF('Marcas Target'!A:A,dados!$E23)&gt;0</f>
        <v>0</v>
      </c>
    </row>
    <row r="24" ht="15.75" customHeight="1">
      <c r="A24" s="2" t="s">
        <v>59</v>
      </c>
      <c r="B24" s="2" t="s">
        <v>60</v>
      </c>
      <c r="C24" s="2" t="s">
        <v>21</v>
      </c>
      <c r="D24" s="2" t="s">
        <v>22</v>
      </c>
      <c r="E24" s="2" t="s">
        <v>23</v>
      </c>
      <c r="F24" s="2" t="s">
        <v>24</v>
      </c>
      <c r="G24" s="2" t="s">
        <v>24</v>
      </c>
      <c r="H24" s="2" t="s">
        <v>61</v>
      </c>
      <c r="I24" s="2" t="s">
        <v>59</v>
      </c>
      <c r="J24" s="2" t="s">
        <v>26</v>
      </c>
      <c r="K24" s="2" t="s">
        <v>62</v>
      </c>
      <c r="L24" s="3">
        <v>46088.0</v>
      </c>
      <c r="M24" s="2">
        <v>38.99</v>
      </c>
      <c r="N24" s="2">
        <v>38.99</v>
      </c>
      <c r="O24" s="2">
        <v>24.0</v>
      </c>
      <c r="P24" s="2">
        <v>15.0</v>
      </c>
      <c r="Q24" s="2" t="s">
        <v>63</v>
      </c>
      <c r="R24" s="2" t="s">
        <v>24</v>
      </c>
      <c r="S24" s="2" t="b">
        <f>COUNTIF('Marcas Target'!A:A,dados!$E24)&gt;0</f>
        <v>0</v>
      </c>
    </row>
    <row r="25" ht="15.75" customHeight="1">
      <c r="A25" s="2" t="s">
        <v>59</v>
      </c>
      <c r="B25" s="2" t="s">
        <v>60</v>
      </c>
      <c r="C25" s="2" t="s">
        <v>21</v>
      </c>
      <c r="D25" s="2" t="s">
        <v>22</v>
      </c>
      <c r="E25" s="2" t="s">
        <v>23</v>
      </c>
      <c r="F25" s="2" t="s">
        <v>24</v>
      </c>
      <c r="G25" s="2" t="s">
        <v>24</v>
      </c>
      <c r="H25" s="2" t="s">
        <v>61</v>
      </c>
      <c r="I25" s="2" t="s">
        <v>59</v>
      </c>
      <c r="J25" s="2" t="s">
        <v>26</v>
      </c>
      <c r="K25" s="2" t="s">
        <v>62</v>
      </c>
      <c r="L25" s="3">
        <v>46087.0</v>
      </c>
      <c r="M25" s="2">
        <v>38.99</v>
      </c>
      <c r="N25" s="2">
        <v>38.99</v>
      </c>
      <c r="O25" s="2">
        <v>24.0</v>
      </c>
      <c r="P25" s="2">
        <v>13.0</v>
      </c>
      <c r="Q25" s="2" t="s">
        <v>63</v>
      </c>
      <c r="R25" s="2" t="s">
        <v>24</v>
      </c>
      <c r="S25" s="2" t="b">
        <f>COUNTIF('Marcas Target'!A:A,dados!$E25)&gt;0</f>
        <v>0</v>
      </c>
    </row>
    <row r="26" ht="15.75" customHeight="1">
      <c r="A26" s="2" t="s">
        <v>64</v>
      </c>
      <c r="B26" s="2" t="s">
        <v>65</v>
      </c>
      <c r="C26" s="2" t="s">
        <v>21</v>
      </c>
      <c r="D26" s="2" t="s">
        <v>22</v>
      </c>
      <c r="E26" s="2" t="s">
        <v>23</v>
      </c>
      <c r="F26" s="2" t="s">
        <v>24</v>
      </c>
      <c r="G26" s="2" t="s">
        <v>24</v>
      </c>
      <c r="H26" s="2" t="s">
        <v>66</v>
      </c>
      <c r="I26" s="2" t="s">
        <v>64</v>
      </c>
      <c r="J26" s="2" t="s">
        <v>26</v>
      </c>
      <c r="K26" s="2" t="s">
        <v>67</v>
      </c>
      <c r="L26" s="3">
        <v>46089.0</v>
      </c>
      <c r="M26" s="2">
        <v>26.99</v>
      </c>
      <c r="N26" s="2">
        <v>26.99</v>
      </c>
      <c r="O26" s="2">
        <v>22.0</v>
      </c>
      <c r="P26" s="2">
        <v>11.0</v>
      </c>
      <c r="Q26" s="2" t="s">
        <v>68</v>
      </c>
      <c r="R26" s="2">
        <v>50.03</v>
      </c>
      <c r="S26" s="2" t="b">
        <f>COUNTIF('Marcas Target'!A:A,dados!$E26)&gt;0</f>
        <v>0</v>
      </c>
    </row>
    <row r="27" ht="15.75" customHeight="1">
      <c r="A27" s="2" t="s">
        <v>64</v>
      </c>
      <c r="B27" s="2" t="s">
        <v>65</v>
      </c>
      <c r="C27" s="2" t="s">
        <v>21</v>
      </c>
      <c r="D27" s="2" t="s">
        <v>22</v>
      </c>
      <c r="E27" s="2" t="s">
        <v>23</v>
      </c>
      <c r="F27" s="2" t="s">
        <v>24</v>
      </c>
      <c r="G27" s="2" t="s">
        <v>24</v>
      </c>
      <c r="H27" s="2" t="s">
        <v>66</v>
      </c>
      <c r="I27" s="2" t="s">
        <v>64</v>
      </c>
      <c r="J27" s="2" t="s">
        <v>26</v>
      </c>
      <c r="K27" s="2" t="s">
        <v>67</v>
      </c>
      <c r="L27" s="3">
        <v>46088.0</v>
      </c>
      <c r="M27" s="2">
        <v>26.99</v>
      </c>
      <c r="N27" s="2">
        <v>26.99</v>
      </c>
      <c r="O27" s="2">
        <v>24.0</v>
      </c>
      <c r="P27" s="2">
        <v>19.0</v>
      </c>
      <c r="Q27" s="2" t="s">
        <v>68</v>
      </c>
      <c r="R27" s="2">
        <v>50.03</v>
      </c>
      <c r="S27" s="2" t="b">
        <f>COUNTIF('Marcas Target'!A:A,dados!$E27)&gt;0</f>
        <v>0</v>
      </c>
    </row>
    <row r="28" ht="15.75" customHeight="1">
      <c r="A28" s="2" t="s">
        <v>64</v>
      </c>
      <c r="B28" s="2" t="s">
        <v>65</v>
      </c>
      <c r="C28" s="2" t="s">
        <v>21</v>
      </c>
      <c r="D28" s="2" t="s">
        <v>22</v>
      </c>
      <c r="E28" s="2" t="s">
        <v>23</v>
      </c>
      <c r="F28" s="2" t="s">
        <v>24</v>
      </c>
      <c r="G28" s="2" t="s">
        <v>24</v>
      </c>
      <c r="H28" s="2" t="s">
        <v>66</v>
      </c>
      <c r="I28" s="2" t="s">
        <v>64</v>
      </c>
      <c r="J28" s="2" t="s">
        <v>26</v>
      </c>
      <c r="K28" s="2" t="s">
        <v>67</v>
      </c>
      <c r="L28" s="3">
        <v>46087.0</v>
      </c>
      <c r="M28" s="2">
        <v>26.99</v>
      </c>
      <c r="N28" s="2">
        <v>26.99</v>
      </c>
      <c r="O28" s="2">
        <v>24.0</v>
      </c>
      <c r="P28" s="2">
        <v>9.0</v>
      </c>
      <c r="Q28" s="2" t="s">
        <v>68</v>
      </c>
      <c r="R28" s="2">
        <v>50.03</v>
      </c>
      <c r="S28" s="2" t="b">
        <f>COUNTIF('Marcas Target'!A:A,dados!$E28)&gt;0</f>
        <v>0</v>
      </c>
    </row>
    <row r="29" ht="15.75" customHeight="1">
      <c r="A29" s="2" t="s">
        <v>69</v>
      </c>
      <c r="B29" s="2" t="s">
        <v>70</v>
      </c>
      <c r="C29" s="2" t="s">
        <v>21</v>
      </c>
      <c r="D29" s="2" t="s">
        <v>22</v>
      </c>
      <c r="E29" s="2" t="s">
        <v>23</v>
      </c>
      <c r="F29" s="2" t="s">
        <v>24</v>
      </c>
      <c r="G29" s="2" t="s">
        <v>24</v>
      </c>
      <c r="H29" s="2" t="s">
        <v>71</v>
      </c>
      <c r="I29" s="2" t="s">
        <v>69</v>
      </c>
      <c r="J29" s="2" t="s">
        <v>26</v>
      </c>
      <c r="K29" s="2" t="s">
        <v>72</v>
      </c>
      <c r="L29" s="3">
        <v>46089.0</v>
      </c>
      <c r="M29" s="2">
        <v>26.99</v>
      </c>
      <c r="N29" s="2">
        <v>26.99</v>
      </c>
      <c r="O29" s="2">
        <v>22.0</v>
      </c>
      <c r="P29" s="2">
        <v>16.0</v>
      </c>
      <c r="Q29" s="2" t="s">
        <v>73</v>
      </c>
      <c r="R29" s="2">
        <v>50.03</v>
      </c>
      <c r="S29" s="2" t="b">
        <f>COUNTIF('Marcas Target'!A:A,dados!$E29)&gt;0</f>
        <v>0</v>
      </c>
    </row>
    <row r="30" ht="15.75" customHeight="1">
      <c r="A30" s="2" t="s">
        <v>69</v>
      </c>
      <c r="B30" s="2" t="s">
        <v>70</v>
      </c>
      <c r="C30" s="2" t="s">
        <v>21</v>
      </c>
      <c r="D30" s="2" t="s">
        <v>22</v>
      </c>
      <c r="E30" s="2" t="s">
        <v>23</v>
      </c>
      <c r="F30" s="2" t="s">
        <v>24</v>
      </c>
      <c r="G30" s="2" t="s">
        <v>24</v>
      </c>
      <c r="H30" s="2" t="s">
        <v>71</v>
      </c>
      <c r="I30" s="2" t="s">
        <v>69</v>
      </c>
      <c r="J30" s="2" t="s">
        <v>26</v>
      </c>
      <c r="K30" s="2" t="s">
        <v>72</v>
      </c>
      <c r="L30" s="3">
        <v>46088.0</v>
      </c>
      <c r="M30" s="2">
        <v>26.99</v>
      </c>
      <c r="N30" s="2">
        <v>26.99</v>
      </c>
      <c r="O30" s="2">
        <v>24.0</v>
      </c>
      <c r="P30" s="2">
        <v>18.0</v>
      </c>
      <c r="Q30" s="2" t="s">
        <v>73</v>
      </c>
      <c r="R30" s="2">
        <v>50.03</v>
      </c>
      <c r="S30" s="2" t="b">
        <f>COUNTIF('Marcas Target'!A:A,dados!$E30)&gt;0</f>
        <v>0</v>
      </c>
    </row>
    <row r="31" ht="15.75" customHeight="1">
      <c r="A31" s="2" t="s">
        <v>69</v>
      </c>
      <c r="B31" s="2" t="s">
        <v>70</v>
      </c>
      <c r="C31" s="2" t="s">
        <v>21</v>
      </c>
      <c r="D31" s="2" t="s">
        <v>22</v>
      </c>
      <c r="E31" s="2" t="s">
        <v>23</v>
      </c>
      <c r="F31" s="2" t="s">
        <v>24</v>
      </c>
      <c r="G31" s="2" t="s">
        <v>24</v>
      </c>
      <c r="H31" s="2" t="s">
        <v>71</v>
      </c>
      <c r="I31" s="2" t="s">
        <v>69</v>
      </c>
      <c r="J31" s="2" t="s">
        <v>26</v>
      </c>
      <c r="K31" s="2" t="s">
        <v>72</v>
      </c>
      <c r="L31" s="3">
        <v>46087.0</v>
      </c>
      <c r="M31" s="2">
        <v>23.96</v>
      </c>
      <c r="N31" s="2">
        <v>23.96</v>
      </c>
      <c r="O31" s="2">
        <v>24.0</v>
      </c>
      <c r="P31" s="2">
        <v>7.0</v>
      </c>
      <c r="Q31" s="2" t="s">
        <v>73</v>
      </c>
      <c r="R31" s="2">
        <v>33.19</v>
      </c>
      <c r="S31" s="2" t="b">
        <f>COUNTIF('Marcas Target'!A:A,dados!$E31)&gt;0</f>
        <v>0</v>
      </c>
    </row>
    <row r="32" ht="15.75" customHeight="1">
      <c r="A32" s="2" t="s">
        <v>74</v>
      </c>
      <c r="B32" s="2" t="s">
        <v>75</v>
      </c>
      <c r="C32" s="2" t="s">
        <v>21</v>
      </c>
      <c r="D32" s="2" t="s">
        <v>22</v>
      </c>
      <c r="E32" s="2" t="s">
        <v>23</v>
      </c>
      <c r="F32" s="2" t="s">
        <v>24</v>
      </c>
      <c r="G32" s="2" t="s">
        <v>24</v>
      </c>
      <c r="H32" s="2" t="s">
        <v>76</v>
      </c>
      <c r="I32" s="2" t="s">
        <v>74</v>
      </c>
      <c r="J32" s="2" t="s">
        <v>26</v>
      </c>
      <c r="K32" s="2" t="s">
        <v>77</v>
      </c>
      <c r="L32" s="3">
        <v>46089.0</v>
      </c>
      <c r="M32" s="2">
        <v>26.99</v>
      </c>
      <c r="N32" s="2">
        <v>26.99</v>
      </c>
      <c r="O32" s="2">
        <v>22.0</v>
      </c>
      <c r="P32" s="2">
        <v>22.0</v>
      </c>
      <c r="Q32" s="2" t="s">
        <v>78</v>
      </c>
      <c r="R32" s="2">
        <v>50.03</v>
      </c>
      <c r="S32" s="2" t="b">
        <f>COUNTIF('Marcas Target'!A:A,dados!$E32)&gt;0</f>
        <v>0</v>
      </c>
    </row>
    <row r="33" ht="15.75" customHeight="1">
      <c r="A33" s="2" t="s">
        <v>74</v>
      </c>
      <c r="B33" s="2" t="s">
        <v>75</v>
      </c>
      <c r="C33" s="2" t="s">
        <v>21</v>
      </c>
      <c r="D33" s="2" t="s">
        <v>22</v>
      </c>
      <c r="E33" s="2" t="s">
        <v>23</v>
      </c>
      <c r="F33" s="2" t="s">
        <v>24</v>
      </c>
      <c r="G33" s="2" t="s">
        <v>24</v>
      </c>
      <c r="H33" s="2" t="s">
        <v>76</v>
      </c>
      <c r="I33" s="2" t="s">
        <v>74</v>
      </c>
      <c r="J33" s="2" t="s">
        <v>26</v>
      </c>
      <c r="K33" s="2" t="s">
        <v>77</v>
      </c>
      <c r="L33" s="3">
        <v>46088.0</v>
      </c>
      <c r="M33" s="2">
        <v>26.99</v>
      </c>
      <c r="N33" s="2">
        <v>26.99</v>
      </c>
      <c r="O33" s="2">
        <v>24.0</v>
      </c>
      <c r="P33" s="2">
        <v>24.0</v>
      </c>
      <c r="Q33" s="2" t="s">
        <v>78</v>
      </c>
      <c r="R33" s="2">
        <v>50.03</v>
      </c>
      <c r="S33" s="2" t="b">
        <f>COUNTIF('Marcas Target'!A:A,dados!$E33)&gt;0</f>
        <v>0</v>
      </c>
    </row>
    <row r="34" ht="15.75" customHeight="1">
      <c r="A34" s="2" t="s">
        <v>74</v>
      </c>
      <c r="B34" s="2" t="s">
        <v>75</v>
      </c>
      <c r="C34" s="2" t="s">
        <v>21</v>
      </c>
      <c r="D34" s="2" t="s">
        <v>22</v>
      </c>
      <c r="E34" s="2" t="s">
        <v>23</v>
      </c>
      <c r="F34" s="2" t="s">
        <v>24</v>
      </c>
      <c r="G34" s="2" t="s">
        <v>24</v>
      </c>
      <c r="H34" s="2" t="s">
        <v>76</v>
      </c>
      <c r="I34" s="2" t="s">
        <v>74</v>
      </c>
      <c r="J34" s="2" t="s">
        <v>26</v>
      </c>
      <c r="K34" s="2" t="s">
        <v>77</v>
      </c>
      <c r="L34" s="3">
        <v>46087.0</v>
      </c>
      <c r="M34" s="2">
        <v>26.99</v>
      </c>
      <c r="N34" s="2">
        <v>26.99</v>
      </c>
      <c r="O34" s="2">
        <v>24.0</v>
      </c>
      <c r="P34" s="2">
        <v>24.0</v>
      </c>
      <c r="Q34" s="2" t="s">
        <v>78</v>
      </c>
      <c r="R34" s="2">
        <v>50.03</v>
      </c>
      <c r="S34" s="2" t="b">
        <f>COUNTIF('Marcas Target'!A:A,dados!$E34)&gt;0</f>
        <v>0</v>
      </c>
    </row>
    <row r="35" ht="15.75" customHeight="1">
      <c r="A35" s="2" t="s">
        <v>79</v>
      </c>
      <c r="B35" s="2" t="s">
        <v>80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24</v>
      </c>
      <c r="H35" s="2" t="s">
        <v>81</v>
      </c>
      <c r="I35" s="2" t="s">
        <v>79</v>
      </c>
      <c r="J35" s="2" t="s">
        <v>26</v>
      </c>
      <c r="K35" s="2" t="s">
        <v>82</v>
      </c>
      <c r="L35" s="3">
        <v>46089.0</v>
      </c>
      <c r="M35" s="2">
        <v>26.99</v>
      </c>
      <c r="N35" s="2">
        <v>26.99</v>
      </c>
      <c r="O35" s="2">
        <v>22.0</v>
      </c>
      <c r="P35" s="2">
        <v>12.0</v>
      </c>
      <c r="Q35" s="2" t="s">
        <v>83</v>
      </c>
      <c r="R35" s="2">
        <v>50.03</v>
      </c>
      <c r="S35" s="2" t="b">
        <f>COUNTIF('Marcas Target'!A:A,dados!$E35)&gt;0</f>
        <v>0</v>
      </c>
    </row>
    <row r="36" ht="15.75" customHeight="1">
      <c r="A36" s="2" t="s">
        <v>79</v>
      </c>
      <c r="B36" s="2" t="s">
        <v>80</v>
      </c>
      <c r="C36" s="2" t="s">
        <v>21</v>
      </c>
      <c r="D36" s="2" t="s">
        <v>22</v>
      </c>
      <c r="E36" s="2" t="s">
        <v>23</v>
      </c>
      <c r="F36" s="2" t="s">
        <v>24</v>
      </c>
      <c r="G36" s="2" t="s">
        <v>24</v>
      </c>
      <c r="H36" s="2" t="s">
        <v>81</v>
      </c>
      <c r="I36" s="2" t="s">
        <v>79</v>
      </c>
      <c r="J36" s="2" t="s">
        <v>26</v>
      </c>
      <c r="K36" s="2" t="s">
        <v>82</v>
      </c>
      <c r="L36" s="3">
        <v>46088.0</v>
      </c>
      <c r="M36" s="2">
        <v>26.99</v>
      </c>
      <c r="N36" s="2">
        <v>26.99</v>
      </c>
      <c r="O36" s="2">
        <v>24.0</v>
      </c>
      <c r="P36" s="2">
        <v>19.0</v>
      </c>
      <c r="Q36" s="2" t="s">
        <v>83</v>
      </c>
      <c r="R36" s="2">
        <v>50.03</v>
      </c>
      <c r="S36" s="2" t="b">
        <f>COUNTIF('Marcas Target'!A:A,dados!$E36)&gt;0</f>
        <v>0</v>
      </c>
    </row>
    <row r="37" ht="15.75" customHeight="1">
      <c r="A37" s="2" t="s">
        <v>79</v>
      </c>
      <c r="B37" s="2" t="s">
        <v>80</v>
      </c>
      <c r="C37" s="2" t="s">
        <v>21</v>
      </c>
      <c r="D37" s="2" t="s">
        <v>22</v>
      </c>
      <c r="E37" s="2" t="s">
        <v>23</v>
      </c>
      <c r="F37" s="2" t="s">
        <v>24</v>
      </c>
      <c r="G37" s="2" t="s">
        <v>24</v>
      </c>
      <c r="H37" s="2" t="s">
        <v>81</v>
      </c>
      <c r="I37" s="2" t="s">
        <v>79</v>
      </c>
      <c r="J37" s="2" t="s">
        <v>26</v>
      </c>
      <c r="K37" s="2" t="s">
        <v>82</v>
      </c>
      <c r="L37" s="3">
        <v>46087.0</v>
      </c>
      <c r="M37" s="2">
        <v>24.31</v>
      </c>
      <c r="N37" s="2">
        <v>24.31</v>
      </c>
      <c r="O37" s="2">
        <v>24.0</v>
      </c>
      <c r="P37" s="2">
        <v>5.0</v>
      </c>
      <c r="Q37" s="2" t="s">
        <v>83</v>
      </c>
      <c r="R37" s="2">
        <v>35.13</v>
      </c>
      <c r="S37" s="2" t="b">
        <f>COUNTIF('Marcas Target'!A:A,dados!$E37)&gt;0</f>
        <v>0</v>
      </c>
    </row>
    <row r="38" ht="15.75" customHeight="1">
      <c r="A38" s="2" t="s">
        <v>84</v>
      </c>
      <c r="B38" s="2" t="s">
        <v>85</v>
      </c>
      <c r="C38" s="2" t="s">
        <v>21</v>
      </c>
      <c r="D38" s="2" t="s">
        <v>22</v>
      </c>
      <c r="E38" s="2" t="s">
        <v>23</v>
      </c>
      <c r="F38" s="2" t="s">
        <v>24</v>
      </c>
      <c r="G38" s="2" t="s">
        <v>24</v>
      </c>
      <c r="H38" s="2" t="s">
        <v>86</v>
      </c>
      <c r="I38" s="2" t="s">
        <v>84</v>
      </c>
      <c r="J38" s="2" t="s">
        <v>26</v>
      </c>
      <c r="K38" s="2" t="s">
        <v>87</v>
      </c>
      <c r="L38" s="3">
        <v>46089.0</v>
      </c>
      <c r="M38" s="2">
        <v>38.99</v>
      </c>
      <c r="N38" s="2">
        <v>38.99</v>
      </c>
      <c r="O38" s="2">
        <v>22.0</v>
      </c>
      <c r="P38" s="2">
        <v>21.0</v>
      </c>
      <c r="Q38" s="2" t="s">
        <v>88</v>
      </c>
      <c r="R38" s="2">
        <v>94.37</v>
      </c>
      <c r="S38" s="2" t="b">
        <f>COUNTIF('Marcas Target'!A:A,dados!$E38)&gt;0</f>
        <v>0</v>
      </c>
    </row>
    <row r="39" ht="15.75" customHeight="1">
      <c r="A39" s="2" t="s">
        <v>84</v>
      </c>
      <c r="B39" s="2" t="s">
        <v>85</v>
      </c>
      <c r="C39" s="2" t="s">
        <v>21</v>
      </c>
      <c r="D39" s="2" t="s">
        <v>22</v>
      </c>
      <c r="E39" s="2" t="s">
        <v>23</v>
      </c>
      <c r="F39" s="2" t="s">
        <v>24</v>
      </c>
      <c r="G39" s="2" t="s">
        <v>24</v>
      </c>
      <c r="H39" s="2" t="s">
        <v>86</v>
      </c>
      <c r="I39" s="2" t="s">
        <v>84</v>
      </c>
      <c r="J39" s="2" t="s">
        <v>26</v>
      </c>
      <c r="K39" s="2" t="s">
        <v>87</v>
      </c>
      <c r="L39" s="3">
        <v>46088.0</v>
      </c>
      <c r="M39" s="2">
        <v>38.99</v>
      </c>
      <c r="N39" s="2">
        <v>38.99</v>
      </c>
      <c r="O39" s="2">
        <v>24.0</v>
      </c>
      <c r="P39" s="2">
        <v>24.0</v>
      </c>
      <c r="Q39" s="2" t="s">
        <v>88</v>
      </c>
      <c r="R39" s="2">
        <v>94.37</v>
      </c>
      <c r="S39" s="2" t="b">
        <f>COUNTIF('Marcas Target'!A:A,dados!$E39)&gt;0</f>
        <v>0</v>
      </c>
    </row>
    <row r="40" ht="15.75" customHeight="1">
      <c r="A40" s="2" t="s">
        <v>84</v>
      </c>
      <c r="B40" s="2" t="s">
        <v>85</v>
      </c>
      <c r="C40" s="2" t="s">
        <v>21</v>
      </c>
      <c r="D40" s="2" t="s">
        <v>22</v>
      </c>
      <c r="E40" s="2" t="s">
        <v>23</v>
      </c>
      <c r="F40" s="2" t="s">
        <v>24</v>
      </c>
      <c r="G40" s="2" t="s">
        <v>24</v>
      </c>
      <c r="H40" s="2" t="s">
        <v>86</v>
      </c>
      <c r="I40" s="2" t="s">
        <v>84</v>
      </c>
      <c r="J40" s="2" t="s">
        <v>26</v>
      </c>
      <c r="K40" s="2" t="s">
        <v>87</v>
      </c>
      <c r="L40" s="3">
        <v>46087.0</v>
      </c>
      <c r="M40" s="2">
        <v>38.99</v>
      </c>
      <c r="N40" s="2">
        <v>38.99</v>
      </c>
      <c r="O40" s="2">
        <v>24.0</v>
      </c>
      <c r="P40" s="2">
        <v>23.0</v>
      </c>
      <c r="Q40" s="2" t="s">
        <v>88</v>
      </c>
      <c r="R40" s="2">
        <v>94.37</v>
      </c>
      <c r="S40" s="2" t="b">
        <f>COUNTIF('Marcas Target'!A:A,dados!$E40)&gt;0</f>
        <v>0</v>
      </c>
    </row>
    <row r="41" ht="15.75" customHeight="1">
      <c r="A41" s="2" t="s">
        <v>89</v>
      </c>
      <c r="B41" s="2" t="s">
        <v>90</v>
      </c>
      <c r="C41" s="2" t="s">
        <v>21</v>
      </c>
      <c r="D41" s="2" t="s">
        <v>22</v>
      </c>
      <c r="E41" s="2" t="s">
        <v>23</v>
      </c>
      <c r="F41" s="2" t="s">
        <v>24</v>
      </c>
      <c r="G41" s="2" t="s">
        <v>24</v>
      </c>
      <c r="H41" s="2" t="s">
        <v>91</v>
      </c>
      <c r="I41" s="2" t="s">
        <v>89</v>
      </c>
      <c r="J41" s="2" t="s">
        <v>26</v>
      </c>
      <c r="K41" s="2" t="s">
        <v>92</v>
      </c>
      <c r="L41" s="3">
        <v>46089.0</v>
      </c>
      <c r="M41" s="2">
        <v>30.99</v>
      </c>
      <c r="N41" s="2">
        <v>30.99</v>
      </c>
      <c r="O41" s="2">
        <v>22.0</v>
      </c>
      <c r="P41" s="2">
        <v>22.0</v>
      </c>
      <c r="Q41" s="2" t="s">
        <v>93</v>
      </c>
      <c r="R41" s="2" t="s">
        <v>24</v>
      </c>
      <c r="S41" s="2" t="b">
        <f>COUNTIF('Marcas Target'!A:A,dados!$E41)&gt;0</f>
        <v>0</v>
      </c>
    </row>
    <row r="42" ht="15.75" customHeight="1">
      <c r="A42" s="2" t="s">
        <v>89</v>
      </c>
      <c r="B42" s="2" t="s">
        <v>90</v>
      </c>
      <c r="C42" s="2" t="s">
        <v>21</v>
      </c>
      <c r="D42" s="2" t="s">
        <v>22</v>
      </c>
      <c r="E42" s="2" t="s">
        <v>23</v>
      </c>
      <c r="F42" s="2" t="s">
        <v>24</v>
      </c>
      <c r="G42" s="2" t="s">
        <v>24</v>
      </c>
      <c r="H42" s="2" t="s">
        <v>91</v>
      </c>
      <c r="I42" s="2" t="s">
        <v>89</v>
      </c>
      <c r="J42" s="2" t="s">
        <v>26</v>
      </c>
      <c r="K42" s="2" t="s">
        <v>92</v>
      </c>
      <c r="L42" s="3">
        <v>46088.0</v>
      </c>
      <c r="M42" s="2">
        <v>30.99</v>
      </c>
      <c r="N42" s="2">
        <v>30.99</v>
      </c>
      <c r="O42" s="2">
        <v>24.0</v>
      </c>
      <c r="P42" s="2">
        <v>24.0</v>
      </c>
      <c r="Q42" s="2" t="s">
        <v>93</v>
      </c>
      <c r="R42" s="2" t="s">
        <v>24</v>
      </c>
      <c r="S42" s="2" t="b">
        <f>COUNTIF('Marcas Target'!A:A,dados!$E42)&gt;0</f>
        <v>0</v>
      </c>
    </row>
    <row r="43" ht="15.75" customHeight="1">
      <c r="A43" s="2" t="s">
        <v>89</v>
      </c>
      <c r="B43" s="2" t="s">
        <v>90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24</v>
      </c>
      <c r="H43" s="2" t="s">
        <v>91</v>
      </c>
      <c r="I43" s="2" t="s">
        <v>89</v>
      </c>
      <c r="J43" s="2" t="s">
        <v>26</v>
      </c>
      <c r="K43" s="2" t="s">
        <v>92</v>
      </c>
      <c r="L43" s="3">
        <v>46087.0</v>
      </c>
      <c r="M43" s="2">
        <v>30.99</v>
      </c>
      <c r="N43" s="2">
        <v>30.99</v>
      </c>
      <c r="O43" s="2">
        <v>24.0</v>
      </c>
      <c r="P43" s="2">
        <v>23.0</v>
      </c>
      <c r="Q43" s="2" t="s">
        <v>93</v>
      </c>
      <c r="R43" s="2" t="s">
        <v>24</v>
      </c>
      <c r="S43" s="2" t="b">
        <f>COUNTIF('Marcas Target'!A:A,dados!$E43)&gt;0</f>
        <v>0</v>
      </c>
    </row>
    <row r="44" ht="15.75" customHeight="1">
      <c r="A44" s="2" t="s">
        <v>94</v>
      </c>
      <c r="B44" s="2" t="s">
        <v>95</v>
      </c>
      <c r="C44" s="2" t="s">
        <v>21</v>
      </c>
      <c r="D44" s="2" t="s">
        <v>22</v>
      </c>
      <c r="E44" s="2" t="s">
        <v>23</v>
      </c>
      <c r="F44" s="2" t="s">
        <v>24</v>
      </c>
      <c r="G44" s="2" t="s">
        <v>24</v>
      </c>
      <c r="H44" s="2" t="s">
        <v>96</v>
      </c>
      <c r="I44" s="2" t="s">
        <v>94</v>
      </c>
      <c r="J44" s="2" t="s">
        <v>26</v>
      </c>
      <c r="K44" s="2" t="s">
        <v>97</v>
      </c>
      <c r="L44" s="3">
        <v>46089.0</v>
      </c>
      <c r="M44" s="2">
        <v>27.99</v>
      </c>
      <c r="N44" s="2">
        <v>27.99</v>
      </c>
      <c r="O44" s="2">
        <v>22.0</v>
      </c>
      <c r="P44" s="2">
        <v>22.0</v>
      </c>
      <c r="Q44" s="2" t="s">
        <v>98</v>
      </c>
      <c r="R44" s="2" t="s">
        <v>24</v>
      </c>
      <c r="S44" s="2" t="b">
        <f>COUNTIF('Marcas Target'!A:A,dados!$E44)&gt;0</f>
        <v>0</v>
      </c>
    </row>
    <row r="45" ht="15.75" customHeight="1">
      <c r="A45" s="2" t="s">
        <v>94</v>
      </c>
      <c r="B45" s="2" t="s">
        <v>95</v>
      </c>
      <c r="C45" s="2" t="s">
        <v>21</v>
      </c>
      <c r="D45" s="2" t="s">
        <v>22</v>
      </c>
      <c r="E45" s="2" t="s">
        <v>23</v>
      </c>
      <c r="F45" s="2" t="s">
        <v>24</v>
      </c>
      <c r="G45" s="2" t="s">
        <v>24</v>
      </c>
      <c r="H45" s="2" t="s">
        <v>96</v>
      </c>
      <c r="I45" s="2" t="s">
        <v>94</v>
      </c>
      <c r="J45" s="2" t="s">
        <v>26</v>
      </c>
      <c r="K45" s="2" t="s">
        <v>97</v>
      </c>
      <c r="L45" s="3">
        <v>46088.0</v>
      </c>
      <c r="M45" s="2">
        <v>27.99</v>
      </c>
      <c r="N45" s="2">
        <v>27.99</v>
      </c>
      <c r="O45" s="2">
        <v>24.0</v>
      </c>
      <c r="P45" s="2">
        <v>24.0</v>
      </c>
      <c r="Q45" s="2" t="s">
        <v>98</v>
      </c>
      <c r="R45" s="2" t="s">
        <v>24</v>
      </c>
      <c r="S45" s="2" t="b">
        <f>COUNTIF('Marcas Target'!A:A,dados!$E45)&gt;0</f>
        <v>0</v>
      </c>
    </row>
    <row r="46" ht="15.75" customHeight="1">
      <c r="A46" s="2" t="s">
        <v>94</v>
      </c>
      <c r="B46" s="2" t="s">
        <v>95</v>
      </c>
      <c r="C46" s="2" t="s">
        <v>21</v>
      </c>
      <c r="D46" s="2" t="s">
        <v>22</v>
      </c>
      <c r="E46" s="2" t="s">
        <v>23</v>
      </c>
      <c r="F46" s="2" t="s">
        <v>24</v>
      </c>
      <c r="G46" s="2" t="s">
        <v>24</v>
      </c>
      <c r="H46" s="2" t="s">
        <v>96</v>
      </c>
      <c r="I46" s="2" t="s">
        <v>94</v>
      </c>
      <c r="J46" s="2" t="s">
        <v>26</v>
      </c>
      <c r="K46" s="2" t="s">
        <v>97</v>
      </c>
      <c r="L46" s="3">
        <v>46087.0</v>
      </c>
      <c r="M46" s="2">
        <v>27.99</v>
      </c>
      <c r="N46" s="2">
        <v>27.99</v>
      </c>
      <c r="O46" s="2">
        <v>24.0</v>
      </c>
      <c r="P46" s="2">
        <v>23.0</v>
      </c>
      <c r="Q46" s="2" t="s">
        <v>98</v>
      </c>
      <c r="R46" s="2" t="s">
        <v>24</v>
      </c>
      <c r="S46" s="2" t="b">
        <f>COUNTIF('Marcas Target'!A:A,dados!$E46)&gt;0</f>
        <v>0</v>
      </c>
    </row>
    <row r="47" ht="15.75" customHeight="1">
      <c r="A47" s="2" t="s">
        <v>99</v>
      </c>
      <c r="B47" s="2" t="s">
        <v>100</v>
      </c>
      <c r="C47" s="2" t="s">
        <v>21</v>
      </c>
      <c r="D47" s="2" t="s">
        <v>22</v>
      </c>
      <c r="E47" s="2" t="s">
        <v>23</v>
      </c>
      <c r="F47" s="2" t="s">
        <v>24</v>
      </c>
      <c r="G47" s="2" t="s">
        <v>24</v>
      </c>
      <c r="H47" s="2" t="s">
        <v>101</v>
      </c>
      <c r="I47" s="2" t="s">
        <v>99</v>
      </c>
      <c r="J47" s="2" t="s">
        <v>26</v>
      </c>
      <c r="K47" s="2" t="s">
        <v>102</v>
      </c>
      <c r="L47" s="3">
        <v>46089.0</v>
      </c>
      <c r="M47" s="2">
        <v>27.19</v>
      </c>
      <c r="N47" s="2">
        <v>27.19</v>
      </c>
      <c r="O47" s="2">
        <v>22.0</v>
      </c>
      <c r="P47" s="2">
        <v>7.0</v>
      </c>
      <c r="Q47" s="2" t="s">
        <v>103</v>
      </c>
      <c r="R47" s="2" t="s">
        <v>24</v>
      </c>
      <c r="S47" s="2" t="b">
        <f>COUNTIF('Marcas Target'!A:A,dados!$E47)&gt;0</f>
        <v>0</v>
      </c>
    </row>
    <row r="48" ht="15.75" customHeight="1">
      <c r="A48" s="2" t="s">
        <v>99</v>
      </c>
      <c r="B48" s="2" t="s">
        <v>100</v>
      </c>
      <c r="C48" s="2" t="s">
        <v>21</v>
      </c>
      <c r="D48" s="2" t="s">
        <v>22</v>
      </c>
      <c r="E48" s="2" t="s">
        <v>23</v>
      </c>
      <c r="F48" s="2" t="s">
        <v>24</v>
      </c>
      <c r="G48" s="2" t="s">
        <v>24</v>
      </c>
      <c r="H48" s="2" t="s">
        <v>101</v>
      </c>
      <c r="I48" s="2" t="s">
        <v>99</v>
      </c>
      <c r="J48" s="2" t="s">
        <v>26</v>
      </c>
      <c r="K48" s="2" t="s">
        <v>102</v>
      </c>
      <c r="L48" s="3">
        <v>46088.0</v>
      </c>
      <c r="M48" s="2">
        <v>32.2</v>
      </c>
      <c r="N48" s="2">
        <v>32.2</v>
      </c>
      <c r="O48" s="2">
        <v>24.0</v>
      </c>
      <c r="P48" s="2">
        <v>19.0</v>
      </c>
      <c r="Q48" s="2" t="s">
        <v>103</v>
      </c>
      <c r="R48" s="2" t="s">
        <v>24</v>
      </c>
      <c r="S48" s="2" t="b">
        <f>COUNTIF('Marcas Target'!A:A,dados!$E48)&gt;0</f>
        <v>0</v>
      </c>
    </row>
    <row r="49" ht="15.75" customHeight="1">
      <c r="A49" s="2" t="s">
        <v>99</v>
      </c>
      <c r="B49" s="2" t="s">
        <v>100</v>
      </c>
      <c r="C49" s="2" t="s">
        <v>21</v>
      </c>
      <c r="D49" s="2" t="s">
        <v>22</v>
      </c>
      <c r="E49" s="2" t="s">
        <v>23</v>
      </c>
      <c r="F49" s="2" t="s">
        <v>24</v>
      </c>
      <c r="G49" s="2" t="s">
        <v>24</v>
      </c>
      <c r="H49" s="2" t="s">
        <v>101</v>
      </c>
      <c r="I49" s="2" t="s">
        <v>99</v>
      </c>
      <c r="J49" s="2" t="s">
        <v>26</v>
      </c>
      <c r="K49" s="2" t="s">
        <v>102</v>
      </c>
      <c r="L49" s="3">
        <v>46087.0</v>
      </c>
      <c r="M49" s="2">
        <v>30.75</v>
      </c>
      <c r="N49" s="2">
        <v>30.75</v>
      </c>
      <c r="O49" s="2">
        <v>24.0</v>
      </c>
      <c r="P49" s="2">
        <v>21.0</v>
      </c>
      <c r="Q49" s="2" t="s">
        <v>103</v>
      </c>
      <c r="R49" s="2" t="s">
        <v>24</v>
      </c>
      <c r="S49" s="2" t="b">
        <f>COUNTIF('Marcas Target'!A:A,dados!$E49)&gt;0</f>
        <v>0</v>
      </c>
    </row>
    <row r="50" ht="15.75" customHeight="1">
      <c r="A50" s="2" t="s">
        <v>104</v>
      </c>
      <c r="B50" s="2" t="s">
        <v>105</v>
      </c>
      <c r="C50" s="2" t="s">
        <v>21</v>
      </c>
      <c r="D50" s="2" t="s">
        <v>22</v>
      </c>
      <c r="E50" s="2" t="s">
        <v>106</v>
      </c>
      <c r="F50" s="2" t="s">
        <v>24</v>
      </c>
      <c r="G50" s="2" t="s">
        <v>24</v>
      </c>
      <c r="H50" s="2" t="s">
        <v>107</v>
      </c>
      <c r="I50" s="2" t="s">
        <v>104</v>
      </c>
      <c r="J50" s="2" t="s">
        <v>26</v>
      </c>
      <c r="K50" s="2" t="s">
        <v>108</v>
      </c>
      <c r="L50" s="3">
        <v>46089.0</v>
      </c>
      <c r="M50" s="2">
        <v>27.49</v>
      </c>
      <c r="N50" s="2">
        <v>27.49</v>
      </c>
      <c r="O50" s="2">
        <v>22.0</v>
      </c>
      <c r="P50" s="2">
        <v>21.0</v>
      </c>
      <c r="Q50" s="2" t="s">
        <v>109</v>
      </c>
      <c r="R50" s="2" t="s">
        <v>24</v>
      </c>
      <c r="S50" s="2" t="b">
        <f>COUNTIF('Marcas Target'!A:A,dados!$E50)&gt;0</f>
        <v>0</v>
      </c>
    </row>
    <row r="51" ht="15.75" customHeight="1">
      <c r="A51" s="2" t="s">
        <v>104</v>
      </c>
      <c r="B51" s="2" t="s">
        <v>105</v>
      </c>
      <c r="C51" s="2" t="s">
        <v>21</v>
      </c>
      <c r="D51" s="2" t="s">
        <v>22</v>
      </c>
      <c r="E51" s="2" t="s">
        <v>106</v>
      </c>
      <c r="F51" s="2" t="s">
        <v>24</v>
      </c>
      <c r="G51" s="2" t="s">
        <v>24</v>
      </c>
      <c r="H51" s="2" t="s">
        <v>107</v>
      </c>
      <c r="I51" s="2" t="s">
        <v>104</v>
      </c>
      <c r="J51" s="2" t="s">
        <v>26</v>
      </c>
      <c r="K51" s="2" t="s">
        <v>108</v>
      </c>
      <c r="L51" s="3">
        <v>46088.0</v>
      </c>
      <c r="M51" s="2">
        <v>27.49</v>
      </c>
      <c r="N51" s="2">
        <v>27.49</v>
      </c>
      <c r="O51" s="2">
        <v>24.0</v>
      </c>
      <c r="P51" s="2">
        <v>24.0</v>
      </c>
      <c r="Q51" s="2" t="s">
        <v>109</v>
      </c>
      <c r="R51" s="2" t="s">
        <v>24</v>
      </c>
      <c r="S51" s="2" t="b">
        <f>COUNTIF('Marcas Target'!A:A,dados!$E51)&gt;0</f>
        <v>0</v>
      </c>
    </row>
    <row r="52" ht="15.75" customHeight="1">
      <c r="A52" s="2" t="s">
        <v>104</v>
      </c>
      <c r="B52" s="2" t="s">
        <v>105</v>
      </c>
      <c r="C52" s="2" t="s">
        <v>21</v>
      </c>
      <c r="D52" s="2" t="s">
        <v>22</v>
      </c>
      <c r="E52" s="2" t="s">
        <v>106</v>
      </c>
      <c r="F52" s="2" t="s">
        <v>24</v>
      </c>
      <c r="G52" s="2" t="s">
        <v>24</v>
      </c>
      <c r="H52" s="2" t="s">
        <v>107</v>
      </c>
      <c r="I52" s="2" t="s">
        <v>104</v>
      </c>
      <c r="J52" s="2" t="s">
        <v>26</v>
      </c>
      <c r="K52" s="2" t="s">
        <v>108</v>
      </c>
      <c r="L52" s="3">
        <v>46087.0</v>
      </c>
      <c r="M52" s="2">
        <v>29.07</v>
      </c>
      <c r="N52" s="2">
        <v>29.07</v>
      </c>
      <c r="O52" s="2">
        <v>24.0</v>
      </c>
      <c r="P52" s="2">
        <v>24.0</v>
      </c>
      <c r="Q52" s="2" t="s">
        <v>109</v>
      </c>
      <c r="R52" s="2" t="s">
        <v>24</v>
      </c>
      <c r="S52" s="2" t="b">
        <f>COUNTIF('Marcas Target'!A:A,dados!$E52)&gt;0</f>
        <v>0</v>
      </c>
    </row>
    <row r="53" ht="15.75" customHeight="1">
      <c r="A53" s="2" t="s">
        <v>110</v>
      </c>
      <c r="B53" s="2" t="s">
        <v>111</v>
      </c>
      <c r="C53" s="2" t="s">
        <v>21</v>
      </c>
      <c r="D53" s="2" t="s">
        <v>22</v>
      </c>
      <c r="E53" s="2" t="s">
        <v>23</v>
      </c>
      <c r="F53" s="2" t="s">
        <v>24</v>
      </c>
      <c r="G53" s="2" t="s">
        <v>24</v>
      </c>
      <c r="H53" s="2" t="s">
        <v>112</v>
      </c>
      <c r="I53" s="2" t="s">
        <v>110</v>
      </c>
      <c r="J53" s="2" t="s">
        <v>26</v>
      </c>
      <c r="K53" s="2" t="s">
        <v>113</v>
      </c>
      <c r="L53" s="3">
        <v>46089.0</v>
      </c>
      <c r="M53" s="2">
        <v>27.99</v>
      </c>
      <c r="N53" s="2">
        <v>27.99</v>
      </c>
      <c r="O53" s="2">
        <v>22.0</v>
      </c>
      <c r="P53" s="2">
        <v>21.0</v>
      </c>
      <c r="Q53" s="2" t="s">
        <v>114</v>
      </c>
      <c r="R53" s="2" t="s">
        <v>24</v>
      </c>
      <c r="S53" s="2" t="b">
        <f>COUNTIF('Marcas Target'!A:A,dados!$E53)&gt;0</f>
        <v>0</v>
      </c>
    </row>
    <row r="54" ht="15.75" customHeight="1">
      <c r="A54" s="2" t="s">
        <v>110</v>
      </c>
      <c r="B54" s="2" t="s">
        <v>111</v>
      </c>
      <c r="C54" s="2" t="s">
        <v>21</v>
      </c>
      <c r="D54" s="2" t="s">
        <v>22</v>
      </c>
      <c r="E54" s="2" t="s">
        <v>23</v>
      </c>
      <c r="F54" s="2" t="s">
        <v>24</v>
      </c>
      <c r="G54" s="2" t="s">
        <v>24</v>
      </c>
      <c r="H54" s="2" t="s">
        <v>112</v>
      </c>
      <c r="I54" s="2" t="s">
        <v>110</v>
      </c>
      <c r="J54" s="2" t="s">
        <v>26</v>
      </c>
      <c r="K54" s="2" t="s">
        <v>113</v>
      </c>
      <c r="L54" s="3">
        <v>46088.0</v>
      </c>
      <c r="M54" s="2">
        <v>27.99</v>
      </c>
      <c r="N54" s="2">
        <v>27.99</v>
      </c>
      <c r="O54" s="2">
        <v>24.0</v>
      </c>
      <c r="P54" s="2">
        <v>23.0</v>
      </c>
      <c r="Q54" s="2" t="s">
        <v>114</v>
      </c>
      <c r="R54" s="2" t="s">
        <v>24</v>
      </c>
      <c r="S54" s="2" t="b">
        <f>COUNTIF('Marcas Target'!A:A,dados!$E54)&gt;0</f>
        <v>0</v>
      </c>
    </row>
    <row r="55" ht="15.75" customHeight="1">
      <c r="A55" s="2" t="s">
        <v>110</v>
      </c>
      <c r="B55" s="2" t="s">
        <v>111</v>
      </c>
      <c r="C55" s="2" t="s">
        <v>21</v>
      </c>
      <c r="D55" s="2" t="s">
        <v>22</v>
      </c>
      <c r="E55" s="2" t="s">
        <v>23</v>
      </c>
      <c r="F55" s="2" t="s">
        <v>24</v>
      </c>
      <c r="G55" s="2" t="s">
        <v>24</v>
      </c>
      <c r="H55" s="2" t="s">
        <v>112</v>
      </c>
      <c r="I55" s="2" t="s">
        <v>110</v>
      </c>
      <c r="J55" s="2" t="s">
        <v>26</v>
      </c>
      <c r="K55" s="2" t="s">
        <v>113</v>
      </c>
      <c r="L55" s="3">
        <v>46087.0</v>
      </c>
      <c r="M55" s="2">
        <v>31.17</v>
      </c>
      <c r="N55" s="2">
        <v>31.17</v>
      </c>
      <c r="O55" s="2">
        <v>24.0</v>
      </c>
      <c r="P55" s="2">
        <v>22.0</v>
      </c>
      <c r="Q55" s="2" t="s">
        <v>114</v>
      </c>
      <c r="R55" s="2" t="s">
        <v>24</v>
      </c>
      <c r="S55" s="2" t="b">
        <f>COUNTIF('Marcas Target'!A:A,dados!$E55)&gt;0</f>
        <v>0</v>
      </c>
    </row>
    <row r="56" ht="15.75" customHeight="1">
      <c r="A56" s="2" t="s">
        <v>115</v>
      </c>
      <c r="B56" s="2" t="s">
        <v>116</v>
      </c>
      <c r="C56" s="2" t="s">
        <v>24</v>
      </c>
      <c r="D56" s="2" t="s">
        <v>24</v>
      </c>
      <c r="E56" s="2" t="s">
        <v>117</v>
      </c>
      <c r="F56" s="2" t="s">
        <v>24</v>
      </c>
      <c r="G56" s="2" t="s">
        <v>24</v>
      </c>
      <c r="H56" s="2" t="s">
        <v>118</v>
      </c>
      <c r="I56" s="2" t="s">
        <v>115</v>
      </c>
      <c r="J56" s="2" t="s">
        <v>26</v>
      </c>
      <c r="K56" s="2" t="s">
        <v>119</v>
      </c>
      <c r="L56" s="3">
        <v>46089.0</v>
      </c>
      <c r="M56" s="2">
        <v>41.99</v>
      </c>
      <c r="N56" s="2">
        <v>41.99</v>
      </c>
      <c r="O56" s="2">
        <v>22.0</v>
      </c>
      <c r="P56" s="2">
        <v>22.0</v>
      </c>
      <c r="Q56" s="2" t="s">
        <v>120</v>
      </c>
      <c r="R56" s="2" t="s">
        <v>24</v>
      </c>
      <c r="S56" s="2" t="b">
        <f>COUNTIF('Marcas Target'!A:A,dados!$E56)&gt;0</f>
        <v>0</v>
      </c>
    </row>
    <row r="57" ht="15.75" customHeight="1">
      <c r="A57" s="2" t="s">
        <v>115</v>
      </c>
      <c r="B57" s="2" t="s">
        <v>116</v>
      </c>
      <c r="C57" s="2" t="s">
        <v>24</v>
      </c>
      <c r="D57" s="2" t="s">
        <v>24</v>
      </c>
      <c r="E57" s="2" t="s">
        <v>117</v>
      </c>
      <c r="F57" s="2" t="s">
        <v>24</v>
      </c>
      <c r="G57" s="2" t="s">
        <v>24</v>
      </c>
      <c r="H57" s="2" t="s">
        <v>118</v>
      </c>
      <c r="I57" s="2" t="s">
        <v>115</v>
      </c>
      <c r="J57" s="2" t="s">
        <v>26</v>
      </c>
      <c r="K57" s="2" t="s">
        <v>119</v>
      </c>
      <c r="L57" s="3">
        <v>46088.0</v>
      </c>
      <c r="M57" s="2">
        <v>41.99</v>
      </c>
      <c r="N57" s="2">
        <v>41.99</v>
      </c>
      <c r="O57" s="2">
        <v>24.0</v>
      </c>
      <c r="P57" s="2">
        <v>24.0</v>
      </c>
      <c r="Q57" s="2" t="s">
        <v>120</v>
      </c>
      <c r="R57" s="2" t="s">
        <v>24</v>
      </c>
      <c r="S57" s="2" t="b">
        <f>COUNTIF('Marcas Target'!A:A,dados!$E57)&gt;0</f>
        <v>0</v>
      </c>
    </row>
    <row r="58" ht="15.75" customHeight="1">
      <c r="A58" s="2" t="s">
        <v>115</v>
      </c>
      <c r="B58" s="2" t="s">
        <v>116</v>
      </c>
      <c r="C58" s="2" t="s">
        <v>24</v>
      </c>
      <c r="D58" s="2" t="s">
        <v>24</v>
      </c>
      <c r="E58" s="2" t="s">
        <v>117</v>
      </c>
      <c r="F58" s="2" t="s">
        <v>24</v>
      </c>
      <c r="G58" s="2" t="s">
        <v>24</v>
      </c>
      <c r="H58" s="2" t="s">
        <v>118</v>
      </c>
      <c r="I58" s="2" t="s">
        <v>115</v>
      </c>
      <c r="J58" s="2" t="s">
        <v>26</v>
      </c>
      <c r="K58" s="2" t="s">
        <v>119</v>
      </c>
      <c r="L58" s="3">
        <v>46087.0</v>
      </c>
      <c r="M58" s="2">
        <v>41.99</v>
      </c>
      <c r="N58" s="2">
        <v>41.99</v>
      </c>
      <c r="O58" s="2">
        <v>3.0</v>
      </c>
      <c r="P58" s="2">
        <v>2.0</v>
      </c>
      <c r="Q58" s="2" t="s">
        <v>120</v>
      </c>
      <c r="R58" s="2" t="s">
        <v>24</v>
      </c>
      <c r="S58" s="2" t="b">
        <f>COUNTIF('Marcas Target'!A:A,dados!$E58)&gt;0</f>
        <v>0</v>
      </c>
    </row>
    <row r="59" ht="15.75" customHeight="1">
      <c r="A59" s="2" t="s">
        <v>121</v>
      </c>
      <c r="B59" s="2" t="s">
        <v>122</v>
      </c>
      <c r="C59" s="2" t="s">
        <v>21</v>
      </c>
      <c r="D59" s="2" t="s">
        <v>22</v>
      </c>
      <c r="E59" s="2" t="s">
        <v>106</v>
      </c>
      <c r="F59" s="2" t="s">
        <v>24</v>
      </c>
      <c r="G59" s="2" t="s">
        <v>24</v>
      </c>
      <c r="H59" s="2" t="s">
        <v>123</v>
      </c>
      <c r="I59" s="2" t="s">
        <v>121</v>
      </c>
      <c r="J59" s="2" t="s">
        <v>26</v>
      </c>
      <c r="K59" s="2" t="s">
        <v>124</v>
      </c>
      <c r="L59" s="3">
        <v>46089.0</v>
      </c>
      <c r="M59" s="2">
        <v>24.99</v>
      </c>
      <c r="N59" s="2">
        <v>24.99</v>
      </c>
      <c r="O59" s="2">
        <v>22.0</v>
      </c>
      <c r="P59" s="2">
        <v>22.0</v>
      </c>
      <c r="Q59" s="2" t="s">
        <v>125</v>
      </c>
      <c r="R59" s="2" t="s">
        <v>24</v>
      </c>
      <c r="S59" s="2" t="b">
        <f>COUNTIF('Marcas Target'!A:A,dados!$E59)&gt;0</f>
        <v>0</v>
      </c>
    </row>
    <row r="60" ht="15.75" customHeight="1">
      <c r="A60" s="2" t="s">
        <v>121</v>
      </c>
      <c r="B60" s="2" t="s">
        <v>122</v>
      </c>
      <c r="C60" s="2" t="s">
        <v>21</v>
      </c>
      <c r="D60" s="2" t="s">
        <v>22</v>
      </c>
      <c r="E60" s="2" t="s">
        <v>106</v>
      </c>
      <c r="F60" s="2" t="s">
        <v>24</v>
      </c>
      <c r="G60" s="2" t="s">
        <v>24</v>
      </c>
      <c r="H60" s="2" t="s">
        <v>123</v>
      </c>
      <c r="I60" s="2" t="s">
        <v>121</v>
      </c>
      <c r="J60" s="2" t="s">
        <v>26</v>
      </c>
      <c r="K60" s="2" t="s">
        <v>124</v>
      </c>
      <c r="L60" s="3">
        <v>46088.0</v>
      </c>
      <c r="M60" s="2">
        <v>24.99</v>
      </c>
      <c r="N60" s="2">
        <v>24.99</v>
      </c>
      <c r="O60" s="2">
        <v>24.0</v>
      </c>
      <c r="P60" s="2">
        <v>24.0</v>
      </c>
      <c r="Q60" s="2" t="s">
        <v>125</v>
      </c>
      <c r="R60" s="2" t="s">
        <v>24</v>
      </c>
      <c r="S60" s="2" t="b">
        <f>COUNTIF('Marcas Target'!A:A,dados!$E60)&gt;0</f>
        <v>0</v>
      </c>
    </row>
    <row r="61" ht="15.75" customHeight="1">
      <c r="A61" s="2" t="s">
        <v>121</v>
      </c>
      <c r="B61" s="2" t="s">
        <v>122</v>
      </c>
      <c r="C61" s="2" t="s">
        <v>21</v>
      </c>
      <c r="D61" s="2" t="s">
        <v>22</v>
      </c>
      <c r="E61" s="2" t="s">
        <v>106</v>
      </c>
      <c r="F61" s="2" t="s">
        <v>24</v>
      </c>
      <c r="G61" s="2" t="s">
        <v>24</v>
      </c>
      <c r="H61" s="2" t="s">
        <v>123</v>
      </c>
      <c r="I61" s="2" t="s">
        <v>121</v>
      </c>
      <c r="J61" s="2" t="s">
        <v>26</v>
      </c>
      <c r="K61" s="2" t="s">
        <v>124</v>
      </c>
      <c r="L61" s="3">
        <v>46087.0</v>
      </c>
      <c r="M61" s="2">
        <v>24.99</v>
      </c>
      <c r="N61" s="2">
        <v>24.99</v>
      </c>
      <c r="O61" s="2">
        <v>3.0</v>
      </c>
      <c r="P61" s="2">
        <v>3.0</v>
      </c>
      <c r="Q61" s="2" t="s">
        <v>125</v>
      </c>
      <c r="R61" s="2" t="s">
        <v>24</v>
      </c>
      <c r="S61" s="2" t="b">
        <f>COUNTIF('Marcas Target'!A:A,dados!$E61)&gt;0</f>
        <v>0</v>
      </c>
    </row>
    <row r="62" ht="15.75" customHeight="1">
      <c r="A62" s="2" t="s">
        <v>126</v>
      </c>
      <c r="B62" s="2" t="s">
        <v>127</v>
      </c>
      <c r="C62" s="2" t="s">
        <v>21</v>
      </c>
      <c r="D62" s="2" t="s">
        <v>22</v>
      </c>
      <c r="E62" s="2" t="s">
        <v>128</v>
      </c>
      <c r="F62" s="2" t="s">
        <v>24</v>
      </c>
      <c r="G62" s="2" t="s">
        <v>24</v>
      </c>
      <c r="H62" s="2" t="s">
        <v>129</v>
      </c>
      <c r="I62" s="2" t="s">
        <v>126</v>
      </c>
      <c r="J62" s="2" t="s">
        <v>26</v>
      </c>
      <c r="K62" s="2" t="s">
        <v>130</v>
      </c>
      <c r="L62" s="3">
        <v>46089.0</v>
      </c>
      <c r="M62" s="2">
        <v>30.99</v>
      </c>
      <c r="N62" s="2">
        <v>30.99</v>
      </c>
      <c r="O62" s="2">
        <v>22.0</v>
      </c>
      <c r="P62" s="2">
        <v>21.0</v>
      </c>
      <c r="Q62" s="2" t="s">
        <v>131</v>
      </c>
      <c r="R62" s="2" t="s">
        <v>24</v>
      </c>
      <c r="S62" s="2" t="b">
        <f>COUNTIF('Marcas Target'!A:A,dados!$E62)&gt;0</f>
        <v>1</v>
      </c>
    </row>
    <row r="63" ht="15.75" customHeight="1">
      <c r="A63" s="2" t="s">
        <v>126</v>
      </c>
      <c r="B63" s="2" t="s">
        <v>127</v>
      </c>
      <c r="C63" s="2" t="s">
        <v>21</v>
      </c>
      <c r="D63" s="2" t="s">
        <v>22</v>
      </c>
      <c r="E63" s="2" t="s">
        <v>128</v>
      </c>
      <c r="F63" s="2" t="s">
        <v>24</v>
      </c>
      <c r="G63" s="2" t="s">
        <v>24</v>
      </c>
      <c r="H63" s="2" t="s">
        <v>129</v>
      </c>
      <c r="I63" s="2" t="s">
        <v>126</v>
      </c>
      <c r="J63" s="2" t="s">
        <v>26</v>
      </c>
      <c r="K63" s="2" t="s">
        <v>130</v>
      </c>
      <c r="L63" s="3">
        <v>46088.0</v>
      </c>
      <c r="M63" s="2">
        <v>30.99</v>
      </c>
      <c r="N63" s="2">
        <v>30.99</v>
      </c>
      <c r="O63" s="2">
        <v>24.0</v>
      </c>
      <c r="P63" s="2">
        <v>16.0</v>
      </c>
      <c r="Q63" s="2" t="s">
        <v>131</v>
      </c>
      <c r="R63" s="2" t="s">
        <v>24</v>
      </c>
      <c r="S63" s="2" t="b">
        <f>COUNTIF('Marcas Target'!A:A,dados!$E63)&gt;0</f>
        <v>1</v>
      </c>
    </row>
    <row r="64" ht="15.75" customHeight="1">
      <c r="A64" s="2" t="s">
        <v>126</v>
      </c>
      <c r="B64" s="2" t="s">
        <v>127</v>
      </c>
      <c r="C64" s="2" t="s">
        <v>21</v>
      </c>
      <c r="D64" s="2" t="s">
        <v>22</v>
      </c>
      <c r="E64" s="2" t="s">
        <v>128</v>
      </c>
      <c r="F64" s="2" t="s">
        <v>24</v>
      </c>
      <c r="G64" s="2" t="s">
        <v>24</v>
      </c>
      <c r="H64" s="2" t="s">
        <v>129</v>
      </c>
      <c r="I64" s="2" t="s">
        <v>126</v>
      </c>
      <c r="J64" s="2" t="s">
        <v>26</v>
      </c>
      <c r="K64" s="2" t="s">
        <v>130</v>
      </c>
      <c r="L64" s="3">
        <v>46087.0</v>
      </c>
      <c r="M64" s="2">
        <v>30.99</v>
      </c>
      <c r="N64" s="2">
        <v>30.99</v>
      </c>
      <c r="O64" s="2">
        <v>3.0</v>
      </c>
      <c r="P64" s="2">
        <v>2.0</v>
      </c>
      <c r="Q64" s="2" t="s">
        <v>131</v>
      </c>
      <c r="R64" s="2" t="s">
        <v>24</v>
      </c>
      <c r="S64" s="2" t="b">
        <f>COUNTIF('Marcas Target'!A:A,dados!$E64)&gt;0</f>
        <v>1</v>
      </c>
    </row>
    <row r="65" ht="15.75" customHeight="1">
      <c r="A65" s="2" t="s">
        <v>132</v>
      </c>
      <c r="B65" s="2" t="s">
        <v>133</v>
      </c>
      <c r="C65" s="2" t="s">
        <v>21</v>
      </c>
      <c r="D65" s="2" t="s">
        <v>22</v>
      </c>
      <c r="E65" s="2" t="s">
        <v>106</v>
      </c>
      <c r="F65" s="2" t="s">
        <v>24</v>
      </c>
      <c r="G65" s="2" t="s">
        <v>24</v>
      </c>
      <c r="H65" s="2" t="s">
        <v>134</v>
      </c>
      <c r="I65" s="2" t="s">
        <v>132</v>
      </c>
      <c r="J65" s="2" t="s">
        <v>26</v>
      </c>
      <c r="K65" s="2" t="s">
        <v>135</v>
      </c>
      <c r="L65" s="3">
        <v>46089.0</v>
      </c>
      <c r="M65" s="2">
        <v>45.99</v>
      </c>
      <c r="N65" s="2">
        <v>45.99</v>
      </c>
      <c r="O65" s="2">
        <v>22.0</v>
      </c>
      <c r="P65" s="2">
        <v>22.0</v>
      </c>
      <c r="Q65" s="2" t="s">
        <v>136</v>
      </c>
      <c r="R65" s="2" t="s">
        <v>24</v>
      </c>
      <c r="S65" s="2" t="b">
        <f>COUNTIF('Marcas Target'!A:A,dados!$E65)&gt;0</f>
        <v>0</v>
      </c>
    </row>
    <row r="66" ht="15.75" customHeight="1">
      <c r="A66" s="2" t="s">
        <v>132</v>
      </c>
      <c r="B66" s="2" t="s">
        <v>133</v>
      </c>
      <c r="C66" s="2" t="s">
        <v>21</v>
      </c>
      <c r="D66" s="2" t="s">
        <v>22</v>
      </c>
      <c r="E66" s="2" t="s">
        <v>106</v>
      </c>
      <c r="F66" s="2" t="s">
        <v>24</v>
      </c>
      <c r="G66" s="2" t="s">
        <v>24</v>
      </c>
      <c r="H66" s="2" t="s">
        <v>134</v>
      </c>
      <c r="I66" s="2" t="s">
        <v>132</v>
      </c>
      <c r="J66" s="2" t="s">
        <v>26</v>
      </c>
      <c r="K66" s="2" t="s">
        <v>135</v>
      </c>
      <c r="L66" s="3">
        <v>46088.0</v>
      </c>
      <c r="M66" s="2">
        <v>45.99</v>
      </c>
      <c r="N66" s="2">
        <v>45.99</v>
      </c>
      <c r="O66" s="2">
        <v>24.0</v>
      </c>
      <c r="P66" s="2">
        <v>17.0</v>
      </c>
      <c r="Q66" s="2" t="s">
        <v>136</v>
      </c>
      <c r="R66" s="2" t="s">
        <v>24</v>
      </c>
      <c r="S66" s="2" t="b">
        <f>COUNTIF('Marcas Target'!A:A,dados!$E66)&gt;0</f>
        <v>0</v>
      </c>
    </row>
    <row r="67" ht="15.75" customHeight="1">
      <c r="A67" s="2" t="s">
        <v>132</v>
      </c>
      <c r="B67" s="2" t="s">
        <v>133</v>
      </c>
      <c r="C67" s="2" t="s">
        <v>21</v>
      </c>
      <c r="D67" s="2" t="s">
        <v>22</v>
      </c>
      <c r="E67" s="2" t="s">
        <v>106</v>
      </c>
      <c r="F67" s="2" t="s">
        <v>24</v>
      </c>
      <c r="G67" s="2" t="s">
        <v>24</v>
      </c>
      <c r="H67" s="2" t="s">
        <v>134</v>
      </c>
      <c r="I67" s="2" t="s">
        <v>132</v>
      </c>
      <c r="J67" s="2" t="s">
        <v>26</v>
      </c>
      <c r="K67" s="2" t="s">
        <v>135</v>
      </c>
      <c r="L67" s="3">
        <v>46087.0</v>
      </c>
      <c r="M67" s="2">
        <v>45.99</v>
      </c>
      <c r="N67" s="2">
        <v>45.99</v>
      </c>
      <c r="O67" s="2">
        <v>3.0</v>
      </c>
      <c r="P67" s="2">
        <v>2.0</v>
      </c>
      <c r="Q67" s="2" t="s">
        <v>136</v>
      </c>
      <c r="R67" s="2" t="s">
        <v>24</v>
      </c>
      <c r="S67" s="2" t="b">
        <f>COUNTIF('Marcas Target'!A:A,dados!$E67)&gt;0</f>
        <v>0</v>
      </c>
    </row>
    <row r="68" ht="15.75" customHeight="1">
      <c r="A68" s="2" t="s">
        <v>137</v>
      </c>
      <c r="B68" s="2" t="s">
        <v>138</v>
      </c>
      <c r="C68" s="2" t="s">
        <v>21</v>
      </c>
      <c r="D68" s="2" t="s">
        <v>22</v>
      </c>
      <c r="E68" s="2" t="s">
        <v>139</v>
      </c>
      <c r="F68" s="2" t="s">
        <v>24</v>
      </c>
      <c r="G68" s="2" t="s">
        <v>24</v>
      </c>
      <c r="H68" s="2" t="s">
        <v>140</v>
      </c>
      <c r="I68" s="2" t="s">
        <v>137</v>
      </c>
      <c r="J68" s="2" t="s">
        <v>26</v>
      </c>
      <c r="K68" s="2" t="s">
        <v>141</v>
      </c>
      <c r="L68" s="3">
        <v>46089.0</v>
      </c>
      <c r="M68" s="2">
        <v>32.99</v>
      </c>
      <c r="N68" s="2">
        <v>32.99</v>
      </c>
      <c r="O68" s="2">
        <v>22.0</v>
      </c>
      <c r="P68" s="2">
        <v>22.0</v>
      </c>
      <c r="Q68" s="2" t="s">
        <v>142</v>
      </c>
      <c r="R68" s="2" t="s">
        <v>24</v>
      </c>
      <c r="S68" s="2" t="b">
        <f>COUNTIF('Marcas Target'!A:A,dados!$E68)&gt;0</f>
        <v>0</v>
      </c>
    </row>
    <row r="69" ht="15.75" customHeight="1">
      <c r="A69" s="2" t="s">
        <v>137</v>
      </c>
      <c r="B69" s="2" t="s">
        <v>138</v>
      </c>
      <c r="C69" s="2" t="s">
        <v>21</v>
      </c>
      <c r="D69" s="2" t="s">
        <v>22</v>
      </c>
      <c r="E69" s="2" t="s">
        <v>139</v>
      </c>
      <c r="F69" s="2" t="s">
        <v>24</v>
      </c>
      <c r="G69" s="2" t="s">
        <v>24</v>
      </c>
      <c r="H69" s="2" t="s">
        <v>140</v>
      </c>
      <c r="I69" s="2" t="s">
        <v>137</v>
      </c>
      <c r="J69" s="2" t="s">
        <v>26</v>
      </c>
      <c r="K69" s="2" t="s">
        <v>141</v>
      </c>
      <c r="L69" s="3">
        <v>46088.0</v>
      </c>
      <c r="M69" s="2">
        <v>32.99</v>
      </c>
      <c r="N69" s="2">
        <v>32.99</v>
      </c>
      <c r="O69" s="2">
        <v>24.0</v>
      </c>
      <c r="P69" s="2">
        <v>21.0</v>
      </c>
      <c r="Q69" s="2" t="s">
        <v>142</v>
      </c>
      <c r="R69" s="2" t="s">
        <v>24</v>
      </c>
      <c r="S69" s="2" t="b">
        <f>COUNTIF('Marcas Target'!A:A,dados!$E69)&gt;0</f>
        <v>0</v>
      </c>
    </row>
    <row r="70" ht="15.75" customHeight="1">
      <c r="A70" s="2" t="s">
        <v>137</v>
      </c>
      <c r="B70" s="2" t="s">
        <v>138</v>
      </c>
      <c r="C70" s="2" t="s">
        <v>21</v>
      </c>
      <c r="D70" s="2" t="s">
        <v>22</v>
      </c>
      <c r="E70" s="2" t="s">
        <v>139</v>
      </c>
      <c r="F70" s="2" t="s">
        <v>24</v>
      </c>
      <c r="G70" s="2" t="s">
        <v>24</v>
      </c>
      <c r="H70" s="2" t="s">
        <v>140</v>
      </c>
      <c r="I70" s="2" t="s">
        <v>137</v>
      </c>
      <c r="J70" s="2" t="s">
        <v>26</v>
      </c>
      <c r="K70" s="2" t="s">
        <v>141</v>
      </c>
      <c r="L70" s="3">
        <v>46087.0</v>
      </c>
      <c r="M70" s="2">
        <v>32.99</v>
      </c>
      <c r="N70" s="2">
        <v>32.99</v>
      </c>
      <c r="O70" s="2">
        <v>3.0</v>
      </c>
      <c r="P70" s="2">
        <v>3.0</v>
      </c>
      <c r="Q70" s="2" t="s">
        <v>142</v>
      </c>
      <c r="R70" s="2" t="s">
        <v>24</v>
      </c>
      <c r="S70" s="2" t="b">
        <f>COUNTIF('Marcas Target'!A:A,dados!$E70)&gt;0</f>
        <v>0</v>
      </c>
    </row>
    <row r="71" ht="15.75" customHeight="1">
      <c r="A71" s="2" t="s">
        <v>143</v>
      </c>
      <c r="B71" s="2" t="s">
        <v>144</v>
      </c>
      <c r="C71" s="2" t="s">
        <v>21</v>
      </c>
      <c r="D71" s="2" t="s">
        <v>22</v>
      </c>
      <c r="E71" s="2" t="s">
        <v>145</v>
      </c>
      <c r="F71" s="2" t="s">
        <v>24</v>
      </c>
      <c r="G71" s="2" t="s">
        <v>24</v>
      </c>
      <c r="H71" s="2" t="s">
        <v>146</v>
      </c>
      <c r="I71" s="2" t="s">
        <v>143</v>
      </c>
      <c r="J71" s="2" t="s">
        <v>26</v>
      </c>
      <c r="K71" s="2" t="s">
        <v>147</v>
      </c>
      <c r="L71" s="3">
        <v>46089.0</v>
      </c>
      <c r="M71" s="2">
        <v>43.99</v>
      </c>
      <c r="N71" s="2">
        <v>43.99</v>
      </c>
      <c r="O71" s="2">
        <v>22.0</v>
      </c>
      <c r="P71" s="2">
        <v>22.0</v>
      </c>
      <c r="Q71" s="2" t="s">
        <v>148</v>
      </c>
      <c r="R71" s="2" t="s">
        <v>24</v>
      </c>
      <c r="S71" s="2" t="b">
        <f>COUNTIF('Marcas Target'!A:A,dados!$E71)&gt;0</f>
        <v>1</v>
      </c>
    </row>
    <row r="72" ht="15.75" customHeight="1">
      <c r="A72" s="2" t="s">
        <v>143</v>
      </c>
      <c r="B72" s="2" t="s">
        <v>144</v>
      </c>
      <c r="C72" s="2" t="s">
        <v>21</v>
      </c>
      <c r="D72" s="2" t="s">
        <v>22</v>
      </c>
      <c r="E72" s="2" t="s">
        <v>145</v>
      </c>
      <c r="F72" s="2" t="s">
        <v>24</v>
      </c>
      <c r="G72" s="2" t="s">
        <v>24</v>
      </c>
      <c r="H72" s="2" t="s">
        <v>146</v>
      </c>
      <c r="I72" s="2" t="s">
        <v>143</v>
      </c>
      <c r="J72" s="2" t="s">
        <v>26</v>
      </c>
      <c r="K72" s="2" t="s">
        <v>147</v>
      </c>
      <c r="L72" s="3">
        <v>46088.0</v>
      </c>
      <c r="M72" s="2">
        <v>43.99</v>
      </c>
      <c r="N72" s="2">
        <v>43.99</v>
      </c>
      <c r="O72" s="2">
        <v>24.0</v>
      </c>
      <c r="P72" s="2">
        <v>24.0</v>
      </c>
      <c r="Q72" s="2" t="s">
        <v>148</v>
      </c>
      <c r="R72" s="2" t="s">
        <v>24</v>
      </c>
      <c r="S72" s="2" t="b">
        <f>COUNTIF('Marcas Target'!A:A,dados!$E72)&gt;0</f>
        <v>1</v>
      </c>
    </row>
    <row r="73" ht="15.75" customHeight="1">
      <c r="A73" s="2" t="s">
        <v>143</v>
      </c>
      <c r="B73" s="2" t="s">
        <v>144</v>
      </c>
      <c r="C73" s="2" t="s">
        <v>21</v>
      </c>
      <c r="D73" s="2" t="s">
        <v>22</v>
      </c>
      <c r="E73" s="2" t="s">
        <v>145</v>
      </c>
      <c r="F73" s="2" t="s">
        <v>24</v>
      </c>
      <c r="G73" s="2" t="s">
        <v>24</v>
      </c>
      <c r="H73" s="2" t="s">
        <v>146</v>
      </c>
      <c r="I73" s="2" t="s">
        <v>143</v>
      </c>
      <c r="J73" s="2" t="s">
        <v>26</v>
      </c>
      <c r="K73" s="2" t="s">
        <v>147</v>
      </c>
      <c r="L73" s="3">
        <v>46087.0</v>
      </c>
      <c r="M73" s="2">
        <v>43.99</v>
      </c>
      <c r="N73" s="2">
        <v>43.99</v>
      </c>
      <c r="O73" s="2">
        <v>3.0</v>
      </c>
      <c r="P73" s="2">
        <v>2.0</v>
      </c>
      <c r="Q73" s="2" t="s">
        <v>148</v>
      </c>
      <c r="R73" s="2" t="s">
        <v>24</v>
      </c>
      <c r="S73" s="2" t="b">
        <f>COUNTIF('Marcas Target'!A:A,dados!$E73)&gt;0</f>
        <v>1</v>
      </c>
    </row>
    <row r="74" ht="15.75" customHeight="1">
      <c r="A74" s="2" t="s">
        <v>149</v>
      </c>
      <c r="B74" s="2" t="s">
        <v>150</v>
      </c>
      <c r="C74" s="2" t="s">
        <v>21</v>
      </c>
      <c r="D74" s="2" t="s">
        <v>22</v>
      </c>
      <c r="E74" s="2" t="s">
        <v>106</v>
      </c>
      <c r="F74" s="2" t="s">
        <v>24</v>
      </c>
      <c r="G74" s="2" t="s">
        <v>24</v>
      </c>
      <c r="H74" s="2" t="s">
        <v>151</v>
      </c>
      <c r="I74" s="2" t="s">
        <v>149</v>
      </c>
      <c r="J74" s="2" t="s">
        <v>26</v>
      </c>
      <c r="K74" s="2" t="s">
        <v>152</v>
      </c>
      <c r="L74" s="3">
        <v>46089.0</v>
      </c>
      <c r="M74" s="2" t="s">
        <v>24</v>
      </c>
      <c r="N74" s="2" t="s">
        <v>24</v>
      </c>
      <c r="O74" s="2">
        <v>22.0</v>
      </c>
      <c r="P74" s="2">
        <v>0.0</v>
      </c>
      <c r="Q74" s="2" t="s">
        <v>153</v>
      </c>
      <c r="R74" s="2" t="s">
        <v>24</v>
      </c>
      <c r="S74" s="2" t="b">
        <f>COUNTIF('Marcas Target'!A:A,dados!$E74)&gt;0</f>
        <v>0</v>
      </c>
    </row>
    <row r="75" ht="15.75" customHeight="1">
      <c r="A75" s="2" t="s">
        <v>149</v>
      </c>
      <c r="B75" s="2" t="s">
        <v>150</v>
      </c>
      <c r="C75" s="2" t="s">
        <v>21</v>
      </c>
      <c r="D75" s="2" t="s">
        <v>22</v>
      </c>
      <c r="E75" s="2" t="s">
        <v>106</v>
      </c>
      <c r="F75" s="2" t="s">
        <v>24</v>
      </c>
      <c r="G75" s="2" t="s">
        <v>24</v>
      </c>
      <c r="H75" s="2" t="s">
        <v>151</v>
      </c>
      <c r="I75" s="2" t="s">
        <v>149</v>
      </c>
      <c r="J75" s="2" t="s">
        <v>26</v>
      </c>
      <c r="K75" s="2" t="s">
        <v>152</v>
      </c>
      <c r="L75" s="3">
        <v>46088.0</v>
      </c>
      <c r="M75" s="2" t="s">
        <v>24</v>
      </c>
      <c r="N75" s="2" t="s">
        <v>24</v>
      </c>
      <c r="O75" s="2">
        <v>24.0</v>
      </c>
      <c r="P75" s="2">
        <v>0.0</v>
      </c>
      <c r="Q75" s="2" t="s">
        <v>153</v>
      </c>
      <c r="R75" s="2" t="s">
        <v>24</v>
      </c>
      <c r="S75" s="2" t="b">
        <f>COUNTIF('Marcas Target'!A:A,dados!$E75)&gt;0</f>
        <v>0</v>
      </c>
    </row>
    <row r="76" ht="15.75" customHeight="1">
      <c r="A76" s="2" t="s">
        <v>149</v>
      </c>
      <c r="B76" s="2" t="s">
        <v>150</v>
      </c>
      <c r="C76" s="2" t="s">
        <v>21</v>
      </c>
      <c r="D76" s="2" t="s">
        <v>22</v>
      </c>
      <c r="E76" s="2" t="s">
        <v>106</v>
      </c>
      <c r="F76" s="2" t="s">
        <v>24</v>
      </c>
      <c r="G76" s="2" t="s">
        <v>24</v>
      </c>
      <c r="H76" s="2" t="s">
        <v>151</v>
      </c>
      <c r="I76" s="2" t="s">
        <v>149</v>
      </c>
      <c r="J76" s="2" t="s">
        <v>26</v>
      </c>
      <c r="K76" s="2" t="s">
        <v>152</v>
      </c>
      <c r="L76" s="3">
        <v>46087.0</v>
      </c>
      <c r="M76" s="2" t="s">
        <v>24</v>
      </c>
      <c r="N76" s="2" t="s">
        <v>24</v>
      </c>
      <c r="O76" s="2">
        <v>3.0</v>
      </c>
      <c r="P76" s="2">
        <v>0.0</v>
      </c>
      <c r="Q76" s="2" t="s">
        <v>153</v>
      </c>
      <c r="R76" s="2" t="s">
        <v>24</v>
      </c>
      <c r="S76" s="2" t="b">
        <f>COUNTIF('Marcas Target'!A:A,dados!$E76)&gt;0</f>
        <v>0</v>
      </c>
    </row>
    <row r="77" ht="15.75" customHeight="1">
      <c r="A77" s="2" t="s">
        <v>154</v>
      </c>
      <c r="B77" s="2" t="s">
        <v>155</v>
      </c>
      <c r="C77" s="2" t="s">
        <v>21</v>
      </c>
      <c r="D77" s="2" t="s">
        <v>22</v>
      </c>
      <c r="E77" s="2" t="s">
        <v>106</v>
      </c>
      <c r="F77" s="2" t="s">
        <v>24</v>
      </c>
      <c r="G77" s="2" t="s">
        <v>24</v>
      </c>
      <c r="H77" s="2" t="s">
        <v>156</v>
      </c>
      <c r="I77" s="2" t="s">
        <v>154</v>
      </c>
      <c r="J77" s="2" t="s">
        <v>26</v>
      </c>
      <c r="K77" s="2" t="s">
        <v>157</v>
      </c>
      <c r="L77" s="3">
        <v>46089.0</v>
      </c>
      <c r="M77" s="2">
        <v>103.94</v>
      </c>
      <c r="N77" s="2">
        <v>103.94</v>
      </c>
      <c r="O77" s="2">
        <v>22.0</v>
      </c>
      <c r="P77" s="2">
        <v>14.0</v>
      </c>
      <c r="Q77" s="2" t="s">
        <v>158</v>
      </c>
      <c r="R77" s="2" t="s">
        <v>24</v>
      </c>
      <c r="S77" s="2" t="b">
        <f>COUNTIF('Marcas Target'!A:A,dados!$E77)&gt;0</f>
        <v>0</v>
      </c>
    </row>
    <row r="78" ht="15.75" customHeight="1">
      <c r="A78" s="2" t="s">
        <v>154</v>
      </c>
      <c r="B78" s="2" t="s">
        <v>155</v>
      </c>
      <c r="C78" s="2" t="s">
        <v>21</v>
      </c>
      <c r="D78" s="2" t="s">
        <v>22</v>
      </c>
      <c r="E78" s="2" t="s">
        <v>106</v>
      </c>
      <c r="F78" s="2" t="s">
        <v>24</v>
      </c>
      <c r="G78" s="2" t="s">
        <v>24</v>
      </c>
      <c r="H78" s="2" t="s">
        <v>156</v>
      </c>
      <c r="I78" s="2" t="s">
        <v>154</v>
      </c>
      <c r="J78" s="2" t="s">
        <v>26</v>
      </c>
      <c r="K78" s="2" t="s">
        <v>157</v>
      </c>
      <c r="L78" s="3">
        <v>46088.0</v>
      </c>
      <c r="M78" s="2">
        <v>127.92</v>
      </c>
      <c r="N78" s="2">
        <v>127.92</v>
      </c>
      <c r="O78" s="2">
        <v>24.0</v>
      </c>
      <c r="P78" s="2">
        <v>7.0</v>
      </c>
      <c r="Q78" s="2" t="s">
        <v>158</v>
      </c>
      <c r="R78" s="2" t="s">
        <v>24</v>
      </c>
      <c r="S78" s="2" t="b">
        <f>COUNTIF('Marcas Target'!A:A,dados!$E78)&gt;0</f>
        <v>0</v>
      </c>
    </row>
    <row r="79" ht="15.75" customHeight="1">
      <c r="A79" s="2" t="s">
        <v>154</v>
      </c>
      <c r="B79" s="2" t="s">
        <v>155</v>
      </c>
      <c r="C79" s="2" t="s">
        <v>21</v>
      </c>
      <c r="D79" s="2" t="s">
        <v>22</v>
      </c>
      <c r="E79" s="2" t="s">
        <v>106</v>
      </c>
      <c r="F79" s="2" t="s">
        <v>24</v>
      </c>
      <c r="G79" s="2" t="s">
        <v>24</v>
      </c>
      <c r="H79" s="2" t="s">
        <v>156</v>
      </c>
      <c r="I79" s="2" t="s">
        <v>154</v>
      </c>
      <c r="J79" s="2" t="s">
        <v>26</v>
      </c>
      <c r="K79" s="2" t="s">
        <v>157</v>
      </c>
      <c r="L79" s="3">
        <v>46087.0</v>
      </c>
      <c r="M79" s="2" t="s">
        <v>24</v>
      </c>
      <c r="N79" s="2" t="s">
        <v>24</v>
      </c>
      <c r="O79" s="2">
        <v>3.0</v>
      </c>
      <c r="P79" s="2">
        <v>0.0</v>
      </c>
      <c r="Q79" s="2" t="s">
        <v>158</v>
      </c>
      <c r="R79" s="2" t="s">
        <v>24</v>
      </c>
      <c r="S79" s="2" t="b">
        <f>COUNTIF('Marcas Target'!A:A,dados!$E79)&gt;0</f>
        <v>0</v>
      </c>
    </row>
    <row r="80" ht="15.75" customHeight="1">
      <c r="A80" s="2" t="s">
        <v>159</v>
      </c>
      <c r="B80" s="2" t="s">
        <v>160</v>
      </c>
      <c r="C80" s="2" t="s">
        <v>21</v>
      </c>
      <c r="D80" s="2" t="s">
        <v>22</v>
      </c>
      <c r="E80" s="2" t="s">
        <v>145</v>
      </c>
      <c r="F80" s="2" t="s">
        <v>24</v>
      </c>
      <c r="G80" s="2" t="s">
        <v>24</v>
      </c>
      <c r="H80" s="2" t="s">
        <v>161</v>
      </c>
      <c r="I80" s="2" t="s">
        <v>159</v>
      </c>
      <c r="J80" s="2" t="s">
        <v>26</v>
      </c>
      <c r="K80" s="2" t="s">
        <v>162</v>
      </c>
      <c r="L80" s="3">
        <v>46089.0</v>
      </c>
      <c r="M80" s="2">
        <v>33.99</v>
      </c>
      <c r="N80" s="2">
        <v>33.99</v>
      </c>
      <c r="O80" s="2">
        <v>22.0</v>
      </c>
      <c r="P80" s="2">
        <v>22.0</v>
      </c>
      <c r="Q80" s="2" t="s">
        <v>163</v>
      </c>
      <c r="R80" s="2" t="s">
        <v>24</v>
      </c>
      <c r="S80" s="2" t="b">
        <f>COUNTIF('Marcas Target'!A:A,dados!$E80)&gt;0</f>
        <v>1</v>
      </c>
    </row>
    <row r="81" ht="15.75" customHeight="1">
      <c r="A81" s="2" t="s">
        <v>159</v>
      </c>
      <c r="B81" s="2" t="s">
        <v>160</v>
      </c>
      <c r="C81" s="2" t="s">
        <v>21</v>
      </c>
      <c r="D81" s="2" t="s">
        <v>22</v>
      </c>
      <c r="E81" s="2" t="s">
        <v>145</v>
      </c>
      <c r="F81" s="2" t="s">
        <v>24</v>
      </c>
      <c r="G81" s="2" t="s">
        <v>24</v>
      </c>
      <c r="H81" s="2" t="s">
        <v>161</v>
      </c>
      <c r="I81" s="2" t="s">
        <v>159</v>
      </c>
      <c r="J81" s="2" t="s">
        <v>26</v>
      </c>
      <c r="K81" s="2" t="s">
        <v>162</v>
      </c>
      <c r="L81" s="3">
        <v>46088.0</v>
      </c>
      <c r="M81" s="2">
        <v>33.99</v>
      </c>
      <c r="N81" s="2">
        <v>33.99</v>
      </c>
      <c r="O81" s="2">
        <v>24.0</v>
      </c>
      <c r="P81" s="2">
        <v>23.0</v>
      </c>
      <c r="Q81" s="2" t="s">
        <v>163</v>
      </c>
      <c r="R81" s="2" t="s">
        <v>24</v>
      </c>
      <c r="S81" s="2" t="b">
        <f>COUNTIF('Marcas Target'!A:A,dados!$E81)&gt;0</f>
        <v>1</v>
      </c>
    </row>
    <row r="82" ht="15.75" customHeight="1">
      <c r="A82" s="2" t="s">
        <v>159</v>
      </c>
      <c r="B82" s="2" t="s">
        <v>160</v>
      </c>
      <c r="C82" s="2" t="s">
        <v>21</v>
      </c>
      <c r="D82" s="2" t="s">
        <v>22</v>
      </c>
      <c r="E82" s="2" t="s">
        <v>145</v>
      </c>
      <c r="F82" s="2" t="s">
        <v>24</v>
      </c>
      <c r="G82" s="2" t="s">
        <v>24</v>
      </c>
      <c r="H82" s="2" t="s">
        <v>161</v>
      </c>
      <c r="I82" s="2" t="s">
        <v>159</v>
      </c>
      <c r="J82" s="2" t="s">
        <v>26</v>
      </c>
      <c r="K82" s="2" t="s">
        <v>162</v>
      </c>
      <c r="L82" s="3">
        <v>46087.0</v>
      </c>
      <c r="M82" s="2">
        <v>33.99</v>
      </c>
      <c r="N82" s="2">
        <v>33.99</v>
      </c>
      <c r="O82" s="2">
        <v>3.0</v>
      </c>
      <c r="P82" s="2">
        <v>2.0</v>
      </c>
      <c r="Q82" s="2" t="s">
        <v>163</v>
      </c>
      <c r="R82" s="2" t="s">
        <v>24</v>
      </c>
      <c r="S82" s="2" t="b">
        <f>COUNTIF('Marcas Target'!A:A,dados!$E82)&gt;0</f>
        <v>1</v>
      </c>
    </row>
    <row r="83" ht="15.75" customHeight="1">
      <c r="A83" s="2" t="s">
        <v>164</v>
      </c>
      <c r="B83" s="2" t="s">
        <v>165</v>
      </c>
      <c r="C83" s="2" t="s">
        <v>21</v>
      </c>
      <c r="D83" s="2" t="s">
        <v>22</v>
      </c>
      <c r="E83" s="2" t="s">
        <v>128</v>
      </c>
      <c r="F83" s="2" t="s">
        <v>24</v>
      </c>
      <c r="G83" s="2" t="s">
        <v>24</v>
      </c>
      <c r="H83" s="2" t="s">
        <v>166</v>
      </c>
      <c r="I83" s="2" t="s">
        <v>164</v>
      </c>
      <c r="J83" s="2" t="s">
        <v>26</v>
      </c>
      <c r="K83" s="2" t="s">
        <v>167</v>
      </c>
      <c r="L83" s="3">
        <v>46089.0</v>
      </c>
      <c r="M83" s="2">
        <v>30.99</v>
      </c>
      <c r="N83" s="2">
        <v>30.99</v>
      </c>
      <c r="O83" s="2">
        <v>22.0</v>
      </c>
      <c r="P83" s="2">
        <v>22.0</v>
      </c>
      <c r="Q83" s="2" t="s">
        <v>168</v>
      </c>
      <c r="R83" s="2" t="s">
        <v>24</v>
      </c>
      <c r="S83" s="2" t="b">
        <f>COUNTIF('Marcas Target'!A:A,dados!$E83)&gt;0</f>
        <v>1</v>
      </c>
    </row>
    <row r="84" ht="15.75" customHeight="1">
      <c r="A84" s="2" t="s">
        <v>164</v>
      </c>
      <c r="B84" s="2" t="s">
        <v>165</v>
      </c>
      <c r="C84" s="2" t="s">
        <v>21</v>
      </c>
      <c r="D84" s="2" t="s">
        <v>22</v>
      </c>
      <c r="E84" s="2" t="s">
        <v>128</v>
      </c>
      <c r="F84" s="2" t="s">
        <v>24</v>
      </c>
      <c r="G84" s="2" t="s">
        <v>24</v>
      </c>
      <c r="H84" s="2" t="s">
        <v>166</v>
      </c>
      <c r="I84" s="2" t="s">
        <v>164</v>
      </c>
      <c r="J84" s="2" t="s">
        <v>26</v>
      </c>
      <c r="K84" s="2" t="s">
        <v>167</v>
      </c>
      <c r="L84" s="3">
        <v>46088.0</v>
      </c>
      <c r="M84" s="2">
        <v>30.99</v>
      </c>
      <c r="N84" s="2">
        <v>30.99</v>
      </c>
      <c r="O84" s="2">
        <v>24.0</v>
      </c>
      <c r="P84" s="2">
        <v>9.0</v>
      </c>
      <c r="Q84" s="2" t="s">
        <v>168</v>
      </c>
      <c r="R84" s="2" t="s">
        <v>24</v>
      </c>
      <c r="S84" s="2" t="b">
        <f>COUNTIF('Marcas Target'!A:A,dados!$E84)&gt;0</f>
        <v>1</v>
      </c>
    </row>
    <row r="85" ht="15.75" customHeight="1">
      <c r="A85" s="2" t="s">
        <v>164</v>
      </c>
      <c r="B85" s="2" t="s">
        <v>165</v>
      </c>
      <c r="C85" s="2" t="s">
        <v>21</v>
      </c>
      <c r="D85" s="2" t="s">
        <v>22</v>
      </c>
      <c r="E85" s="2" t="s">
        <v>128</v>
      </c>
      <c r="F85" s="2" t="s">
        <v>24</v>
      </c>
      <c r="G85" s="2" t="s">
        <v>24</v>
      </c>
      <c r="H85" s="2" t="s">
        <v>166</v>
      </c>
      <c r="I85" s="2" t="s">
        <v>164</v>
      </c>
      <c r="J85" s="2" t="s">
        <v>26</v>
      </c>
      <c r="K85" s="2" t="s">
        <v>167</v>
      </c>
      <c r="L85" s="3">
        <v>46087.0</v>
      </c>
      <c r="M85" s="2">
        <v>30.99</v>
      </c>
      <c r="N85" s="2">
        <v>30.99</v>
      </c>
      <c r="O85" s="2">
        <v>3.0</v>
      </c>
      <c r="P85" s="2">
        <v>2.0</v>
      </c>
      <c r="Q85" s="2" t="s">
        <v>168</v>
      </c>
      <c r="R85" s="2" t="s">
        <v>24</v>
      </c>
      <c r="S85" s="2" t="b">
        <f>COUNTIF('Marcas Target'!A:A,dados!$E85)&gt;0</f>
        <v>1</v>
      </c>
    </row>
    <row r="86" ht="15.75" customHeight="1">
      <c r="A86" s="2" t="s">
        <v>169</v>
      </c>
      <c r="B86" s="2" t="s">
        <v>170</v>
      </c>
      <c r="C86" s="2" t="s">
        <v>21</v>
      </c>
      <c r="D86" s="2" t="s">
        <v>22</v>
      </c>
      <c r="E86" s="2" t="s">
        <v>128</v>
      </c>
      <c r="F86" s="2" t="s">
        <v>24</v>
      </c>
      <c r="G86" s="2" t="s">
        <v>24</v>
      </c>
      <c r="H86" s="2" t="s">
        <v>171</v>
      </c>
      <c r="I86" s="2" t="s">
        <v>169</v>
      </c>
      <c r="J86" s="2" t="s">
        <v>26</v>
      </c>
      <c r="K86" s="2" t="s">
        <v>172</v>
      </c>
      <c r="L86" s="3">
        <v>46089.0</v>
      </c>
      <c r="M86" s="2">
        <v>30.99</v>
      </c>
      <c r="N86" s="2">
        <v>30.99</v>
      </c>
      <c r="O86" s="2">
        <v>22.0</v>
      </c>
      <c r="P86" s="2">
        <v>21.0</v>
      </c>
      <c r="Q86" s="2" t="s">
        <v>173</v>
      </c>
      <c r="R86" s="2" t="s">
        <v>24</v>
      </c>
      <c r="S86" s="2" t="b">
        <f>COUNTIF('Marcas Target'!A:A,dados!$E86)&gt;0</f>
        <v>1</v>
      </c>
    </row>
    <row r="87" ht="15.75" customHeight="1">
      <c r="A87" s="2" t="s">
        <v>169</v>
      </c>
      <c r="B87" s="2" t="s">
        <v>170</v>
      </c>
      <c r="C87" s="2" t="s">
        <v>21</v>
      </c>
      <c r="D87" s="2" t="s">
        <v>22</v>
      </c>
      <c r="E87" s="2" t="s">
        <v>128</v>
      </c>
      <c r="F87" s="2" t="s">
        <v>24</v>
      </c>
      <c r="G87" s="2" t="s">
        <v>24</v>
      </c>
      <c r="H87" s="2" t="s">
        <v>171</v>
      </c>
      <c r="I87" s="2" t="s">
        <v>169</v>
      </c>
      <c r="J87" s="2" t="s">
        <v>26</v>
      </c>
      <c r="K87" s="2" t="s">
        <v>172</v>
      </c>
      <c r="L87" s="3">
        <v>46088.0</v>
      </c>
      <c r="M87" s="2">
        <v>30.99</v>
      </c>
      <c r="N87" s="2">
        <v>30.99</v>
      </c>
      <c r="O87" s="2">
        <v>24.0</v>
      </c>
      <c r="P87" s="2">
        <v>22.0</v>
      </c>
      <c r="Q87" s="2" t="s">
        <v>173</v>
      </c>
      <c r="R87" s="2" t="s">
        <v>24</v>
      </c>
      <c r="S87" s="2" t="b">
        <f>COUNTIF('Marcas Target'!A:A,dados!$E87)&gt;0</f>
        <v>1</v>
      </c>
    </row>
    <row r="88" ht="15.75" customHeight="1">
      <c r="A88" s="2" t="s">
        <v>169</v>
      </c>
      <c r="B88" s="2" t="s">
        <v>170</v>
      </c>
      <c r="C88" s="2" t="s">
        <v>21</v>
      </c>
      <c r="D88" s="2" t="s">
        <v>22</v>
      </c>
      <c r="E88" s="2" t="s">
        <v>128</v>
      </c>
      <c r="F88" s="2" t="s">
        <v>24</v>
      </c>
      <c r="G88" s="2" t="s">
        <v>24</v>
      </c>
      <c r="H88" s="2" t="s">
        <v>171</v>
      </c>
      <c r="I88" s="2" t="s">
        <v>169</v>
      </c>
      <c r="J88" s="2" t="s">
        <v>26</v>
      </c>
      <c r="K88" s="2" t="s">
        <v>172</v>
      </c>
      <c r="L88" s="3">
        <v>46087.0</v>
      </c>
      <c r="M88" s="2">
        <v>30.99</v>
      </c>
      <c r="N88" s="2">
        <v>30.99</v>
      </c>
      <c r="O88" s="2">
        <v>3.0</v>
      </c>
      <c r="P88" s="2">
        <v>2.0</v>
      </c>
      <c r="Q88" s="2" t="s">
        <v>173</v>
      </c>
      <c r="R88" s="2" t="s">
        <v>24</v>
      </c>
      <c r="S88" s="2" t="b">
        <f>COUNTIF('Marcas Target'!A:A,dados!$E88)&gt;0</f>
        <v>1</v>
      </c>
    </row>
    <row r="89" ht="15.75" customHeight="1">
      <c r="A89" s="2" t="s">
        <v>174</v>
      </c>
      <c r="B89" s="2" t="s">
        <v>175</v>
      </c>
      <c r="C89" s="2" t="s">
        <v>21</v>
      </c>
      <c r="D89" s="2" t="s">
        <v>176</v>
      </c>
      <c r="E89" s="2" t="s">
        <v>117</v>
      </c>
      <c r="F89" s="2" t="s">
        <v>24</v>
      </c>
      <c r="G89" s="2" t="s">
        <v>24</v>
      </c>
      <c r="H89" s="2" t="s">
        <v>177</v>
      </c>
      <c r="I89" s="2" t="s">
        <v>174</v>
      </c>
      <c r="J89" s="2" t="s">
        <v>26</v>
      </c>
      <c r="K89" s="2" t="s">
        <v>178</v>
      </c>
      <c r="L89" s="3">
        <v>46089.0</v>
      </c>
      <c r="M89" s="2">
        <v>38.99</v>
      </c>
      <c r="N89" s="2">
        <v>38.99</v>
      </c>
      <c r="O89" s="2">
        <v>22.0</v>
      </c>
      <c r="P89" s="2">
        <v>3.0</v>
      </c>
      <c r="Q89" s="2" t="s">
        <v>179</v>
      </c>
      <c r="R89" s="2" t="s">
        <v>24</v>
      </c>
      <c r="S89" s="2" t="b">
        <f>COUNTIF('Marcas Target'!A:A,dados!$E89)&gt;0</f>
        <v>0</v>
      </c>
    </row>
    <row r="90" ht="15.75" customHeight="1">
      <c r="A90" s="2" t="s">
        <v>174</v>
      </c>
      <c r="B90" s="2" t="s">
        <v>175</v>
      </c>
      <c r="C90" s="2" t="s">
        <v>21</v>
      </c>
      <c r="D90" s="2" t="s">
        <v>176</v>
      </c>
      <c r="E90" s="2" t="s">
        <v>117</v>
      </c>
      <c r="F90" s="2" t="s">
        <v>24</v>
      </c>
      <c r="G90" s="2" t="s">
        <v>24</v>
      </c>
      <c r="H90" s="2" t="s">
        <v>177</v>
      </c>
      <c r="I90" s="2" t="s">
        <v>174</v>
      </c>
      <c r="J90" s="2" t="s">
        <v>26</v>
      </c>
      <c r="K90" s="2" t="s">
        <v>178</v>
      </c>
      <c r="L90" s="3">
        <v>46088.0</v>
      </c>
      <c r="M90" s="2">
        <v>38.99</v>
      </c>
      <c r="N90" s="2">
        <v>38.99</v>
      </c>
      <c r="O90" s="2">
        <v>24.0</v>
      </c>
      <c r="P90" s="2">
        <v>2.0</v>
      </c>
      <c r="Q90" s="2" t="s">
        <v>179</v>
      </c>
      <c r="R90" s="2" t="s">
        <v>24</v>
      </c>
      <c r="S90" s="2" t="b">
        <f>COUNTIF('Marcas Target'!A:A,dados!$E90)&gt;0</f>
        <v>0</v>
      </c>
    </row>
    <row r="91" ht="15.75" customHeight="1">
      <c r="A91" s="2" t="s">
        <v>174</v>
      </c>
      <c r="B91" s="2" t="s">
        <v>175</v>
      </c>
      <c r="C91" s="2" t="s">
        <v>21</v>
      </c>
      <c r="D91" s="2" t="s">
        <v>176</v>
      </c>
      <c r="E91" s="2" t="s">
        <v>117</v>
      </c>
      <c r="F91" s="2" t="s">
        <v>24</v>
      </c>
      <c r="G91" s="2" t="s">
        <v>24</v>
      </c>
      <c r="H91" s="2" t="s">
        <v>177</v>
      </c>
      <c r="I91" s="2" t="s">
        <v>174</v>
      </c>
      <c r="J91" s="2" t="s">
        <v>26</v>
      </c>
      <c r="K91" s="2" t="s">
        <v>178</v>
      </c>
      <c r="L91" s="3">
        <v>46087.0</v>
      </c>
      <c r="M91" s="2" t="s">
        <v>24</v>
      </c>
      <c r="N91" s="2" t="s">
        <v>24</v>
      </c>
      <c r="O91" s="2">
        <v>3.0</v>
      </c>
      <c r="P91" s="2">
        <v>0.0</v>
      </c>
      <c r="Q91" s="2" t="s">
        <v>179</v>
      </c>
      <c r="R91" s="2" t="s">
        <v>24</v>
      </c>
      <c r="S91" s="2" t="b">
        <f>COUNTIF('Marcas Target'!A:A,dados!$E91)&gt;0</f>
        <v>0</v>
      </c>
    </row>
    <row r="92" ht="15.75" customHeight="1">
      <c r="A92" s="2" t="s">
        <v>180</v>
      </c>
      <c r="B92" s="2" t="s">
        <v>181</v>
      </c>
      <c r="C92" s="2" t="s">
        <v>21</v>
      </c>
      <c r="D92" s="2" t="s">
        <v>22</v>
      </c>
      <c r="E92" s="2" t="s">
        <v>145</v>
      </c>
      <c r="F92" s="2" t="s">
        <v>24</v>
      </c>
      <c r="G92" s="2" t="s">
        <v>24</v>
      </c>
      <c r="H92" s="2" t="s">
        <v>182</v>
      </c>
      <c r="I92" s="2" t="s">
        <v>180</v>
      </c>
      <c r="J92" s="2" t="s">
        <v>26</v>
      </c>
      <c r="K92" s="2" t="s">
        <v>183</v>
      </c>
      <c r="L92" s="3">
        <v>46089.0</v>
      </c>
      <c r="M92" s="2">
        <v>33.99</v>
      </c>
      <c r="N92" s="2">
        <v>33.99</v>
      </c>
      <c r="O92" s="2">
        <v>22.0</v>
      </c>
      <c r="P92" s="2">
        <v>22.0</v>
      </c>
      <c r="Q92" s="2" t="s">
        <v>184</v>
      </c>
      <c r="R92" s="2" t="s">
        <v>24</v>
      </c>
      <c r="S92" s="2" t="b">
        <f>COUNTIF('Marcas Target'!A:A,dados!$E92)&gt;0</f>
        <v>1</v>
      </c>
    </row>
    <row r="93" ht="15.75" customHeight="1">
      <c r="A93" s="2" t="s">
        <v>180</v>
      </c>
      <c r="B93" s="2" t="s">
        <v>181</v>
      </c>
      <c r="C93" s="2" t="s">
        <v>21</v>
      </c>
      <c r="D93" s="2" t="s">
        <v>22</v>
      </c>
      <c r="E93" s="2" t="s">
        <v>145</v>
      </c>
      <c r="F93" s="2" t="s">
        <v>24</v>
      </c>
      <c r="G93" s="2" t="s">
        <v>24</v>
      </c>
      <c r="H93" s="2" t="s">
        <v>182</v>
      </c>
      <c r="I93" s="2" t="s">
        <v>180</v>
      </c>
      <c r="J93" s="2" t="s">
        <v>26</v>
      </c>
      <c r="K93" s="2" t="s">
        <v>183</v>
      </c>
      <c r="L93" s="3">
        <v>46088.0</v>
      </c>
      <c r="M93" s="2">
        <v>33.99</v>
      </c>
      <c r="N93" s="2">
        <v>33.99</v>
      </c>
      <c r="O93" s="2">
        <v>24.0</v>
      </c>
      <c r="P93" s="2">
        <v>24.0</v>
      </c>
      <c r="Q93" s="2" t="s">
        <v>184</v>
      </c>
      <c r="R93" s="2" t="s">
        <v>24</v>
      </c>
      <c r="S93" s="2" t="b">
        <f>COUNTIF('Marcas Target'!A:A,dados!$E93)&gt;0</f>
        <v>1</v>
      </c>
    </row>
    <row r="94" ht="15.75" customHeight="1">
      <c r="A94" s="2" t="s">
        <v>180</v>
      </c>
      <c r="B94" s="2" t="s">
        <v>181</v>
      </c>
      <c r="C94" s="2" t="s">
        <v>21</v>
      </c>
      <c r="D94" s="2" t="s">
        <v>22</v>
      </c>
      <c r="E94" s="2" t="s">
        <v>145</v>
      </c>
      <c r="F94" s="2" t="s">
        <v>24</v>
      </c>
      <c r="G94" s="2" t="s">
        <v>24</v>
      </c>
      <c r="H94" s="2" t="s">
        <v>182</v>
      </c>
      <c r="I94" s="2" t="s">
        <v>180</v>
      </c>
      <c r="J94" s="2" t="s">
        <v>26</v>
      </c>
      <c r="K94" s="2" t="s">
        <v>183</v>
      </c>
      <c r="L94" s="3">
        <v>46087.0</v>
      </c>
      <c r="M94" s="2">
        <v>33.99</v>
      </c>
      <c r="N94" s="2">
        <v>33.99</v>
      </c>
      <c r="O94" s="2">
        <v>3.0</v>
      </c>
      <c r="P94" s="2">
        <v>3.0</v>
      </c>
      <c r="Q94" s="2" t="s">
        <v>184</v>
      </c>
      <c r="R94" s="2" t="s">
        <v>24</v>
      </c>
      <c r="S94" s="2" t="b">
        <f>COUNTIF('Marcas Target'!A:A,dados!$E94)&gt;0</f>
        <v>1</v>
      </c>
    </row>
    <row r="95" ht="15.75" customHeight="1">
      <c r="A95" s="2" t="s">
        <v>185</v>
      </c>
      <c r="B95" s="2" t="s">
        <v>186</v>
      </c>
      <c r="C95" s="2" t="s">
        <v>21</v>
      </c>
      <c r="D95" s="2" t="s">
        <v>176</v>
      </c>
      <c r="E95" s="2" t="s">
        <v>106</v>
      </c>
      <c r="F95" s="2" t="s">
        <v>24</v>
      </c>
      <c r="G95" s="2" t="s">
        <v>24</v>
      </c>
      <c r="H95" s="2" t="s">
        <v>187</v>
      </c>
      <c r="I95" s="2" t="s">
        <v>185</v>
      </c>
      <c r="J95" s="2" t="s">
        <v>26</v>
      </c>
      <c r="K95" s="2" t="s">
        <v>188</v>
      </c>
      <c r="L95" s="3">
        <v>46089.0</v>
      </c>
      <c r="M95" s="2">
        <v>27.49</v>
      </c>
      <c r="N95" s="2">
        <v>27.49</v>
      </c>
      <c r="O95" s="2">
        <v>22.0</v>
      </c>
      <c r="P95" s="2">
        <v>22.0</v>
      </c>
      <c r="Q95" s="2" t="s">
        <v>189</v>
      </c>
      <c r="R95" s="2" t="s">
        <v>24</v>
      </c>
      <c r="S95" s="2" t="b">
        <f>COUNTIF('Marcas Target'!A:A,dados!$E95)&gt;0</f>
        <v>0</v>
      </c>
    </row>
    <row r="96" ht="15.75" customHeight="1">
      <c r="A96" s="2" t="s">
        <v>185</v>
      </c>
      <c r="B96" s="2" t="s">
        <v>186</v>
      </c>
      <c r="C96" s="2" t="s">
        <v>21</v>
      </c>
      <c r="D96" s="2" t="s">
        <v>176</v>
      </c>
      <c r="E96" s="2" t="s">
        <v>106</v>
      </c>
      <c r="F96" s="2" t="s">
        <v>24</v>
      </c>
      <c r="G96" s="2" t="s">
        <v>24</v>
      </c>
      <c r="H96" s="2" t="s">
        <v>187</v>
      </c>
      <c r="I96" s="2" t="s">
        <v>185</v>
      </c>
      <c r="J96" s="2" t="s">
        <v>26</v>
      </c>
      <c r="K96" s="2" t="s">
        <v>188</v>
      </c>
      <c r="L96" s="3">
        <v>46088.0</v>
      </c>
      <c r="M96" s="2">
        <v>27.49</v>
      </c>
      <c r="N96" s="2">
        <v>27.49</v>
      </c>
      <c r="O96" s="2">
        <v>24.0</v>
      </c>
      <c r="P96" s="2">
        <v>24.0</v>
      </c>
      <c r="Q96" s="2" t="s">
        <v>189</v>
      </c>
      <c r="R96" s="2" t="s">
        <v>24</v>
      </c>
      <c r="S96" s="2" t="b">
        <f>COUNTIF('Marcas Target'!A:A,dados!$E96)&gt;0</f>
        <v>0</v>
      </c>
    </row>
    <row r="97" ht="15.75" customHeight="1">
      <c r="A97" s="2" t="s">
        <v>185</v>
      </c>
      <c r="B97" s="2" t="s">
        <v>186</v>
      </c>
      <c r="C97" s="2" t="s">
        <v>21</v>
      </c>
      <c r="D97" s="2" t="s">
        <v>176</v>
      </c>
      <c r="E97" s="2" t="s">
        <v>106</v>
      </c>
      <c r="F97" s="2" t="s">
        <v>24</v>
      </c>
      <c r="G97" s="2" t="s">
        <v>24</v>
      </c>
      <c r="H97" s="2" t="s">
        <v>187</v>
      </c>
      <c r="I97" s="2" t="s">
        <v>185</v>
      </c>
      <c r="J97" s="2" t="s">
        <v>26</v>
      </c>
      <c r="K97" s="2" t="s">
        <v>188</v>
      </c>
      <c r="L97" s="3">
        <v>46087.0</v>
      </c>
      <c r="M97" s="2">
        <v>27.49</v>
      </c>
      <c r="N97" s="2">
        <v>27.49</v>
      </c>
      <c r="O97" s="2">
        <v>3.0</v>
      </c>
      <c r="P97" s="2">
        <v>2.0</v>
      </c>
      <c r="Q97" s="2" t="s">
        <v>189</v>
      </c>
      <c r="R97" s="2" t="s">
        <v>24</v>
      </c>
      <c r="S97" s="2" t="b">
        <f>COUNTIF('Marcas Target'!A:A,dados!$E97)&gt;0</f>
        <v>0</v>
      </c>
    </row>
    <row r="98" ht="15.75" customHeight="1">
      <c r="A98" s="2" t="s">
        <v>190</v>
      </c>
      <c r="B98" s="2" t="s">
        <v>191</v>
      </c>
      <c r="C98" s="2" t="s">
        <v>21</v>
      </c>
      <c r="D98" s="2" t="s">
        <v>22</v>
      </c>
      <c r="E98" s="2" t="s">
        <v>128</v>
      </c>
      <c r="F98" s="2" t="s">
        <v>24</v>
      </c>
      <c r="G98" s="2" t="s">
        <v>24</v>
      </c>
      <c r="H98" s="2" t="s">
        <v>192</v>
      </c>
      <c r="I98" s="2" t="s">
        <v>190</v>
      </c>
      <c r="J98" s="2" t="s">
        <v>26</v>
      </c>
      <c r="K98" s="2" t="s">
        <v>193</v>
      </c>
      <c r="L98" s="3">
        <v>46089.0</v>
      </c>
      <c r="M98" s="2">
        <v>30.99</v>
      </c>
      <c r="N98" s="2">
        <v>30.99</v>
      </c>
      <c r="O98" s="2">
        <v>22.0</v>
      </c>
      <c r="P98" s="2">
        <v>22.0</v>
      </c>
      <c r="Q98" s="2" t="s">
        <v>194</v>
      </c>
      <c r="R98" s="2" t="s">
        <v>24</v>
      </c>
      <c r="S98" s="2" t="b">
        <f>COUNTIF('Marcas Target'!A:A,dados!$E98)&gt;0</f>
        <v>1</v>
      </c>
    </row>
    <row r="99" ht="15.75" customHeight="1">
      <c r="A99" s="2" t="s">
        <v>190</v>
      </c>
      <c r="B99" s="2" t="s">
        <v>191</v>
      </c>
      <c r="C99" s="2" t="s">
        <v>21</v>
      </c>
      <c r="D99" s="2" t="s">
        <v>22</v>
      </c>
      <c r="E99" s="2" t="s">
        <v>128</v>
      </c>
      <c r="F99" s="2" t="s">
        <v>24</v>
      </c>
      <c r="G99" s="2" t="s">
        <v>24</v>
      </c>
      <c r="H99" s="2" t="s">
        <v>192</v>
      </c>
      <c r="I99" s="2" t="s">
        <v>190</v>
      </c>
      <c r="J99" s="2" t="s">
        <v>26</v>
      </c>
      <c r="K99" s="2" t="s">
        <v>193</v>
      </c>
      <c r="L99" s="3">
        <v>46088.0</v>
      </c>
      <c r="M99" s="2">
        <v>30.99</v>
      </c>
      <c r="N99" s="2">
        <v>30.99</v>
      </c>
      <c r="O99" s="2">
        <v>24.0</v>
      </c>
      <c r="P99" s="2">
        <v>12.0</v>
      </c>
      <c r="Q99" s="2" t="s">
        <v>194</v>
      </c>
      <c r="R99" s="2" t="s">
        <v>24</v>
      </c>
      <c r="S99" s="2" t="b">
        <f>COUNTIF('Marcas Target'!A:A,dados!$E99)&gt;0</f>
        <v>1</v>
      </c>
    </row>
    <row r="100" ht="15.75" customHeight="1">
      <c r="A100" s="2" t="s">
        <v>190</v>
      </c>
      <c r="B100" s="2" t="s">
        <v>191</v>
      </c>
      <c r="C100" s="2" t="s">
        <v>21</v>
      </c>
      <c r="D100" s="2" t="s">
        <v>22</v>
      </c>
      <c r="E100" s="2" t="s">
        <v>128</v>
      </c>
      <c r="F100" s="2" t="s">
        <v>24</v>
      </c>
      <c r="G100" s="2" t="s">
        <v>24</v>
      </c>
      <c r="H100" s="2" t="s">
        <v>192</v>
      </c>
      <c r="I100" s="2" t="s">
        <v>190</v>
      </c>
      <c r="J100" s="2" t="s">
        <v>26</v>
      </c>
      <c r="K100" s="2" t="s">
        <v>193</v>
      </c>
      <c r="L100" s="3">
        <v>46087.0</v>
      </c>
      <c r="M100" s="2">
        <v>30.99</v>
      </c>
      <c r="N100" s="2">
        <v>30.99</v>
      </c>
      <c r="O100" s="2">
        <v>3.0</v>
      </c>
      <c r="P100" s="2">
        <v>2.0</v>
      </c>
      <c r="Q100" s="2" t="s">
        <v>194</v>
      </c>
      <c r="R100" s="2" t="s">
        <v>24</v>
      </c>
      <c r="S100" s="2" t="b">
        <f>COUNTIF('Marcas Target'!A:A,dados!$E100)&gt;0</f>
        <v>1</v>
      </c>
    </row>
    <row r="101" ht="15.75" customHeight="1">
      <c r="A101" s="2" t="s">
        <v>195</v>
      </c>
      <c r="B101" s="2" t="s">
        <v>196</v>
      </c>
      <c r="C101" s="2" t="s">
        <v>24</v>
      </c>
      <c r="D101" s="2" t="s">
        <v>24</v>
      </c>
      <c r="E101" s="2" t="s">
        <v>106</v>
      </c>
      <c r="F101" s="2" t="s">
        <v>24</v>
      </c>
      <c r="G101" s="2" t="s">
        <v>24</v>
      </c>
      <c r="H101" s="2" t="s">
        <v>197</v>
      </c>
      <c r="I101" s="2" t="s">
        <v>195</v>
      </c>
      <c r="J101" s="2" t="s">
        <v>26</v>
      </c>
      <c r="K101" s="2" t="s">
        <v>198</v>
      </c>
      <c r="L101" s="3">
        <v>46089.0</v>
      </c>
      <c r="M101" s="2">
        <v>27.99</v>
      </c>
      <c r="N101" s="2">
        <v>27.99</v>
      </c>
      <c r="O101" s="2">
        <v>23.0</v>
      </c>
      <c r="P101" s="2">
        <v>22.0</v>
      </c>
      <c r="Q101" s="2" t="s">
        <v>199</v>
      </c>
      <c r="R101" s="2" t="s">
        <v>24</v>
      </c>
      <c r="S101" s="2" t="b">
        <f>COUNTIF('Marcas Target'!A:A,dados!$E101)&gt;0</f>
        <v>0</v>
      </c>
    </row>
    <row r="102" ht="15.75" customHeight="1">
      <c r="A102" s="2" t="s">
        <v>195</v>
      </c>
      <c r="B102" s="2" t="s">
        <v>196</v>
      </c>
      <c r="C102" s="2" t="s">
        <v>24</v>
      </c>
      <c r="D102" s="2" t="s">
        <v>24</v>
      </c>
      <c r="E102" s="2" t="s">
        <v>106</v>
      </c>
      <c r="F102" s="2" t="s">
        <v>24</v>
      </c>
      <c r="G102" s="2" t="s">
        <v>24</v>
      </c>
      <c r="H102" s="2" t="s">
        <v>197</v>
      </c>
      <c r="I102" s="2" t="s">
        <v>195</v>
      </c>
      <c r="J102" s="2" t="s">
        <v>26</v>
      </c>
      <c r="K102" s="2" t="s">
        <v>198</v>
      </c>
      <c r="L102" s="3">
        <v>46088.0</v>
      </c>
      <c r="M102" s="2">
        <v>27.99</v>
      </c>
      <c r="N102" s="2">
        <v>27.99</v>
      </c>
      <c r="O102" s="2">
        <v>23.0</v>
      </c>
      <c r="P102" s="2">
        <v>21.0</v>
      </c>
      <c r="Q102" s="2" t="s">
        <v>199</v>
      </c>
      <c r="R102" s="2" t="s">
        <v>24</v>
      </c>
      <c r="S102" s="2" t="b">
        <f>COUNTIF('Marcas Target'!A:A,dados!$E102)&gt;0</f>
        <v>0</v>
      </c>
    </row>
    <row r="103" ht="15.75" customHeight="1">
      <c r="A103" s="2" t="s">
        <v>195</v>
      </c>
      <c r="B103" s="2" t="s">
        <v>196</v>
      </c>
      <c r="C103" s="2" t="s">
        <v>24</v>
      </c>
      <c r="D103" s="2" t="s">
        <v>24</v>
      </c>
      <c r="E103" s="2" t="s">
        <v>106</v>
      </c>
      <c r="F103" s="2" t="s">
        <v>24</v>
      </c>
      <c r="G103" s="2" t="s">
        <v>24</v>
      </c>
      <c r="H103" s="2" t="s">
        <v>197</v>
      </c>
      <c r="I103" s="2" t="s">
        <v>195</v>
      </c>
      <c r="J103" s="2" t="s">
        <v>26</v>
      </c>
      <c r="K103" s="2" t="s">
        <v>198</v>
      </c>
      <c r="L103" s="3">
        <v>46087.0</v>
      </c>
      <c r="M103" s="2">
        <v>27.99</v>
      </c>
      <c r="N103" s="2">
        <v>27.99</v>
      </c>
      <c r="O103" s="2">
        <v>3.0</v>
      </c>
      <c r="P103" s="2">
        <v>3.0</v>
      </c>
      <c r="Q103" s="2" t="s">
        <v>199</v>
      </c>
      <c r="R103" s="2" t="s">
        <v>24</v>
      </c>
      <c r="S103" s="2" t="b">
        <f>COUNTIF('Marcas Target'!A:A,dados!$E103)&gt;0</f>
        <v>0</v>
      </c>
    </row>
    <row r="104" ht="15.75" customHeight="1">
      <c r="A104" s="2" t="s">
        <v>200</v>
      </c>
      <c r="B104" s="2" t="s">
        <v>201</v>
      </c>
      <c r="C104" s="2" t="s">
        <v>21</v>
      </c>
      <c r="D104" s="2" t="s">
        <v>22</v>
      </c>
      <c r="E104" s="2" t="s">
        <v>139</v>
      </c>
      <c r="F104" s="2" t="s">
        <v>24</v>
      </c>
      <c r="G104" s="2" t="s">
        <v>24</v>
      </c>
      <c r="H104" s="2" t="s">
        <v>202</v>
      </c>
      <c r="I104" s="2" t="s">
        <v>200</v>
      </c>
      <c r="J104" s="2" t="s">
        <v>26</v>
      </c>
      <c r="K104" s="2" t="s">
        <v>203</v>
      </c>
      <c r="L104" s="3">
        <v>46089.0</v>
      </c>
      <c r="M104" s="2">
        <v>7.99</v>
      </c>
      <c r="N104" s="2">
        <v>7.99</v>
      </c>
      <c r="O104" s="2">
        <v>22.0</v>
      </c>
      <c r="P104" s="2">
        <v>1.0</v>
      </c>
      <c r="Q104" s="2" t="s">
        <v>204</v>
      </c>
      <c r="R104" s="2" t="s">
        <v>24</v>
      </c>
      <c r="S104" s="2" t="b">
        <f>COUNTIF('Marcas Target'!A:A,dados!$E104)&gt;0</f>
        <v>0</v>
      </c>
    </row>
    <row r="105" ht="15.75" customHeight="1">
      <c r="A105" s="2" t="s">
        <v>200</v>
      </c>
      <c r="B105" s="2" t="s">
        <v>201</v>
      </c>
      <c r="C105" s="2" t="s">
        <v>21</v>
      </c>
      <c r="D105" s="2" t="s">
        <v>22</v>
      </c>
      <c r="E105" s="2" t="s">
        <v>139</v>
      </c>
      <c r="F105" s="2" t="s">
        <v>24</v>
      </c>
      <c r="G105" s="2" t="s">
        <v>24</v>
      </c>
      <c r="H105" s="2" t="s">
        <v>202</v>
      </c>
      <c r="I105" s="2" t="s">
        <v>200</v>
      </c>
      <c r="J105" s="2" t="s">
        <v>26</v>
      </c>
      <c r="K105" s="2" t="s">
        <v>203</v>
      </c>
      <c r="L105" s="3">
        <v>46088.0</v>
      </c>
      <c r="M105" s="2">
        <v>34.99</v>
      </c>
      <c r="N105" s="2">
        <v>34.99</v>
      </c>
      <c r="O105" s="2">
        <v>24.0</v>
      </c>
      <c r="P105" s="2">
        <v>3.0</v>
      </c>
      <c r="Q105" s="2" t="s">
        <v>204</v>
      </c>
      <c r="R105" s="2" t="s">
        <v>24</v>
      </c>
      <c r="S105" s="2" t="b">
        <f>COUNTIF('Marcas Target'!A:A,dados!$E105)&gt;0</f>
        <v>0</v>
      </c>
    </row>
    <row r="106" ht="15.75" customHeight="1">
      <c r="A106" s="2" t="s">
        <v>200</v>
      </c>
      <c r="B106" s="2" t="s">
        <v>201</v>
      </c>
      <c r="C106" s="2" t="s">
        <v>21</v>
      </c>
      <c r="D106" s="2" t="s">
        <v>22</v>
      </c>
      <c r="E106" s="2" t="s">
        <v>139</v>
      </c>
      <c r="F106" s="2" t="s">
        <v>24</v>
      </c>
      <c r="G106" s="2" t="s">
        <v>24</v>
      </c>
      <c r="H106" s="2" t="s">
        <v>202</v>
      </c>
      <c r="I106" s="2" t="s">
        <v>200</v>
      </c>
      <c r="J106" s="2" t="s">
        <v>26</v>
      </c>
      <c r="K106" s="2" t="s">
        <v>203</v>
      </c>
      <c r="L106" s="3">
        <v>46087.0</v>
      </c>
      <c r="M106" s="2" t="s">
        <v>24</v>
      </c>
      <c r="N106" s="2" t="s">
        <v>24</v>
      </c>
      <c r="O106" s="2">
        <v>3.0</v>
      </c>
      <c r="P106" s="2">
        <v>0.0</v>
      </c>
      <c r="Q106" s="2" t="s">
        <v>204</v>
      </c>
      <c r="R106" s="2" t="s">
        <v>24</v>
      </c>
      <c r="S106" s="2" t="b">
        <f>COUNTIF('Marcas Target'!A:A,dados!$E106)&gt;0</f>
        <v>0</v>
      </c>
    </row>
    <row r="107" ht="15.75" customHeight="1">
      <c r="A107" s="2" t="s">
        <v>205</v>
      </c>
      <c r="B107" s="2" t="s">
        <v>206</v>
      </c>
      <c r="C107" s="2" t="s">
        <v>21</v>
      </c>
      <c r="D107" s="2" t="s">
        <v>22</v>
      </c>
      <c r="E107" s="2" t="s">
        <v>128</v>
      </c>
      <c r="F107" s="2" t="s">
        <v>24</v>
      </c>
      <c r="G107" s="2" t="s">
        <v>24</v>
      </c>
      <c r="H107" s="2" t="s">
        <v>207</v>
      </c>
      <c r="I107" s="2" t="s">
        <v>205</v>
      </c>
      <c r="J107" s="2" t="s">
        <v>26</v>
      </c>
      <c r="K107" s="2" t="s">
        <v>208</v>
      </c>
      <c r="L107" s="3">
        <v>46089.0</v>
      </c>
      <c r="M107" s="2">
        <v>30.99</v>
      </c>
      <c r="N107" s="2">
        <v>30.99</v>
      </c>
      <c r="O107" s="2">
        <v>22.0</v>
      </c>
      <c r="P107" s="2">
        <v>12.0</v>
      </c>
      <c r="Q107" s="2" t="s">
        <v>209</v>
      </c>
      <c r="R107" s="2" t="s">
        <v>24</v>
      </c>
      <c r="S107" s="2" t="b">
        <f>COUNTIF('Marcas Target'!A:A,dados!$E107)&gt;0</f>
        <v>1</v>
      </c>
    </row>
    <row r="108" ht="15.75" customHeight="1">
      <c r="A108" s="2" t="s">
        <v>205</v>
      </c>
      <c r="B108" s="2" t="s">
        <v>206</v>
      </c>
      <c r="C108" s="2" t="s">
        <v>21</v>
      </c>
      <c r="D108" s="2" t="s">
        <v>22</v>
      </c>
      <c r="E108" s="2" t="s">
        <v>128</v>
      </c>
      <c r="F108" s="2" t="s">
        <v>24</v>
      </c>
      <c r="G108" s="2" t="s">
        <v>24</v>
      </c>
      <c r="H108" s="2" t="s">
        <v>207</v>
      </c>
      <c r="I108" s="2" t="s">
        <v>205</v>
      </c>
      <c r="J108" s="2" t="s">
        <v>26</v>
      </c>
      <c r="K108" s="2" t="s">
        <v>208</v>
      </c>
      <c r="L108" s="3">
        <v>46088.0</v>
      </c>
      <c r="M108" s="2">
        <v>30.99</v>
      </c>
      <c r="N108" s="2">
        <v>30.99</v>
      </c>
      <c r="O108" s="2">
        <v>24.0</v>
      </c>
      <c r="P108" s="2">
        <v>6.0</v>
      </c>
      <c r="Q108" s="2" t="s">
        <v>209</v>
      </c>
      <c r="R108" s="2" t="s">
        <v>24</v>
      </c>
      <c r="S108" s="2" t="b">
        <f>COUNTIF('Marcas Target'!A:A,dados!$E108)&gt;0</f>
        <v>1</v>
      </c>
    </row>
    <row r="109" ht="15.75" customHeight="1">
      <c r="A109" s="2" t="s">
        <v>205</v>
      </c>
      <c r="B109" s="2" t="s">
        <v>206</v>
      </c>
      <c r="C109" s="2" t="s">
        <v>21</v>
      </c>
      <c r="D109" s="2" t="s">
        <v>22</v>
      </c>
      <c r="E109" s="2" t="s">
        <v>128</v>
      </c>
      <c r="F109" s="2" t="s">
        <v>24</v>
      </c>
      <c r="G109" s="2" t="s">
        <v>24</v>
      </c>
      <c r="H109" s="2" t="s">
        <v>207</v>
      </c>
      <c r="I109" s="2" t="s">
        <v>205</v>
      </c>
      <c r="J109" s="2" t="s">
        <v>26</v>
      </c>
      <c r="K109" s="2" t="s">
        <v>208</v>
      </c>
      <c r="L109" s="3">
        <v>46087.0</v>
      </c>
      <c r="M109" s="2">
        <v>30.99</v>
      </c>
      <c r="N109" s="2">
        <v>30.99</v>
      </c>
      <c r="O109" s="2">
        <v>3.0</v>
      </c>
      <c r="P109" s="2">
        <v>2.0</v>
      </c>
      <c r="Q109" s="2" t="s">
        <v>209</v>
      </c>
      <c r="R109" s="2" t="s">
        <v>24</v>
      </c>
      <c r="S109" s="2" t="b">
        <f>COUNTIF('Marcas Target'!A:A,dados!$E109)&gt;0</f>
        <v>1</v>
      </c>
    </row>
    <row r="110" ht="15.75" customHeight="1">
      <c r="A110" s="2" t="s">
        <v>210</v>
      </c>
      <c r="B110" s="2" t="s">
        <v>211</v>
      </c>
      <c r="C110" s="2" t="s">
        <v>21</v>
      </c>
      <c r="D110" s="2" t="s">
        <v>22</v>
      </c>
      <c r="E110" s="2" t="s">
        <v>128</v>
      </c>
      <c r="F110" s="2" t="s">
        <v>24</v>
      </c>
      <c r="G110" s="2" t="s">
        <v>24</v>
      </c>
      <c r="H110" s="2" t="s">
        <v>212</v>
      </c>
      <c r="I110" s="2" t="s">
        <v>210</v>
      </c>
      <c r="J110" s="2" t="s">
        <v>26</v>
      </c>
      <c r="K110" s="2" t="s">
        <v>213</v>
      </c>
      <c r="L110" s="3">
        <v>46089.0</v>
      </c>
      <c r="M110" s="2">
        <v>30.99</v>
      </c>
      <c r="N110" s="2">
        <v>30.99</v>
      </c>
      <c r="O110" s="2">
        <v>22.0</v>
      </c>
      <c r="P110" s="2">
        <v>22.0</v>
      </c>
      <c r="Q110" s="2" t="s">
        <v>214</v>
      </c>
      <c r="R110" s="2" t="s">
        <v>24</v>
      </c>
      <c r="S110" s="2" t="b">
        <f>COUNTIF('Marcas Target'!A:A,dados!$E110)&gt;0</f>
        <v>1</v>
      </c>
    </row>
    <row r="111" ht="15.75" customHeight="1">
      <c r="A111" s="2" t="s">
        <v>210</v>
      </c>
      <c r="B111" s="2" t="s">
        <v>211</v>
      </c>
      <c r="C111" s="2" t="s">
        <v>21</v>
      </c>
      <c r="D111" s="2" t="s">
        <v>22</v>
      </c>
      <c r="E111" s="2" t="s">
        <v>128</v>
      </c>
      <c r="F111" s="2" t="s">
        <v>24</v>
      </c>
      <c r="G111" s="2" t="s">
        <v>24</v>
      </c>
      <c r="H111" s="2" t="s">
        <v>212</v>
      </c>
      <c r="I111" s="2" t="s">
        <v>210</v>
      </c>
      <c r="J111" s="2" t="s">
        <v>26</v>
      </c>
      <c r="K111" s="2" t="s">
        <v>213</v>
      </c>
      <c r="L111" s="3">
        <v>46088.0</v>
      </c>
      <c r="M111" s="2">
        <v>30.99</v>
      </c>
      <c r="N111" s="2">
        <v>30.99</v>
      </c>
      <c r="O111" s="2">
        <v>24.0</v>
      </c>
      <c r="P111" s="2">
        <v>24.0</v>
      </c>
      <c r="Q111" s="2" t="s">
        <v>214</v>
      </c>
      <c r="R111" s="2" t="s">
        <v>24</v>
      </c>
      <c r="S111" s="2" t="b">
        <f>COUNTIF('Marcas Target'!A:A,dados!$E111)&gt;0</f>
        <v>1</v>
      </c>
    </row>
    <row r="112" ht="15.75" customHeight="1">
      <c r="A112" s="2" t="s">
        <v>210</v>
      </c>
      <c r="B112" s="2" t="s">
        <v>211</v>
      </c>
      <c r="C112" s="2" t="s">
        <v>21</v>
      </c>
      <c r="D112" s="2" t="s">
        <v>22</v>
      </c>
      <c r="E112" s="2" t="s">
        <v>128</v>
      </c>
      <c r="F112" s="2" t="s">
        <v>24</v>
      </c>
      <c r="G112" s="2" t="s">
        <v>24</v>
      </c>
      <c r="H112" s="2" t="s">
        <v>212</v>
      </c>
      <c r="I112" s="2" t="s">
        <v>210</v>
      </c>
      <c r="J112" s="2" t="s">
        <v>26</v>
      </c>
      <c r="K112" s="2" t="s">
        <v>213</v>
      </c>
      <c r="L112" s="3">
        <v>46087.0</v>
      </c>
      <c r="M112" s="2">
        <v>30.99</v>
      </c>
      <c r="N112" s="2">
        <v>30.99</v>
      </c>
      <c r="O112" s="2">
        <v>3.0</v>
      </c>
      <c r="P112" s="2">
        <v>2.0</v>
      </c>
      <c r="Q112" s="2" t="s">
        <v>214</v>
      </c>
      <c r="R112" s="2" t="s">
        <v>24</v>
      </c>
      <c r="S112" s="2" t="b">
        <f>COUNTIF('Marcas Target'!A:A,dados!$E112)&gt;0</f>
        <v>1</v>
      </c>
    </row>
    <row r="113" ht="15.75" customHeight="1">
      <c r="A113" s="2" t="s">
        <v>215</v>
      </c>
      <c r="B113" s="2" t="s">
        <v>216</v>
      </c>
      <c r="C113" s="2" t="s">
        <v>21</v>
      </c>
      <c r="D113" s="2" t="s">
        <v>22</v>
      </c>
      <c r="E113" s="2" t="s">
        <v>106</v>
      </c>
      <c r="F113" s="2" t="s">
        <v>24</v>
      </c>
      <c r="G113" s="2" t="s">
        <v>24</v>
      </c>
      <c r="H113" s="2" t="s">
        <v>217</v>
      </c>
      <c r="I113" s="2" t="s">
        <v>215</v>
      </c>
      <c r="J113" s="2" t="s">
        <v>26</v>
      </c>
      <c r="K113" s="2" t="s">
        <v>218</v>
      </c>
      <c r="L113" s="3">
        <v>46089.0</v>
      </c>
      <c r="M113" s="2">
        <v>32.99</v>
      </c>
      <c r="N113" s="2">
        <v>32.99</v>
      </c>
      <c r="O113" s="2">
        <v>22.0</v>
      </c>
      <c r="P113" s="2">
        <v>22.0</v>
      </c>
      <c r="Q113" s="2" t="s">
        <v>219</v>
      </c>
      <c r="R113" s="2" t="s">
        <v>24</v>
      </c>
      <c r="S113" s="2" t="b">
        <f>COUNTIF('Marcas Target'!A:A,dados!$E113)&gt;0</f>
        <v>0</v>
      </c>
    </row>
    <row r="114" ht="15.75" customHeight="1">
      <c r="A114" s="2" t="s">
        <v>215</v>
      </c>
      <c r="B114" s="2" t="s">
        <v>216</v>
      </c>
      <c r="C114" s="2" t="s">
        <v>21</v>
      </c>
      <c r="D114" s="2" t="s">
        <v>22</v>
      </c>
      <c r="E114" s="2" t="s">
        <v>106</v>
      </c>
      <c r="F114" s="2" t="s">
        <v>24</v>
      </c>
      <c r="G114" s="2" t="s">
        <v>24</v>
      </c>
      <c r="H114" s="2" t="s">
        <v>217</v>
      </c>
      <c r="I114" s="2" t="s">
        <v>215</v>
      </c>
      <c r="J114" s="2" t="s">
        <v>26</v>
      </c>
      <c r="K114" s="2" t="s">
        <v>218</v>
      </c>
      <c r="L114" s="3">
        <v>46088.0</v>
      </c>
      <c r="M114" s="2">
        <v>32.99</v>
      </c>
      <c r="N114" s="2">
        <v>32.99</v>
      </c>
      <c r="O114" s="2">
        <v>24.0</v>
      </c>
      <c r="P114" s="2">
        <v>24.0</v>
      </c>
      <c r="Q114" s="2" t="s">
        <v>219</v>
      </c>
      <c r="R114" s="2" t="s">
        <v>24</v>
      </c>
      <c r="S114" s="2" t="b">
        <f>COUNTIF('Marcas Target'!A:A,dados!$E114)&gt;0</f>
        <v>0</v>
      </c>
    </row>
    <row r="115" ht="15.75" customHeight="1">
      <c r="A115" s="2" t="s">
        <v>215</v>
      </c>
      <c r="B115" s="2" t="s">
        <v>216</v>
      </c>
      <c r="C115" s="2" t="s">
        <v>21</v>
      </c>
      <c r="D115" s="2" t="s">
        <v>22</v>
      </c>
      <c r="E115" s="2" t="s">
        <v>106</v>
      </c>
      <c r="F115" s="2" t="s">
        <v>24</v>
      </c>
      <c r="G115" s="2" t="s">
        <v>24</v>
      </c>
      <c r="H115" s="2" t="s">
        <v>217</v>
      </c>
      <c r="I115" s="2" t="s">
        <v>215</v>
      </c>
      <c r="J115" s="2" t="s">
        <v>26</v>
      </c>
      <c r="K115" s="2" t="s">
        <v>218</v>
      </c>
      <c r="L115" s="3">
        <v>46087.0</v>
      </c>
      <c r="M115" s="2">
        <v>32.99</v>
      </c>
      <c r="N115" s="2">
        <v>32.99</v>
      </c>
      <c r="O115" s="2">
        <v>3.0</v>
      </c>
      <c r="P115" s="2">
        <v>3.0</v>
      </c>
      <c r="Q115" s="2" t="s">
        <v>219</v>
      </c>
      <c r="R115" s="2" t="s">
        <v>24</v>
      </c>
      <c r="S115" s="2" t="b">
        <f>COUNTIF('Marcas Target'!A:A,dados!$E115)&gt;0</f>
        <v>0</v>
      </c>
    </row>
    <row r="116" ht="15.75" customHeight="1">
      <c r="A116" s="2" t="s">
        <v>220</v>
      </c>
      <c r="B116" s="2" t="s">
        <v>221</v>
      </c>
      <c r="C116" s="2" t="s">
        <v>21</v>
      </c>
      <c r="D116" s="2" t="s">
        <v>22</v>
      </c>
      <c r="E116" s="2" t="s">
        <v>106</v>
      </c>
      <c r="F116" s="2" t="s">
        <v>24</v>
      </c>
      <c r="G116" s="2" t="s">
        <v>24</v>
      </c>
      <c r="H116" s="2" t="s">
        <v>222</v>
      </c>
      <c r="I116" s="2" t="s">
        <v>220</v>
      </c>
      <c r="J116" s="2" t="s">
        <v>26</v>
      </c>
      <c r="K116" s="2" t="s">
        <v>223</v>
      </c>
      <c r="L116" s="3">
        <v>46089.0</v>
      </c>
      <c r="M116" s="2">
        <v>24.99</v>
      </c>
      <c r="N116" s="2">
        <v>24.99</v>
      </c>
      <c r="O116" s="2">
        <v>22.0</v>
      </c>
      <c r="P116" s="2">
        <v>22.0</v>
      </c>
      <c r="Q116" s="2" t="s">
        <v>224</v>
      </c>
      <c r="R116" s="2" t="s">
        <v>24</v>
      </c>
      <c r="S116" s="2" t="b">
        <f>COUNTIF('Marcas Target'!A:A,dados!$E116)&gt;0</f>
        <v>0</v>
      </c>
    </row>
    <row r="117" ht="15.75" customHeight="1">
      <c r="A117" s="2" t="s">
        <v>220</v>
      </c>
      <c r="B117" s="2" t="s">
        <v>221</v>
      </c>
      <c r="C117" s="2" t="s">
        <v>21</v>
      </c>
      <c r="D117" s="2" t="s">
        <v>22</v>
      </c>
      <c r="E117" s="2" t="s">
        <v>106</v>
      </c>
      <c r="F117" s="2" t="s">
        <v>24</v>
      </c>
      <c r="G117" s="2" t="s">
        <v>24</v>
      </c>
      <c r="H117" s="2" t="s">
        <v>222</v>
      </c>
      <c r="I117" s="2" t="s">
        <v>220</v>
      </c>
      <c r="J117" s="2" t="s">
        <v>26</v>
      </c>
      <c r="K117" s="2" t="s">
        <v>223</v>
      </c>
      <c r="L117" s="3">
        <v>46088.0</v>
      </c>
      <c r="M117" s="2">
        <v>24.99</v>
      </c>
      <c r="N117" s="2">
        <v>24.99</v>
      </c>
      <c r="O117" s="2">
        <v>24.0</v>
      </c>
      <c r="P117" s="2">
        <v>24.0</v>
      </c>
      <c r="Q117" s="2" t="s">
        <v>224</v>
      </c>
      <c r="R117" s="2" t="s">
        <v>24</v>
      </c>
      <c r="S117" s="2" t="b">
        <f>COUNTIF('Marcas Target'!A:A,dados!$E117)&gt;0</f>
        <v>0</v>
      </c>
    </row>
    <row r="118" ht="15.75" customHeight="1">
      <c r="A118" s="2" t="s">
        <v>220</v>
      </c>
      <c r="B118" s="2" t="s">
        <v>221</v>
      </c>
      <c r="C118" s="2" t="s">
        <v>21</v>
      </c>
      <c r="D118" s="2" t="s">
        <v>22</v>
      </c>
      <c r="E118" s="2" t="s">
        <v>106</v>
      </c>
      <c r="F118" s="2" t="s">
        <v>24</v>
      </c>
      <c r="G118" s="2" t="s">
        <v>24</v>
      </c>
      <c r="H118" s="2" t="s">
        <v>222</v>
      </c>
      <c r="I118" s="2" t="s">
        <v>220</v>
      </c>
      <c r="J118" s="2" t="s">
        <v>26</v>
      </c>
      <c r="K118" s="2" t="s">
        <v>223</v>
      </c>
      <c r="L118" s="3">
        <v>46087.0</v>
      </c>
      <c r="M118" s="2">
        <v>24.99</v>
      </c>
      <c r="N118" s="2">
        <v>24.99</v>
      </c>
      <c r="O118" s="2">
        <v>3.0</v>
      </c>
      <c r="P118" s="2">
        <v>3.0</v>
      </c>
      <c r="Q118" s="2" t="s">
        <v>224</v>
      </c>
      <c r="R118" s="2" t="s">
        <v>24</v>
      </c>
      <c r="S118" s="2" t="b">
        <f>COUNTIF('Marcas Target'!A:A,dados!$E118)&gt;0</f>
        <v>0</v>
      </c>
    </row>
    <row r="119" ht="15.75" customHeight="1">
      <c r="A119" s="2" t="s">
        <v>225</v>
      </c>
      <c r="B119" s="2" t="s">
        <v>226</v>
      </c>
      <c r="C119" s="2" t="s">
        <v>21</v>
      </c>
      <c r="D119" s="2" t="s">
        <v>22</v>
      </c>
      <c r="E119" s="2" t="s">
        <v>227</v>
      </c>
      <c r="F119" s="2" t="s">
        <v>24</v>
      </c>
      <c r="G119" s="2" t="s">
        <v>24</v>
      </c>
      <c r="H119" s="2" t="s">
        <v>228</v>
      </c>
      <c r="I119" s="2" t="s">
        <v>225</v>
      </c>
      <c r="J119" s="2" t="s">
        <v>26</v>
      </c>
      <c r="K119" s="2" t="s">
        <v>229</v>
      </c>
      <c r="L119" s="3">
        <v>46089.0</v>
      </c>
      <c r="M119" s="2" t="s">
        <v>24</v>
      </c>
      <c r="N119" s="2" t="s">
        <v>24</v>
      </c>
      <c r="O119" s="2">
        <v>22.0</v>
      </c>
      <c r="P119" s="2">
        <v>0.0</v>
      </c>
      <c r="Q119" s="2" t="s">
        <v>230</v>
      </c>
      <c r="R119" s="2" t="s">
        <v>24</v>
      </c>
      <c r="S119" s="2" t="b">
        <f>COUNTIF('Marcas Target'!A:A,dados!$E119)&gt;0</f>
        <v>0</v>
      </c>
    </row>
    <row r="120" ht="15.75" customHeight="1">
      <c r="A120" s="2" t="s">
        <v>225</v>
      </c>
      <c r="B120" s="2" t="s">
        <v>226</v>
      </c>
      <c r="C120" s="2" t="s">
        <v>21</v>
      </c>
      <c r="D120" s="2" t="s">
        <v>22</v>
      </c>
      <c r="E120" s="2" t="s">
        <v>227</v>
      </c>
      <c r="F120" s="2" t="s">
        <v>24</v>
      </c>
      <c r="G120" s="2" t="s">
        <v>24</v>
      </c>
      <c r="H120" s="2" t="s">
        <v>228</v>
      </c>
      <c r="I120" s="2" t="s">
        <v>225</v>
      </c>
      <c r="J120" s="2" t="s">
        <v>26</v>
      </c>
      <c r="K120" s="2" t="s">
        <v>229</v>
      </c>
      <c r="L120" s="3">
        <v>46088.0</v>
      </c>
      <c r="M120" s="2" t="s">
        <v>24</v>
      </c>
      <c r="N120" s="2" t="s">
        <v>24</v>
      </c>
      <c r="O120" s="2">
        <v>24.0</v>
      </c>
      <c r="P120" s="2">
        <v>0.0</v>
      </c>
      <c r="Q120" s="2" t="s">
        <v>230</v>
      </c>
      <c r="R120" s="2" t="s">
        <v>24</v>
      </c>
      <c r="S120" s="2" t="b">
        <f>COUNTIF('Marcas Target'!A:A,dados!$E120)&gt;0</f>
        <v>0</v>
      </c>
    </row>
    <row r="121" ht="15.75" customHeight="1">
      <c r="A121" s="2" t="s">
        <v>225</v>
      </c>
      <c r="B121" s="2" t="s">
        <v>226</v>
      </c>
      <c r="C121" s="2" t="s">
        <v>21</v>
      </c>
      <c r="D121" s="2" t="s">
        <v>22</v>
      </c>
      <c r="E121" s="2" t="s">
        <v>227</v>
      </c>
      <c r="F121" s="2" t="s">
        <v>24</v>
      </c>
      <c r="G121" s="2" t="s">
        <v>24</v>
      </c>
      <c r="H121" s="2" t="s">
        <v>228</v>
      </c>
      <c r="I121" s="2" t="s">
        <v>225</v>
      </c>
      <c r="J121" s="2" t="s">
        <v>26</v>
      </c>
      <c r="K121" s="2" t="s">
        <v>229</v>
      </c>
      <c r="L121" s="3">
        <v>46087.0</v>
      </c>
      <c r="M121" s="2" t="s">
        <v>24</v>
      </c>
      <c r="N121" s="2" t="s">
        <v>24</v>
      </c>
      <c r="O121" s="2">
        <v>3.0</v>
      </c>
      <c r="P121" s="2">
        <v>0.0</v>
      </c>
      <c r="Q121" s="2" t="s">
        <v>230</v>
      </c>
      <c r="R121" s="2" t="s">
        <v>24</v>
      </c>
      <c r="S121" s="2" t="b">
        <f>COUNTIF('Marcas Target'!A:A,dados!$E121)&gt;0</f>
        <v>0</v>
      </c>
    </row>
    <row r="122" ht="15.75" customHeight="1">
      <c r="A122" s="2" t="s">
        <v>231</v>
      </c>
      <c r="B122" s="2" t="s">
        <v>232</v>
      </c>
      <c r="C122" s="2" t="s">
        <v>21</v>
      </c>
      <c r="D122" s="2" t="s">
        <v>22</v>
      </c>
      <c r="E122" s="2" t="s">
        <v>227</v>
      </c>
      <c r="F122" s="2" t="s">
        <v>24</v>
      </c>
      <c r="G122" s="2" t="s">
        <v>24</v>
      </c>
      <c r="H122" s="2" t="s">
        <v>233</v>
      </c>
      <c r="I122" s="2" t="s">
        <v>231</v>
      </c>
      <c r="J122" s="2" t="s">
        <v>26</v>
      </c>
      <c r="K122" s="2" t="s">
        <v>234</v>
      </c>
      <c r="L122" s="3">
        <v>46089.0</v>
      </c>
      <c r="M122" s="2">
        <v>26.99</v>
      </c>
      <c r="N122" s="2">
        <v>26.99</v>
      </c>
      <c r="O122" s="2">
        <v>22.0</v>
      </c>
      <c r="P122" s="2">
        <v>22.0</v>
      </c>
      <c r="Q122" s="2" t="s">
        <v>235</v>
      </c>
      <c r="R122" s="2" t="s">
        <v>24</v>
      </c>
      <c r="S122" s="2" t="b">
        <f>COUNTIF('Marcas Target'!A:A,dados!$E122)&gt;0</f>
        <v>0</v>
      </c>
    </row>
    <row r="123" ht="15.75" customHeight="1">
      <c r="A123" s="2" t="s">
        <v>231</v>
      </c>
      <c r="B123" s="2" t="s">
        <v>232</v>
      </c>
      <c r="C123" s="2" t="s">
        <v>21</v>
      </c>
      <c r="D123" s="2" t="s">
        <v>22</v>
      </c>
      <c r="E123" s="2" t="s">
        <v>227</v>
      </c>
      <c r="F123" s="2" t="s">
        <v>24</v>
      </c>
      <c r="G123" s="2" t="s">
        <v>24</v>
      </c>
      <c r="H123" s="2" t="s">
        <v>233</v>
      </c>
      <c r="I123" s="2" t="s">
        <v>231</v>
      </c>
      <c r="J123" s="2" t="s">
        <v>26</v>
      </c>
      <c r="K123" s="2" t="s">
        <v>234</v>
      </c>
      <c r="L123" s="3">
        <v>46088.0</v>
      </c>
      <c r="M123" s="2">
        <v>26.99</v>
      </c>
      <c r="N123" s="2">
        <v>26.99</v>
      </c>
      <c r="O123" s="2">
        <v>24.0</v>
      </c>
      <c r="P123" s="2">
        <v>24.0</v>
      </c>
      <c r="Q123" s="2" t="s">
        <v>235</v>
      </c>
      <c r="R123" s="2" t="s">
        <v>24</v>
      </c>
      <c r="S123" s="2" t="b">
        <f>COUNTIF('Marcas Target'!A:A,dados!$E123)&gt;0</f>
        <v>0</v>
      </c>
    </row>
    <row r="124" ht="15.75" customHeight="1">
      <c r="A124" s="2" t="s">
        <v>231</v>
      </c>
      <c r="B124" s="2" t="s">
        <v>232</v>
      </c>
      <c r="C124" s="2" t="s">
        <v>21</v>
      </c>
      <c r="D124" s="2" t="s">
        <v>22</v>
      </c>
      <c r="E124" s="2" t="s">
        <v>227</v>
      </c>
      <c r="F124" s="2" t="s">
        <v>24</v>
      </c>
      <c r="G124" s="2" t="s">
        <v>24</v>
      </c>
      <c r="H124" s="2" t="s">
        <v>233</v>
      </c>
      <c r="I124" s="2" t="s">
        <v>231</v>
      </c>
      <c r="J124" s="2" t="s">
        <v>26</v>
      </c>
      <c r="K124" s="2" t="s">
        <v>234</v>
      </c>
      <c r="L124" s="3">
        <v>46087.0</v>
      </c>
      <c r="M124" s="2">
        <v>26.99</v>
      </c>
      <c r="N124" s="2">
        <v>26.99</v>
      </c>
      <c r="O124" s="2">
        <v>3.0</v>
      </c>
      <c r="P124" s="2">
        <v>3.0</v>
      </c>
      <c r="Q124" s="2" t="s">
        <v>235</v>
      </c>
      <c r="R124" s="2" t="s">
        <v>24</v>
      </c>
      <c r="S124" s="2" t="b">
        <f>COUNTIF('Marcas Target'!A:A,dados!$E124)&gt;0</f>
        <v>0</v>
      </c>
    </row>
    <row r="125" ht="15.75" customHeight="1">
      <c r="A125" s="2" t="s">
        <v>236</v>
      </c>
      <c r="B125" s="2" t="s">
        <v>237</v>
      </c>
      <c r="C125" s="2" t="s">
        <v>21</v>
      </c>
      <c r="D125" s="2" t="s">
        <v>22</v>
      </c>
      <c r="E125" s="2" t="s">
        <v>145</v>
      </c>
      <c r="F125" s="2" t="s">
        <v>24</v>
      </c>
      <c r="G125" s="2" t="s">
        <v>24</v>
      </c>
      <c r="H125" s="2" t="s">
        <v>238</v>
      </c>
      <c r="I125" s="2" t="s">
        <v>236</v>
      </c>
      <c r="J125" s="2" t="s">
        <v>26</v>
      </c>
      <c r="K125" s="2" t="s">
        <v>239</v>
      </c>
      <c r="L125" s="3">
        <v>46089.0</v>
      </c>
      <c r="M125" s="2">
        <v>33.99</v>
      </c>
      <c r="N125" s="2">
        <v>33.99</v>
      </c>
      <c r="O125" s="2">
        <v>22.0</v>
      </c>
      <c r="P125" s="2">
        <v>22.0</v>
      </c>
      <c r="Q125" s="2" t="s">
        <v>240</v>
      </c>
      <c r="R125" s="2" t="s">
        <v>24</v>
      </c>
      <c r="S125" s="2" t="b">
        <f>COUNTIF('Marcas Target'!A:A,dados!$E125)&gt;0</f>
        <v>1</v>
      </c>
    </row>
    <row r="126" ht="15.75" customHeight="1">
      <c r="A126" s="2" t="s">
        <v>236</v>
      </c>
      <c r="B126" s="2" t="s">
        <v>237</v>
      </c>
      <c r="C126" s="2" t="s">
        <v>21</v>
      </c>
      <c r="D126" s="2" t="s">
        <v>22</v>
      </c>
      <c r="E126" s="2" t="s">
        <v>145</v>
      </c>
      <c r="F126" s="2" t="s">
        <v>24</v>
      </c>
      <c r="G126" s="2" t="s">
        <v>24</v>
      </c>
      <c r="H126" s="2" t="s">
        <v>238</v>
      </c>
      <c r="I126" s="2" t="s">
        <v>236</v>
      </c>
      <c r="J126" s="2" t="s">
        <v>26</v>
      </c>
      <c r="K126" s="2" t="s">
        <v>239</v>
      </c>
      <c r="L126" s="3">
        <v>46088.0</v>
      </c>
      <c r="M126" s="2">
        <v>33.99</v>
      </c>
      <c r="N126" s="2">
        <v>33.99</v>
      </c>
      <c r="O126" s="2">
        <v>23.0</v>
      </c>
      <c r="P126" s="2">
        <v>22.0</v>
      </c>
      <c r="Q126" s="2" t="s">
        <v>240</v>
      </c>
      <c r="R126" s="2" t="s">
        <v>24</v>
      </c>
      <c r="S126" s="2" t="b">
        <f>COUNTIF('Marcas Target'!A:A,dados!$E126)&gt;0</f>
        <v>1</v>
      </c>
    </row>
    <row r="127" ht="15.75" customHeight="1">
      <c r="A127" s="2" t="s">
        <v>236</v>
      </c>
      <c r="B127" s="2" t="s">
        <v>237</v>
      </c>
      <c r="C127" s="2" t="s">
        <v>21</v>
      </c>
      <c r="D127" s="2" t="s">
        <v>22</v>
      </c>
      <c r="E127" s="2" t="s">
        <v>145</v>
      </c>
      <c r="F127" s="2" t="s">
        <v>24</v>
      </c>
      <c r="G127" s="2" t="s">
        <v>24</v>
      </c>
      <c r="H127" s="2" t="s">
        <v>238</v>
      </c>
      <c r="I127" s="2" t="s">
        <v>236</v>
      </c>
      <c r="J127" s="2" t="s">
        <v>26</v>
      </c>
      <c r="K127" s="2" t="s">
        <v>239</v>
      </c>
      <c r="L127" s="3">
        <v>46087.0</v>
      </c>
      <c r="M127" s="2">
        <v>33.99</v>
      </c>
      <c r="N127" s="2">
        <v>33.99</v>
      </c>
      <c r="O127" s="2">
        <v>3.0</v>
      </c>
      <c r="P127" s="2">
        <v>2.0</v>
      </c>
      <c r="Q127" s="2" t="s">
        <v>240</v>
      </c>
      <c r="R127" s="2" t="s">
        <v>24</v>
      </c>
      <c r="S127" s="2" t="b">
        <f>COUNTIF('Marcas Target'!A:A,dados!$E127)&gt;0</f>
        <v>1</v>
      </c>
    </row>
    <row r="128" ht="15.75" customHeight="1">
      <c r="A128" s="2" t="s">
        <v>241</v>
      </c>
      <c r="B128" s="2" t="s">
        <v>242</v>
      </c>
      <c r="C128" s="2" t="s">
        <v>24</v>
      </c>
      <c r="D128" s="2" t="s">
        <v>24</v>
      </c>
      <c r="E128" s="2" t="s">
        <v>117</v>
      </c>
      <c r="F128" s="2" t="s">
        <v>24</v>
      </c>
      <c r="G128" s="2" t="s">
        <v>24</v>
      </c>
      <c r="H128" s="2" t="s">
        <v>243</v>
      </c>
      <c r="I128" s="2" t="s">
        <v>241</v>
      </c>
      <c r="J128" s="2" t="s">
        <v>26</v>
      </c>
      <c r="K128" s="2" t="s">
        <v>244</v>
      </c>
      <c r="L128" s="3">
        <v>46089.0</v>
      </c>
      <c r="M128" s="2">
        <v>21.99</v>
      </c>
      <c r="N128" s="2">
        <v>21.99</v>
      </c>
      <c r="O128" s="2">
        <v>22.0</v>
      </c>
      <c r="P128" s="2">
        <v>21.0</v>
      </c>
      <c r="Q128" s="2" t="s">
        <v>245</v>
      </c>
      <c r="R128" s="2" t="s">
        <v>24</v>
      </c>
      <c r="S128" s="2" t="b">
        <f>COUNTIF('Marcas Target'!A:A,dados!$E128)&gt;0</f>
        <v>0</v>
      </c>
    </row>
    <row r="129" ht="15.75" customHeight="1">
      <c r="A129" s="2" t="s">
        <v>241</v>
      </c>
      <c r="B129" s="2" t="s">
        <v>242</v>
      </c>
      <c r="C129" s="2" t="s">
        <v>24</v>
      </c>
      <c r="D129" s="2" t="s">
        <v>24</v>
      </c>
      <c r="E129" s="2" t="s">
        <v>117</v>
      </c>
      <c r="F129" s="2" t="s">
        <v>24</v>
      </c>
      <c r="G129" s="2" t="s">
        <v>24</v>
      </c>
      <c r="H129" s="2" t="s">
        <v>243</v>
      </c>
      <c r="I129" s="2" t="s">
        <v>241</v>
      </c>
      <c r="J129" s="2" t="s">
        <v>26</v>
      </c>
      <c r="K129" s="2" t="s">
        <v>244</v>
      </c>
      <c r="L129" s="3">
        <v>46088.0</v>
      </c>
      <c r="M129" s="2">
        <v>21.99</v>
      </c>
      <c r="N129" s="2">
        <v>21.99</v>
      </c>
      <c r="O129" s="2">
        <v>24.0</v>
      </c>
      <c r="P129" s="2">
        <v>19.0</v>
      </c>
      <c r="Q129" s="2" t="s">
        <v>245</v>
      </c>
      <c r="R129" s="2" t="s">
        <v>24</v>
      </c>
      <c r="S129" s="2" t="b">
        <f>COUNTIF('Marcas Target'!A:A,dados!$E129)&gt;0</f>
        <v>0</v>
      </c>
    </row>
    <row r="130" ht="15.75" customHeight="1">
      <c r="A130" s="2" t="s">
        <v>241</v>
      </c>
      <c r="B130" s="2" t="s">
        <v>242</v>
      </c>
      <c r="C130" s="2" t="s">
        <v>24</v>
      </c>
      <c r="D130" s="2" t="s">
        <v>24</v>
      </c>
      <c r="E130" s="2" t="s">
        <v>117</v>
      </c>
      <c r="F130" s="2" t="s">
        <v>24</v>
      </c>
      <c r="G130" s="2" t="s">
        <v>24</v>
      </c>
      <c r="H130" s="2" t="s">
        <v>243</v>
      </c>
      <c r="I130" s="2" t="s">
        <v>241</v>
      </c>
      <c r="J130" s="2" t="s">
        <v>26</v>
      </c>
      <c r="K130" s="2" t="s">
        <v>244</v>
      </c>
      <c r="L130" s="3">
        <v>46087.0</v>
      </c>
      <c r="M130" s="2">
        <v>21.99</v>
      </c>
      <c r="N130" s="2">
        <v>21.99</v>
      </c>
      <c r="O130" s="2">
        <v>3.0</v>
      </c>
      <c r="P130" s="2">
        <v>1.0</v>
      </c>
      <c r="Q130" s="2" t="s">
        <v>245</v>
      </c>
      <c r="R130" s="2" t="s">
        <v>24</v>
      </c>
      <c r="S130" s="2" t="b">
        <f>COUNTIF('Marcas Target'!A:A,dados!$E130)&gt;0</f>
        <v>0</v>
      </c>
    </row>
    <row r="131" ht="15.75" customHeight="1">
      <c r="A131" s="2" t="s">
        <v>246</v>
      </c>
      <c r="B131" s="2" t="s">
        <v>247</v>
      </c>
      <c r="C131" s="2" t="s">
        <v>24</v>
      </c>
      <c r="D131" s="2" t="s">
        <v>24</v>
      </c>
      <c r="E131" s="2" t="s">
        <v>227</v>
      </c>
      <c r="F131" s="2" t="s">
        <v>24</v>
      </c>
      <c r="G131" s="2" t="s">
        <v>24</v>
      </c>
      <c r="H131" s="2" t="s">
        <v>248</v>
      </c>
      <c r="I131" s="2" t="s">
        <v>246</v>
      </c>
      <c r="J131" s="2" t="s">
        <v>26</v>
      </c>
      <c r="K131" s="2" t="s">
        <v>249</v>
      </c>
      <c r="L131" s="3">
        <v>46089.0</v>
      </c>
      <c r="M131" s="2">
        <v>35.99</v>
      </c>
      <c r="N131" s="2">
        <v>35.99</v>
      </c>
      <c r="O131" s="2">
        <v>22.0</v>
      </c>
      <c r="P131" s="2">
        <v>21.0</v>
      </c>
      <c r="Q131" s="2" t="s">
        <v>250</v>
      </c>
      <c r="R131" s="2" t="s">
        <v>24</v>
      </c>
      <c r="S131" s="2" t="b">
        <f>COUNTIF('Marcas Target'!A:A,dados!$E131)&gt;0</f>
        <v>0</v>
      </c>
    </row>
    <row r="132" ht="15.75" customHeight="1">
      <c r="A132" s="2" t="s">
        <v>246</v>
      </c>
      <c r="B132" s="2" t="s">
        <v>247</v>
      </c>
      <c r="C132" s="2" t="s">
        <v>24</v>
      </c>
      <c r="D132" s="2" t="s">
        <v>24</v>
      </c>
      <c r="E132" s="2" t="s">
        <v>227</v>
      </c>
      <c r="F132" s="2" t="s">
        <v>24</v>
      </c>
      <c r="G132" s="2" t="s">
        <v>24</v>
      </c>
      <c r="H132" s="2" t="s">
        <v>248</v>
      </c>
      <c r="I132" s="2" t="s">
        <v>246</v>
      </c>
      <c r="J132" s="2" t="s">
        <v>26</v>
      </c>
      <c r="K132" s="2" t="s">
        <v>249</v>
      </c>
      <c r="L132" s="3">
        <v>46088.0</v>
      </c>
      <c r="M132" s="2">
        <v>35.99</v>
      </c>
      <c r="N132" s="2">
        <v>35.99</v>
      </c>
      <c r="O132" s="2">
        <v>24.0</v>
      </c>
      <c r="P132" s="2">
        <v>24.0</v>
      </c>
      <c r="Q132" s="2" t="s">
        <v>250</v>
      </c>
      <c r="R132" s="2" t="s">
        <v>24</v>
      </c>
      <c r="S132" s="2" t="b">
        <f>COUNTIF('Marcas Target'!A:A,dados!$E132)&gt;0</f>
        <v>0</v>
      </c>
    </row>
    <row r="133" ht="15.75" customHeight="1">
      <c r="A133" s="2" t="s">
        <v>246</v>
      </c>
      <c r="B133" s="2" t="s">
        <v>247</v>
      </c>
      <c r="C133" s="2" t="s">
        <v>24</v>
      </c>
      <c r="D133" s="2" t="s">
        <v>24</v>
      </c>
      <c r="E133" s="2" t="s">
        <v>227</v>
      </c>
      <c r="F133" s="2" t="s">
        <v>24</v>
      </c>
      <c r="G133" s="2" t="s">
        <v>24</v>
      </c>
      <c r="H133" s="2" t="s">
        <v>248</v>
      </c>
      <c r="I133" s="2" t="s">
        <v>246</v>
      </c>
      <c r="J133" s="2" t="s">
        <v>26</v>
      </c>
      <c r="K133" s="2" t="s">
        <v>249</v>
      </c>
      <c r="L133" s="3">
        <v>46087.0</v>
      </c>
      <c r="M133" s="2">
        <v>35.99</v>
      </c>
      <c r="N133" s="2">
        <v>35.99</v>
      </c>
      <c r="O133" s="2">
        <v>3.0</v>
      </c>
      <c r="P133" s="2">
        <v>3.0</v>
      </c>
      <c r="Q133" s="2" t="s">
        <v>250</v>
      </c>
      <c r="R133" s="2" t="s">
        <v>24</v>
      </c>
      <c r="S133" s="2" t="b">
        <f>COUNTIF('Marcas Target'!A:A,dados!$E133)&gt;0</f>
        <v>0</v>
      </c>
    </row>
    <row r="134" ht="15.75" customHeight="1">
      <c r="A134" s="2" t="s">
        <v>251</v>
      </c>
      <c r="B134" s="2" t="s">
        <v>252</v>
      </c>
      <c r="C134" s="2" t="s">
        <v>24</v>
      </c>
      <c r="D134" s="2" t="s">
        <v>24</v>
      </c>
      <c r="E134" s="2" t="s">
        <v>106</v>
      </c>
      <c r="F134" s="2" t="s">
        <v>24</v>
      </c>
      <c r="G134" s="2" t="s">
        <v>24</v>
      </c>
      <c r="H134" s="2" t="s">
        <v>253</v>
      </c>
      <c r="I134" s="2" t="s">
        <v>251</v>
      </c>
      <c r="J134" s="2" t="s">
        <v>26</v>
      </c>
      <c r="K134" s="2" t="s">
        <v>254</v>
      </c>
      <c r="L134" s="3">
        <v>46089.0</v>
      </c>
      <c r="M134" s="2">
        <v>27.94</v>
      </c>
      <c r="N134" s="2">
        <v>27.94</v>
      </c>
      <c r="O134" s="2">
        <v>22.0</v>
      </c>
      <c r="P134" s="2">
        <v>7.0</v>
      </c>
      <c r="Q134" s="2" t="s">
        <v>255</v>
      </c>
      <c r="R134" s="2" t="s">
        <v>24</v>
      </c>
      <c r="S134" s="2" t="b">
        <f>COUNTIF('Marcas Target'!A:A,dados!$E134)&gt;0</f>
        <v>0</v>
      </c>
    </row>
    <row r="135" ht="15.75" customHeight="1">
      <c r="A135" s="2" t="s">
        <v>251</v>
      </c>
      <c r="B135" s="2" t="s">
        <v>252</v>
      </c>
      <c r="C135" s="2" t="s">
        <v>24</v>
      </c>
      <c r="D135" s="2" t="s">
        <v>24</v>
      </c>
      <c r="E135" s="2" t="s">
        <v>106</v>
      </c>
      <c r="F135" s="2" t="s">
        <v>24</v>
      </c>
      <c r="G135" s="2" t="s">
        <v>24</v>
      </c>
      <c r="H135" s="2" t="s">
        <v>253</v>
      </c>
      <c r="I135" s="2" t="s">
        <v>251</v>
      </c>
      <c r="J135" s="2" t="s">
        <v>26</v>
      </c>
      <c r="K135" s="2" t="s">
        <v>254</v>
      </c>
      <c r="L135" s="3">
        <v>46088.0</v>
      </c>
      <c r="M135" s="2">
        <v>37.97</v>
      </c>
      <c r="N135" s="2">
        <v>37.97</v>
      </c>
      <c r="O135" s="2">
        <v>24.0</v>
      </c>
      <c r="P135" s="2">
        <v>6.0</v>
      </c>
      <c r="Q135" s="2" t="s">
        <v>255</v>
      </c>
      <c r="R135" s="2" t="s">
        <v>24</v>
      </c>
      <c r="S135" s="2" t="b">
        <f>COUNTIF('Marcas Target'!A:A,dados!$E135)&gt;0</f>
        <v>0</v>
      </c>
    </row>
    <row r="136" ht="15.75" customHeight="1">
      <c r="A136" s="2" t="s">
        <v>251</v>
      </c>
      <c r="B136" s="2" t="s">
        <v>252</v>
      </c>
      <c r="C136" s="2" t="s">
        <v>24</v>
      </c>
      <c r="D136" s="2" t="s">
        <v>24</v>
      </c>
      <c r="E136" s="2" t="s">
        <v>106</v>
      </c>
      <c r="F136" s="2" t="s">
        <v>24</v>
      </c>
      <c r="G136" s="2" t="s">
        <v>24</v>
      </c>
      <c r="H136" s="2" t="s">
        <v>253</v>
      </c>
      <c r="I136" s="2" t="s">
        <v>251</v>
      </c>
      <c r="J136" s="2" t="s">
        <v>26</v>
      </c>
      <c r="K136" s="2" t="s">
        <v>254</v>
      </c>
      <c r="L136" s="3">
        <v>46087.0</v>
      </c>
      <c r="M136" s="2" t="s">
        <v>24</v>
      </c>
      <c r="N136" s="2" t="s">
        <v>24</v>
      </c>
      <c r="O136" s="2">
        <v>3.0</v>
      </c>
      <c r="P136" s="2">
        <v>0.0</v>
      </c>
      <c r="Q136" s="2" t="s">
        <v>255</v>
      </c>
      <c r="R136" s="2" t="s">
        <v>24</v>
      </c>
      <c r="S136" s="2" t="b">
        <f>COUNTIF('Marcas Target'!A:A,dados!$E136)&gt;0</f>
        <v>0</v>
      </c>
    </row>
    <row r="137" ht="15.75" customHeight="1">
      <c r="A137" s="2" t="s">
        <v>256</v>
      </c>
      <c r="B137" s="2" t="s">
        <v>257</v>
      </c>
      <c r="C137" s="2" t="s">
        <v>21</v>
      </c>
      <c r="D137" s="2" t="s">
        <v>22</v>
      </c>
      <c r="E137" s="2" t="s">
        <v>106</v>
      </c>
      <c r="F137" s="2" t="s">
        <v>24</v>
      </c>
      <c r="G137" s="2" t="s">
        <v>24</v>
      </c>
      <c r="H137" s="2" t="s">
        <v>258</v>
      </c>
      <c r="I137" s="2" t="s">
        <v>256</v>
      </c>
      <c r="J137" s="2" t="s">
        <v>26</v>
      </c>
      <c r="K137" s="2" t="s">
        <v>259</v>
      </c>
      <c r="L137" s="3">
        <v>46089.0</v>
      </c>
      <c r="M137" s="2">
        <v>36.99</v>
      </c>
      <c r="N137" s="2">
        <v>36.99</v>
      </c>
      <c r="O137" s="2">
        <v>22.0</v>
      </c>
      <c r="P137" s="2">
        <v>22.0</v>
      </c>
      <c r="Q137" s="2" t="s">
        <v>260</v>
      </c>
      <c r="R137" s="2" t="s">
        <v>24</v>
      </c>
      <c r="S137" s="2" t="b">
        <f>COUNTIF('Marcas Target'!A:A,dados!$E137)&gt;0</f>
        <v>0</v>
      </c>
    </row>
    <row r="138" ht="15.75" customHeight="1">
      <c r="A138" s="2" t="s">
        <v>256</v>
      </c>
      <c r="B138" s="2" t="s">
        <v>257</v>
      </c>
      <c r="C138" s="2" t="s">
        <v>21</v>
      </c>
      <c r="D138" s="2" t="s">
        <v>22</v>
      </c>
      <c r="E138" s="2" t="s">
        <v>106</v>
      </c>
      <c r="F138" s="2" t="s">
        <v>24</v>
      </c>
      <c r="G138" s="2" t="s">
        <v>24</v>
      </c>
      <c r="H138" s="2" t="s">
        <v>258</v>
      </c>
      <c r="I138" s="2" t="s">
        <v>256</v>
      </c>
      <c r="J138" s="2" t="s">
        <v>26</v>
      </c>
      <c r="K138" s="2" t="s">
        <v>259</v>
      </c>
      <c r="L138" s="3">
        <v>46088.0</v>
      </c>
      <c r="M138" s="2">
        <v>36.99</v>
      </c>
      <c r="N138" s="2">
        <v>36.99</v>
      </c>
      <c r="O138" s="2">
        <v>24.0</v>
      </c>
      <c r="P138" s="2">
        <v>23.0</v>
      </c>
      <c r="Q138" s="2" t="s">
        <v>260</v>
      </c>
      <c r="R138" s="2" t="s">
        <v>24</v>
      </c>
      <c r="S138" s="2" t="b">
        <f>COUNTIF('Marcas Target'!A:A,dados!$E138)&gt;0</f>
        <v>0</v>
      </c>
    </row>
    <row r="139" ht="15.75" customHeight="1">
      <c r="A139" s="2" t="s">
        <v>256</v>
      </c>
      <c r="B139" s="2" t="s">
        <v>257</v>
      </c>
      <c r="C139" s="2" t="s">
        <v>21</v>
      </c>
      <c r="D139" s="2" t="s">
        <v>22</v>
      </c>
      <c r="E139" s="2" t="s">
        <v>106</v>
      </c>
      <c r="F139" s="2" t="s">
        <v>24</v>
      </c>
      <c r="G139" s="2" t="s">
        <v>24</v>
      </c>
      <c r="H139" s="2" t="s">
        <v>258</v>
      </c>
      <c r="I139" s="2" t="s">
        <v>256</v>
      </c>
      <c r="J139" s="2" t="s">
        <v>26</v>
      </c>
      <c r="K139" s="2" t="s">
        <v>259</v>
      </c>
      <c r="L139" s="3">
        <v>46087.0</v>
      </c>
      <c r="M139" s="2">
        <v>36.99</v>
      </c>
      <c r="N139" s="2">
        <v>36.99</v>
      </c>
      <c r="O139" s="2">
        <v>3.0</v>
      </c>
      <c r="P139" s="2">
        <v>3.0</v>
      </c>
      <c r="Q139" s="2" t="s">
        <v>260</v>
      </c>
      <c r="R139" s="2" t="s">
        <v>24</v>
      </c>
      <c r="S139" s="2" t="b">
        <f>COUNTIF('Marcas Target'!A:A,dados!$E139)&gt;0</f>
        <v>0</v>
      </c>
    </row>
    <row r="140" ht="15.75" customHeight="1">
      <c r="A140" s="2" t="s">
        <v>261</v>
      </c>
      <c r="B140" s="2" t="s">
        <v>262</v>
      </c>
      <c r="C140" s="2" t="s">
        <v>24</v>
      </c>
      <c r="D140" s="2" t="s">
        <v>24</v>
      </c>
      <c r="E140" s="2" t="s">
        <v>106</v>
      </c>
      <c r="F140" s="2" t="s">
        <v>24</v>
      </c>
      <c r="G140" s="2" t="s">
        <v>24</v>
      </c>
      <c r="H140" s="2" t="s">
        <v>263</v>
      </c>
      <c r="I140" s="2" t="s">
        <v>261</v>
      </c>
      <c r="J140" s="2" t="s">
        <v>26</v>
      </c>
      <c r="K140" s="2" t="s">
        <v>264</v>
      </c>
      <c r="L140" s="3">
        <v>46089.0</v>
      </c>
      <c r="M140" s="2" t="s">
        <v>24</v>
      </c>
      <c r="N140" s="2" t="s">
        <v>24</v>
      </c>
      <c r="O140" s="2">
        <v>23.0</v>
      </c>
      <c r="P140" s="2">
        <v>0.0</v>
      </c>
      <c r="Q140" s="2" t="s">
        <v>265</v>
      </c>
      <c r="R140" s="2" t="s">
        <v>24</v>
      </c>
      <c r="S140" s="2" t="b">
        <f>COUNTIF('Marcas Target'!A:A,dados!$E140)&gt;0</f>
        <v>0</v>
      </c>
    </row>
    <row r="141" ht="15.75" customHeight="1">
      <c r="A141" s="2" t="s">
        <v>261</v>
      </c>
      <c r="B141" s="2" t="s">
        <v>262</v>
      </c>
      <c r="C141" s="2" t="s">
        <v>24</v>
      </c>
      <c r="D141" s="2" t="s">
        <v>24</v>
      </c>
      <c r="E141" s="2" t="s">
        <v>106</v>
      </c>
      <c r="F141" s="2" t="s">
        <v>24</v>
      </c>
      <c r="G141" s="2" t="s">
        <v>24</v>
      </c>
      <c r="H141" s="2" t="s">
        <v>263</v>
      </c>
      <c r="I141" s="2" t="s">
        <v>261</v>
      </c>
      <c r="J141" s="2" t="s">
        <v>26</v>
      </c>
      <c r="K141" s="2" t="s">
        <v>264</v>
      </c>
      <c r="L141" s="3">
        <v>46088.0</v>
      </c>
      <c r="M141" s="2">
        <v>12.49</v>
      </c>
      <c r="N141" s="2">
        <v>12.49</v>
      </c>
      <c r="O141" s="2">
        <v>24.0</v>
      </c>
      <c r="P141" s="2">
        <v>1.0</v>
      </c>
      <c r="Q141" s="2" t="s">
        <v>265</v>
      </c>
      <c r="R141" s="2" t="s">
        <v>24</v>
      </c>
      <c r="S141" s="2" t="b">
        <f>COUNTIF('Marcas Target'!A:A,dados!$E141)&gt;0</f>
        <v>0</v>
      </c>
    </row>
    <row r="142" ht="15.75" customHeight="1">
      <c r="A142" s="2" t="s">
        <v>261</v>
      </c>
      <c r="B142" s="2" t="s">
        <v>262</v>
      </c>
      <c r="C142" s="2" t="s">
        <v>24</v>
      </c>
      <c r="D142" s="2" t="s">
        <v>24</v>
      </c>
      <c r="E142" s="2" t="s">
        <v>106</v>
      </c>
      <c r="F142" s="2" t="s">
        <v>24</v>
      </c>
      <c r="G142" s="2" t="s">
        <v>24</v>
      </c>
      <c r="H142" s="2" t="s">
        <v>263</v>
      </c>
      <c r="I142" s="2" t="s">
        <v>261</v>
      </c>
      <c r="J142" s="2" t="s">
        <v>26</v>
      </c>
      <c r="K142" s="2" t="s">
        <v>264</v>
      </c>
      <c r="L142" s="3">
        <v>46087.0</v>
      </c>
      <c r="M142" s="2" t="s">
        <v>24</v>
      </c>
      <c r="N142" s="2" t="s">
        <v>24</v>
      </c>
      <c r="O142" s="2">
        <v>3.0</v>
      </c>
      <c r="P142" s="2">
        <v>0.0</v>
      </c>
      <c r="Q142" s="2" t="s">
        <v>265</v>
      </c>
      <c r="R142" s="2" t="s">
        <v>24</v>
      </c>
      <c r="S142" s="2" t="b">
        <f>COUNTIF('Marcas Target'!A:A,dados!$E142)&gt;0</f>
        <v>0</v>
      </c>
    </row>
    <row r="143" ht="15.75" customHeight="1">
      <c r="A143" s="2" t="s">
        <v>266</v>
      </c>
      <c r="B143" s="2" t="s">
        <v>267</v>
      </c>
      <c r="C143" s="2" t="s">
        <v>21</v>
      </c>
      <c r="D143" s="2" t="s">
        <v>22</v>
      </c>
      <c r="E143" s="2" t="s">
        <v>268</v>
      </c>
      <c r="F143" s="2" t="s">
        <v>24</v>
      </c>
      <c r="G143" s="2" t="s">
        <v>24</v>
      </c>
      <c r="H143" s="2" t="s">
        <v>269</v>
      </c>
      <c r="I143" s="2" t="s">
        <v>266</v>
      </c>
      <c r="J143" s="2" t="s">
        <v>26</v>
      </c>
      <c r="K143" s="2" t="s">
        <v>270</v>
      </c>
      <c r="L143" s="3">
        <v>46089.0</v>
      </c>
      <c r="M143" s="2">
        <v>26.99</v>
      </c>
      <c r="N143" s="2">
        <v>26.99</v>
      </c>
      <c r="O143" s="2">
        <v>22.0</v>
      </c>
      <c r="P143" s="2">
        <v>22.0</v>
      </c>
      <c r="Q143" s="2" t="s">
        <v>271</v>
      </c>
      <c r="R143" s="2" t="s">
        <v>24</v>
      </c>
      <c r="S143" s="2" t="b">
        <f>COUNTIF('Marcas Target'!A:A,dados!$E143)&gt;0</f>
        <v>0</v>
      </c>
    </row>
    <row r="144" ht="15.75" customHeight="1">
      <c r="A144" s="2" t="s">
        <v>266</v>
      </c>
      <c r="B144" s="2" t="s">
        <v>267</v>
      </c>
      <c r="C144" s="2" t="s">
        <v>21</v>
      </c>
      <c r="D144" s="2" t="s">
        <v>22</v>
      </c>
      <c r="E144" s="2" t="s">
        <v>268</v>
      </c>
      <c r="F144" s="2" t="s">
        <v>24</v>
      </c>
      <c r="G144" s="2" t="s">
        <v>24</v>
      </c>
      <c r="H144" s="2" t="s">
        <v>269</v>
      </c>
      <c r="I144" s="2" t="s">
        <v>266</v>
      </c>
      <c r="J144" s="2" t="s">
        <v>26</v>
      </c>
      <c r="K144" s="2" t="s">
        <v>270</v>
      </c>
      <c r="L144" s="3">
        <v>46088.0</v>
      </c>
      <c r="M144" s="2">
        <v>26.99</v>
      </c>
      <c r="N144" s="2">
        <v>26.99</v>
      </c>
      <c r="O144" s="2">
        <v>24.0</v>
      </c>
      <c r="P144" s="2">
        <v>23.0</v>
      </c>
      <c r="Q144" s="2" t="s">
        <v>271</v>
      </c>
      <c r="R144" s="2" t="s">
        <v>24</v>
      </c>
      <c r="S144" s="2" t="b">
        <f>COUNTIF('Marcas Target'!A:A,dados!$E144)&gt;0</f>
        <v>0</v>
      </c>
    </row>
    <row r="145" ht="15.75" customHeight="1">
      <c r="A145" s="2" t="s">
        <v>266</v>
      </c>
      <c r="B145" s="2" t="s">
        <v>267</v>
      </c>
      <c r="C145" s="2" t="s">
        <v>21</v>
      </c>
      <c r="D145" s="2" t="s">
        <v>22</v>
      </c>
      <c r="E145" s="2" t="s">
        <v>268</v>
      </c>
      <c r="F145" s="2" t="s">
        <v>24</v>
      </c>
      <c r="G145" s="2" t="s">
        <v>24</v>
      </c>
      <c r="H145" s="2" t="s">
        <v>269</v>
      </c>
      <c r="I145" s="2" t="s">
        <v>266</v>
      </c>
      <c r="J145" s="2" t="s">
        <v>26</v>
      </c>
      <c r="K145" s="2" t="s">
        <v>270</v>
      </c>
      <c r="L145" s="3">
        <v>46087.0</v>
      </c>
      <c r="M145" s="2">
        <v>26.99</v>
      </c>
      <c r="N145" s="2">
        <v>26.99</v>
      </c>
      <c r="O145" s="2">
        <v>3.0</v>
      </c>
      <c r="P145" s="2">
        <v>2.0</v>
      </c>
      <c r="Q145" s="2" t="s">
        <v>271</v>
      </c>
      <c r="R145" s="2" t="s">
        <v>24</v>
      </c>
      <c r="S145" s="2" t="b">
        <f>COUNTIF('Marcas Target'!A:A,dados!$E145)&gt;0</f>
        <v>0</v>
      </c>
    </row>
    <row r="146" ht="15.75" customHeight="1">
      <c r="A146" s="2" t="s">
        <v>272</v>
      </c>
      <c r="B146" s="2" t="s">
        <v>273</v>
      </c>
      <c r="C146" s="2" t="s">
        <v>24</v>
      </c>
      <c r="D146" s="2" t="s">
        <v>24</v>
      </c>
      <c r="E146" s="2" t="s">
        <v>145</v>
      </c>
      <c r="F146" s="2" t="s">
        <v>24</v>
      </c>
      <c r="G146" s="2" t="s">
        <v>24</v>
      </c>
      <c r="H146" s="2" t="s">
        <v>274</v>
      </c>
      <c r="I146" s="2" t="s">
        <v>272</v>
      </c>
      <c r="J146" s="2" t="s">
        <v>26</v>
      </c>
      <c r="K146" s="2" t="s">
        <v>275</v>
      </c>
      <c r="L146" s="3">
        <v>46089.0</v>
      </c>
      <c r="M146" s="2">
        <v>44.99</v>
      </c>
      <c r="N146" s="2">
        <v>44.99</v>
      </c>
      <c r="O146" s="2">
        <v>22.0</v>
      </c>
      <c r="P146" s="2">
        <v>22.0</v>
      </c>
      <c r="Q146" s="2" t="s">
        <v>276</v>
      </c>
      <c r="R146" s="2" t="s">
        <v>24</v>
      </c>
      <c r="S146" s="2" t="b">
        <f>COUNTIF('Marcas Target'!A:A,dados!$E146)&gt;0</f>
        <v>1</v>
      </c>
    </row>
    <row r="147" ht="15.75" customHeight="1">
      <c r="A147" s="2" t="s">
        <v>272</v>
      </c>
      <c r="B147" s="2" t="s">
        <v>273</v>
      </c>
      <c r="C147" s="2" t="s">
        <v>24</v>
      </c>
      <c r="D147" s="2" t="s">
        <v>24</v>
      </c>
      <c r="E147" s="2" t="s">
        <v>145</v>
      </c>
      <c r="F147" s="2" t="s">
        <v>24</v>
      </c>
      <c r="G147" s="2" t="s">
        <v>24</v>
      </c>
      <c r="H147" s="2" t="s">
        <v>274</v>
      </c>
      <c r="I147" s="2" t="s">
        <v>272</v>
      </c>
      <c r="J147" s="2" t="s">
        <v>26</v>
      </c>
      <c r="K147" s="2" t="s">
        <v>275</v>
      </c>
      <c r="L147" s="3">
        <v>46088.0</v>
      </c>
      <c r="M147" s="2">
        <v>44.99</v>
      </c>
      <c r="N147" s="2">
        <v>44.99</v>
      </c>
      <c r="O147" s="2">
        <v>24.0</v>
      </c>
      <c r="P147" s="2">
        <v>12.0</v>
      </c>
      <c r="Q147" s="2" t="s">
        <v>276</v>
      </c>
      <c r="R147" s="2" t="s">
        <v>24</v>
      </c>
      <c r="S147" s="2" t="b">
        <f>COUNTIF('Marcas Target'!A:A,dados!$E147)&gt;0</f>
        <v>1</v>
      </c>
    </row>
    <row r="148" ht="15.75" customHeight="1">
      <c r="A148" s="2" t="s">
        <v>272</v>
      </c>
      <c r="B148" s="2" t="s">
        <v>273</v>
      </c>
      <c r="C148" s="2" t="s">
        <v>24</v>
      </c>
      <c r="D148" s="2" t="s">
        <v>24</v>
      </c>
      <c r="E148" s="2" t="s">
        <v>145</v>
      </c>
      <c r="F148" s="2" t="s">
        <v>24</v>
      </c>
      <c r="G148" s="2" t="s">
        <v>24</v>
      </c>
      <c r="H148" s="2" t="s">
        <v>274</v>
      </c>
      <c r="I148" s="2" t="s">
        <v>272</v>
      </c>
      <c r="J148" s="2" t="s">
        <v>26</v>
      </c>
      <c r="K148" s="2" t="s">
        <v>275</v>
      </c>
      <c r="L148" s="3">
        <v>46087.0</v>
      </c>
      <c r="M148" s="2" t="s">
        <v>24</v>
      </c>
      <c r="N148" s="2" t="s">
        <v>24</v>
      </c>
      <c r="O148" s="2">
        <v>3.0</v>
      </c>
      <c r="P148" s="2">
        <v>0.0</v>
      </c>
      <c r="Q148" s="2" t="s">
        <v>276</v>
      </c>
      <c r="R148" s="2" t="s">
        <v>24</v>
      </c>
      <c r="S148" s="2" t="b">
        <f>COUNTIF('Marcas Target'!A:A,dados!$E148)&gt;0</f>
        <v>1</v>
      </c>
    </row>
    <row r="149" ht="15.75" customHeight="1">
      <c r="A149" s="2" t="s">
        <v>277</v>
      </c>
      <c r="B149" s="2" t="s">
        <v>278</v>
      </c>
      <c r="C149" s="2" t="s">
        <v>21</v>
      </c>
      <c r="D149" s="2" t="s">
        <v>22</v>
      </c>
      <c r="E149" s="2" t="s">
        <v>145</v>
      </c>
      <c r="F149" s="2" t="s">
        <v>24</v>
      </c>
      <c r="G149" s="2" t="s">
        <v>24</v>
      </c>
      <c r="H149" s="2" t="s">
        <v>279</v>
      </c>
      <c r="I149" s="2" t="s">
        <v>277</v>
      </c>
      <c r="J149" s="2" t="s">
        <v>26</v>
      </c>
      <c r="K149" s="2" t="s">
        <v>280</v>
      </c>
      <c r="L149" s="3">
        <v>46089.0</v>
      </c>
      <c r="M149" s="2">
        <v>43.99</v>
      </c>
      <c r="N149" s="2">
        <v>43.99</v>
      </c>
      <c r="O149" s="2">
        <v>22.0</v>
      </c>
      <c r="P149" s="2">
        <v>22.0</v>
      </c>
      <c r="Q149" s="2" t="s">
        <v>281</v>
      </c>
      <c r="R149" s="2" t="s">
        <v>24</v>
      </c>
      <c r="S149" s="2" t="b">
        <f>COUNTIF('Marcas Target'!A:A,dados!$E149)&gt;0</f>
        <v>1</v>
      </c>
    </row>
    <row r="150" ht="15.75" customHeight="1">
      <c r="A150" s="2" t="s">
        <v>277</v>
      </c>
      <c r="B150" s="2" t="s">
        <v>278</v>
      </c>
      <c r="C150" s="2" t="s">
        <v>21</v>
      </c>
      <c r="D150" s="2" t="s">
        <v>22</v>
      </c>
      <c r="E150" s="2" t="s">
        <v>145</v>
      </c>
      <c r="F150" s="2" t="s">
        <v>24</v>
      </c>
      <c r="G150" s="2" t="s">
        <v>24</v>
      </c>
      <c r="H150" s="2" t="s">
        <v>279</v>
      </c>
      <c r="I150" s="2" t="s">
        <v>277</v>
      </c>
      <c r="J150" s="2" t="s">
        <v>26</v>
      </c>
      <c r="K150" s="2" t="s">
        <v>280</v>
      </c>
      <c r="L150" s="3">
        <v>46088.0</v>
      </c>
      <c r="M150" s="2">
        <v>43.99</v>
      </c>
      <c r="N150" s="2">
        <v>43.99</v>
      </c>
      <c r="O150" s="2">
        <v>24.0</v>
      </c>
      <c r="P150" s="2">
        <v>24.0</v>
      </c>
      <c r="Q150" s="2" t="s">
        <v>281</v>
      </c>
      <c r="R150" s="2" t="s">
        <v>24</v>
      </c>
      <c r="S150" s="2" t="b">
        <f>COUNTIF('Marcas Target'!A:A,dados!$E150)&gt;0</f>
        <v>1</v>
      </c>
    </row>
    <row r="151" ht="15.75" customHeight="1">
      <c r="A151" s="2" t="s">
        <v>277</v>
      </c>
      <c r="B151" s="2" t="s">
        <v>278</v>
      </c>
      <c r="C151" s="2" t="s">
        <v>21</v>
      </c>
      <c r="D151" s="2" t="s">
        <v>22</v>
      </c>
      <c r="E151" s="2" t="s">
        <v>145</v>
      </c>
      <c r="F151" s="2" t="s">
        <v>24</v>
      </c>
      <c r="G151" s="2" t="s">
        <v>24</v>
      </c>
      <c r="H151" s="2" t="s">
        <v>279</v>
      </c>
      <c r="I151" s="2" t="s">
        <v>277</v>
      </c>
      <c r="J151" s="2" t="s">
        <v>26</v>
      </c>
      <c r="K151" s="2" t="s">
        <v>280</v>
      </c>
      <c r="L151" s="3">
        <v>46087.0</v>
      </c>
      <c r="M151" s="2">
        <v>43.99</v>
      </c>
      <c r="N151" s="2">
        <v>43.99</v>
      </c>
      <c r="O151" s="2">
        <v>3.0</v>
      </c>
      <c r="P151" s="2">
        <v>3.0</v>
      </c>
      <c r="Q151" s="2" t="s">
        <v>281</v>
      </c>
      <c r="R151" s="2" t="s">
        <v>24</v>
      </c>
      <c r="S151" s="2" t="b">
        <f>COUNTIF('Marcas Target'!A:A,dados!$E151)&gt;0</f>
        <v>1</v>
      </c>
    </row>
    <row r="152" ht="15.75" customHeight="1">
      <c r="A152" s="2" t="s">
        <v>282</v>
      </c>
      <c r="B152" s="2" t="s">
        <v>283</v>
      </c>
      <c r="C152" s="2" t="s">
        <v>21</v>
      </c>
      <c r="D152" s="2" t="s">
        <v>22</v>
      </c>
      <c r="E152" s="2" t="s">
        <v>106</v>
      </c>
      <c r="F152" s="2" t="s">
        <v>24</v>
      </c>
      <c r="G152" s="2" t="s">
        <v>24</v>
      </c>
      <c r="H152" s="2" t="s">
        <v>284</v>
      </c>
      <c r="I152" s="2" t="s">
        <v>282</v>
      </c>
      <c r="J152" s="2" t="s">
        <v>26</v>
      </c>
      <c r="K152" s="2" t="s">
        <v>285</v>
      </c>
      <c r="L152" s="3">
        <v>46089.0</v>
      </c>
      <c r="M152" s="2">
        <v>24.99</v>
      </c>
      <c r="N152" s="2">
        <v>24.99</v>
      </c>
      <c r="O152" s="2">
        <v>22.0</v>
      </c>
      <c r="P152" s="2">
        <v>2.0</v>
      </c>
      <c r="Q152" s="2" t="s">
        <v>286</v>
      </c>
      <c r="R152" s="2" t="s">
        <v>24</v>
      </c>
      <c r="S152" s="2" t="b">
        <f>COUNTIF('Marcas Target'!A:A,dados!$E152)&gt;0</f>
        <v>0</v>
      </c>
    </row>
    <row r="153" ht="15.75" customHeight="1">
      <c r="A153" s="2" t="s">
        <v>282</v>
      </c>
      <c r="B153" s="2" t="s">
        <v>283</v>
      </c>
      <c r="C153" s="2" t="s">
        <v>21</v>
      </c>
      <c r="D153" s="2" t="s">
        <v>22</v>
      </c>
      <c r="E153" s="2" t="s">
        <v>106</v>
      </c>
      <c r="F153" s="2" t="s">
        <v>24</v>
      </c>
      <c r="G153" s="2" t="s">
        <v>24</v>
      </c>
      <c r="H153" s="2" t="s">
        <v>284</v>
      </c>
      <c r="I153" s="2" t="s">
        <v>282</v>
      </c>
      <c r="J153" s="2" t="s">
        <v>26</v>
      </c>
      <c r="K153" s="2" t="s">
        <v>285</v>
      </c>
      <c r="L153" s="3">
        <v>46088.0</v>
      </c>
      <c r="M153" s="2">
        <v>24.99</v>
      </c>
      <c r="N153" s="2">
        <v>24.99</v>
      </c>
      <c r="O153" s="2">
        <v>24.0</v>
      </c>
      <c r="P153" s="2">
        <v>17.0</v>
      </c>
      <c r="Q153" s="2" t="s">
        <v>286</v>
      </c>
      <c r="R153" s="2" t="s">
        <v>24</v>
      </c>
      <c r="S153" s="2" t="b">
        <f>COUNTIF('Marcas Target'!A:A,dados!$E153)&gt;0</f>
        <v>0</v>
      </c>
    </row>
    <row r="154" ht="15.75" customHeight="1">
      <c r="A154" s="2" t="s">
        <v>282</v>
      </c>
      <c r="B154" s="2" t="s">
        <v>283</v>
      </c>
      <c r="C154" s="2" t="s">
        <v>21</v>
      </c>
      <c r="D154" s="2" t="s">
        <v>22</v>
      </c>
      <c r="E154" s="2" t="s">
        <v>106</v>
      </c>
      <c r="F154" s="2" t="s">
        <v>24</v>
      </c>
      <c r="G154" s="2" t="s">
        <v>24</v>
      </c>
      <c r="H154" s="2" t="s">
        <v>284</v>
      </c>
      <c r="I154" s="2" t="s">
        <v>282</v>
      </c>
      <c r="J154" s="2" t="s">
        <v>26</v>
      </c>
      <c r="K154" s="2" t="s">
        <v>285</v>
      </c>
      <c r="L154" s="3">
        <v>46087.0</v>
      </c>
      <c r="M154" s="2" t="s">
        <v>24</v>
      </c>
      <c r="N154" s="2" t="s">
        <v>24</v>
      </c>
      <c r="O154" s="2">
        <v>3.0</v>
      </c>
      <c r="P154" s="2">
        <v>0.0</v>
      </c>
      <c r="Q154" s="2" t="s">
        <v>286</v>
      </c>
      <c r="R154" s="2" t="s">
        <v>24</v>
      </c>
      <c r="S154" s="2" t="b">
        <f>COUNTIF('Marcas Target'!A:A,dados!$E154)&gt;0</f>
        <v>0</v>
      </c>
    </row>
    <row r="155" ht="15.75" customHeight="1">
      <c r="A155" s="2" t="s">
        <v>287</v>
      </c>
      <c r="B155" s="2" t="s">
        <v>288</v>
      </c>
      <c r="C155" s="2" t="s">
        <v>21</v>
      </c>
      <c r="D155" s="2" t="s">
        <v>22</v>
      </c>
      <c r="E155" s="2" t="s">
        <v>139</v>
      </c>
      <c r="F155" s="2" t="s">
        <v>24</v>
      </c>
      <c r="G155" s="2" t="s">
        <v>24</v>
      </c>
      <c r="H155" s="2" t="s">
        <v>289</v>
      </c>
      <c r="I155" s="2" t="s">
        <v>287</v>
      </c>
      <c r="J155" s="2" t="s">
        <v>26</v>
      </c>
      <c r="K155" s="2" t="s">
        <v>290</v>
      </c>
      <c r="L155" s="3">
        <v>46089.0</v>
      </c>
      <c r="M155" s="2" t="s">
        <v>24</v>
      </c>
      <c r="N155" s="2" t="s">
        <v>24</v>
      </c>
      <c r="O155" s="2">
        <v>22.0</v>
      </c>
      <c r="P155" s="2">
        <v>0.0</v>
      </c>
      <c r="Q155" s="2" t="s">
        <v>291</v>
      </c>
      <c r="R155" s="2" t="s">
        <v>24</v>
      </c>
      <c r="S155" s="2" t="b">
        <f>COUNTIF('Marcas Target'!A:A,dados!$E155)&gt;0</f>
        <v>0</v>
      </c>
    </row>
    <row r="156" ht="15.75" customHeight="1">
      <c r="A156" s="2" t="s">
        <v>287</v>
      </c>
      <c r="B156" s="2" t="s">
        <v>288</v>
      </c>
      <c r="C156" s="2" t="s">
        <v>21</v>
      </c>
      <c r="D156" s="2" t="s">
        <v>22</v>
      </c>
      <c r="E156" s="2" t="s">
        <v>139</v>
      </c>
      <c r="F156" s="2" t="s">
        <v>24</v>
      </c>
      <c r="G156" s="2" t="s">
        <v>24</v>
      </c>
      <c r="H156" s="2" t="s">
        <v>289</v>
      </c>
      <c r="I156" s="2" t="s">
        <v>287</v>
      </c>
      <c r="J156" s="2" t="s">
        <v>26</v>
      </c>
      <c r="K156" s="2" t="s">
        <v>290</v>
      </c>
      <c r="L156" s="3">
        <v>46088.0</v>
      </c>
      <c r="M156" s="2">
        <v>32.99</v>
      </c>
      <c r="N156" s="2">
        <v>32.99</v>
      </c>
      <c r="O156" s="2">
        <v>24.0</v>
      </c>
      <c r="P156" s="2">
        <v>16.0</v>
      </c>
      <c r="Q156" s="2" t="s">
        <v>291</v>
      </c>
      <c r="R156" s="2" t="s">
        <v>24</v>
      </c>
      <c r="S156" s="2" t="b">
        <f>COUNTIF('Marcas Target'!A:A,dados!$E156)&gt;0</f>
        <v>0</v>
      </c>
    </row>
    <row r="157" ht="15.75" customHeight="1">
      <c r="A157" s="2" t="s">
        <v>287</v>
      </c>
      <c r="B157" s="2" t="s">
        <v>288</v>
      </c>
      <c r="C157" s="2" t="s">
        <v>21</v>
      </c>
      <c r="D157" s="2" t="s">
        <v>22</v>
      </c>
      <c r="E157" s="2" t="s">
        <v>139</v>
      </c>
      <c r="F157" s="2" t="s">
        <v>24</v>
      </c>
      <c r="G157" s="2" t="s">
        <v>24</v>
      </c>
      <c r="H157" s="2" t="s">
        <v>289</v>
      </c>
      <c r="I157" s="2" t="s">
        <v>287</v>
      </c>
      <c r="J157" s="2" t="s">
        <v>26</v>
      </c>
      <c r="K157" s="2" t="s">
        <v>290</v>
      </c>
      <c r="L157" s="3">
        <v>46087.0</v>
      </c>
      <c r="M157" s="2">
        <v>32.99</v>
      </c>
      <c r="N157" s="2">
        <v>32.99</v>
      </c>
      <c r="O157" s="2">
        <v>3.0</v>
      </c>
      <c r="P157" s="2">
        <v>2.0</v>
      </c>
      <c r="Q157" s="2" t="s">
        <v>291</v>
      </c>
      <c r="R157" s="2" t="s">
        <v>24</v>
      </c>
      <c r="S157" s="2" t="b">
        <f>COUNTIF('Marcas Target'!A:A,dados!$E157)&gt;0</f>
        <v>0</v>
      </c>
    </row>
    <row r="158" ht="15.75" customHeight="1">
      <c r="A158" s="2" t="s">
        <v>292</v>
      </c>
      <c r="B158" s="2" t="s">
        <v>293</v>
      </c>
      <c r="C158" s="2" t="s">
        <v>24</v>
      </c>
      <c r="D158" s="2" t="s">
        <v>24</v>
      </c>
      <c r="E158" s="2" t="s">
        <v>294</v>
      </c>
      <c r="F158" s="2" t="s">
        <v>24</v>
      </c>
      <c r="G158" s="2" t="s">
        <v>24</v>
      </c>
      <c r="H158" s="2" t="s">
        <v>295</v>
      </c>
      <c r="I158" s="2" t="s">
        <v>292</v>
      </c>
      <c r="J158" s="2" t="s">
        <v>26</v>
      </c>
      <c r="K158" s="2" t="s">
        <v>296</v>
      </c>
      <c r="L158" s="3">
        <v>46089.0</v>
      </c>
      <c r="M158" s="2">
        <v>39.99</v>
      </c>
      <c r="N158" s="2">
        <v>39.99</v>
      </c>
      <c r="O158" s="2">
        <v>22.0</v>
      </c>
      <c r="P158" s="2">
        <v>13.0</v>
      </c>
      <c r="Q158" s="2" t="s">
        <v>297</v>
      </c>
      <c r="R158" s="2" t="s">
        <v>24</v>
      </c>
      <c r="S158" s="2" t="b">
        <f>COUNTIF('Marcas Target'!A:A,dados!$E158)&gt;0</f>
        <v>1</v>
      </c>
    </row>
    <row r="159" ht="15.75" customHeight="1">
      <c r="A159" s="2" t="s">
        <v>292</v>
      </c>
      <c r="B159" s="2" t="s">
        <v>293</v>
      </c>
      <c r="C159" s="2" t="s">
        <v>24</v>
      </c>
      <c r="D159" s="2" t="s">
        <v>24</v>
      </c>
      <c r="E159" s="2" t="s">
        <v>294</v>
      </c>
      <c r="F159" s="2" t="s">
        <v>24</v>
      </c>
      <c r="G159" s="2" t="s">
        <v>24</v>
      </c>
      <c r="H159" s="2" t="s">
        <v>295</v>
      </c>
      <c r="I159" s="2" t="s">
        <v>292</v>
      </c>
      <c r="J159" s="2" t="s">
        <v>26</v>
      </c>
      <c r="K159" s="2" t="s">
        <v>296</v>
      </c>
      <c r="L159" s="3">
        <v>46088.0</v>
      </c>
      <c r="M159" s="2">
        <v>39.99</v>
      </c>
      <c r="N159" s="2">
        <v>39.99</v>
      </c>
      <c r="O159" s="2">
        <v>24.0</v>
      </c>
      <c r="P159" s="2">
        <v>13.0</v>
      </c>
      <c r="Q159" s="2" t="s">
        <v>297</v>
      </c>
      <c r="R159" s="2" t="s">
        <v>24</v>
      </c>
      <c r="S159" s="2" t="b">
        <f>COUNTIF('Marcas Target'!A:A,dados!$E159)&gt;0</f>
        <v>1</v>
      </c>
    </row>
    <row r="160" ht="15.75" customHeight="1">
      <c r="A160" s="2" t="s">
        <v>292</v>
      </c>
      <c r="B160" s="2" t="s">
        <v>293</v>
      </c>
      <c r="C160" s="2" t="s">
        <v>24</v>
      </c>
      <c r="D160" s="2" t="s">
        <v>24</v>
      </c>
      <c r="E160" s="2" t="s">
        <v>294</v>
      </c>
      <c r="F160" s="2" t="s">
        <v>24</v>
      </c>
      <c r="G160" s="2" t="s">
        <v>24</v>
      </c>
      <c r="H160" s="2" t="s">
        <v>295</v>
      </c>
      <c r="I160" s="2" t="s">
        <v>292</v>
      </c>
      <c r="J160" s="2" t="s">
        <v>26</v>
      </c>
      <c r="K160" s="2" t="s">
        <v>296</v>
      </c>
      <c r="L160" s="3">
        <v>46087.0</v>
      </c>
      <c r="M160" s="2">
        <v>39.99</v>
      </c>
      <c r="N160" s="2">
        <v>39.99</v>
      </c>
      <c r="O160" s="2">
        <v>3.0</v>
      </c>
      <c r="P160" s="2">
        <v>1.0</v>
      </c>
      <c r="Q160" s="2" t="s">
        <v>297</v>
      </c>
      <c r="R160" s="2" t="s">
        <v>24</v>
      </c>
      <c r="S160" s="2" t="b">
        <f>COUNTIF('Marcas Target'!A:A,dados!$E160)&gt;0</f>
        <v>1</v>
      </c>
    </row>
    <row r="161" ht="15.75" customHeight="1">
      <c r="A161" s="2" t="s">
        <v>298</v>
      </c>
      <c r="B161" s="2" t="s">
        <v>299</v>
      </c>
      <c r="C161" s="2" t="s">
        <v>21</v>
      </c>
      <c r="D161" s="2" t="s">
        <v>22</v>
      </c>
      <c r="E161" s="2" t="s">
        <v>128</v>
      </c>
      <c r="F161" s="2" t="s">
        <v>24</v>
      </c>
      <c r="G161" s="2" t="s">
        <v>24</v>
      </c>
      <c r="H161" s="2" t="s">
        <v>300</v>
      </c>
      <c r="I161" s="2" t="s">
        <v>298</v>
      </c>
      <c r="J161" s="2" t="s">
        <v>26</v>
      </c>
      <c r="K161" s="2" t="s">
        <v>301</v>
      </c>
      <c r="L161" s="3">
        <v>46089.0</v>
      </c>
      <c r="M161" s="2">
        <v>30.99</v>
      </c>
      <c r="N161" s="2">
        <v>30.99</v>
      </c>
      <c r="O161" s="2">
        <v>22.0</v>
      </c>
      <c r="P161" s="2">
        <v>22.0</v>
      </c>
      <c r="Q161" s="2" t="s">
        <v>302</v>
      </c>
      <c r="R161" s="2" t="s">
        <v>24</v>
      </c>
      <c r="S161" s="2" t="b">
        <f>COUNTIF('Marcas Target'!A:A,dados!$E161)&gt;0</f>
        <v>1</v>
      </c>
    </row>
    <row r="162" ht="15.75" customHeight="1">
      <c r="A162" s="2" t="s">
        <v>298</v>
      </c>
      <c r="B162" s="2" t="s">
        <v>299</v>
      </c>
      <c r="C162" s="2" t="s">
        <v>21</v>
      </c>
      <c r="D162" s="2" t="s">
        <v>22</v>
      </c>
      <c r="E162" s="2" t="s">
        <v>128</v>
      </c>
      <c r="F162" s="2" t="s">
        <v>24</v>
      </c>
      <c r="G162" s="2" t="s">
        <v>24</v>
      </c>
      <c r="H162" s="2" t="s">
        <v>300</v>
      </c>
      <c r="I162" s="2" t="s">
        <v>298</v>
      </c>
      <c r="J162" s="2" t="s">
        <v>26</v>
      </c>
      <c r="K162" s="2" t="s">
        <v>301</v>
      </c>
      <c r="L162" s="3">
        <v>46088.0</v>
      </c>
      <c r="M162" s="2">
        <v>30.99</v>
      </c>
      <c r="N162" s="2">
        <v>30.99</v>
      </c>
      <c r="O162" s="2">
        <v>24.0</v>
      </c>
      <c r="P162" s="2">
        <v>15.0</v>
      </c>
      <c r="Q162" s="2" t="s">
        <v>302</v>
      </c>
      <c r="R162" s="2" t="s">
        <v>24</v>
      </c>
      <c r="S162" s="2" t="b">
        <f>COUNTIF('Marcas Target'!A:A,dados!$E162)&gt;0</f>
        <v>1</v>
      </c>
    </row>
    <row r="163" ht="15.75" customHeight="1">
      <c r="A163" s="2" t="s">
        <v>298</v>
      </c>
      <c r="B163" s="2" t="s">
        <v>299</v>
      </c>
      <c r="C163" s="2" t="s">
        <v>21</v>
      </c>
      <c r="D163" s="2" t="s">
        <v>22</v>
      </c>
      <c r="E163" s="2" t="s">
        <v>128</v>
      </c>
      <c r="F163" s="2" t="s">
        <v>24</v>
      </c>
      <c r="G163" s="2" t="s">
        <v>24</v>
      </c>
      <c r="H163" s="2" t="s">
        <v>300</v>
      </c>
      <c r="I163" s="2" t="s">
        <v>298</v>
      </c>
      <c r="J163" s="2" t="s">
        <v>26</v>
      </c>
      <c r="K163" s="2" t="s">
        <v>301</v>
      </c>
      <c r="L163" s="3">
        <v>46087.0</v>
      </c>
      <c r="M163" s="2">
        <v>30.99</v>
      </c>
      <c r="N163" s="2">
        <v>30.99</v>
      </c>
      <c r="O163" s="2">
        <v>3.0</v>
      </c>
      <c r="P163" s="2">
        <v>2.0</v>
      </c>
      <c r="Q163" s="2" t="s">
        <v>302</v>
      </c>
      <c r="R163" s="2" t="s">
        <v>24</v>
      </c>
      <c r="S163" s="2" t="b">
        <f>COUNTIF('Marcas Target'!A:A,dados!$E163)&gt;0</f>
        <v>1</v>
      </c>
    </row>
    <row r="164" ht="15.75" customHeight="1">
      <c r="A164" s="2" t="s">
        <v>303</v>
      </c>
      <c r="B164" s="2" t="s">
        <v>304</v>
      </c>
      <c r="C164" s="2" t="s">
        <v>21</v>
      </c>
      <c r="D164" s="2" t="s">
        <v>22</v>
      </c>
      <c r="E164" s="2" t="s">
        <v>294</v>
      </c>
      <c r="F164" s="2" t="s">
        <v>24</v>
      </c>
      <c r="G164" s="2" t="s">
        <v>24</v>
      </c>
      <c r="H164" s="2" t="s">
        <v>305</v>
      </c>
      <c r="I164" s="2" t="s">
        <v>303</v>
      </c>
      <c r="J164" s="2" t="s">
        <v>26</v>
      </c>
      <c r="K164" s="2" t="s">
        <v>306</v>
      </c>
      <c r="L164" s="3">
        <v>46089.0</v>
      </c>
      <c r="M164" s="2">
        <v>24.99</v>
      </c>
      <c r="N164" s="2">
        <v>24.99</v>
      </c>
      <c r="O164" s="2">
        <v>22.0</v>
      </c>
      <c r="P164" s="2">
        <v>22.0</v>
      </c>
      <c r="Q164" s="2" t="s">
        <v>307</v>
      </c>
      <c r="R164" s="2" t="s">
        <v>24</v>
      </c>
      <c r="S164" s="2" t="b">
        <f>COUNTIF('Marcas Target'!A:A,dados!$E164)&gt;0</f>
        <v>1</v>
      </c>
    </row>
    <row r="165" ht="15.75" customHeight="1">
      <c r="A165" s="2" t="s">
        <v>303</v>
      </c>
      <c r="B165" s="2" t="s">
        <v>304</v>
      </c>
      <c r="C165" s="2" t="s">
        <v>21</v>
      </c>
      <c r="D165" s="2" t="s">
        <v>22</v>
      </c>
      <c r="E165" s="2" t="s">
        <v>294</v>
      </c>
      <c r="F165" s="2" t="s">
        <v>24</v>
      </c>
      <c r="G165" s="2" t="s">
        <v>24</v>
      </c>
      <c r="H165" s="2" t="s">
        <v>305</v>
      </c>
      <c r="I165" s="2" t="s">
        <v>303</v>
      </c>
      <c r="J165" s="2" t="s">
        <v>26</v>
      </c>
      <c r="K165" s="2" t="s">
        <v>306</v>
      </c>
      <c r="L165" s="3">
        <v>46088.0</v>
      </c>
      <c r="M165" s="2">
        <v>24.99</v>
      </c>
      <c r="N165" s="2">
        <v>24.99</v>
      </c>
      <c r="O165" s="2">
        <v>24.0</v>
      </c>
      <c r="P165" s="2">
        <v>24.0</v>
      </c>
      <c r="Q165" s="2" t="s">
        <v>307</v>
      </c>
      <c r="R165" s="2" t="s">
        <v>24</v>
      </c>
      <c r="S165" s="2" t="b">
        <f>COUNTIF('Marcas Target'!A:A,dados!$E165)&gt;0</f>
        <v>1</v>
      </c>
    </row>
    <row r="166" ht="15.75" customHeight="1">
      <c r="A166" s="2" t="s">
        <v>303</v>
      </c>
      <c r="B166" s="2" t="s">
        <v>304</v>
      </c>
      <c r="C166" s="2" t="s">
        <v>21</v>
      </c>
      <c r="D166" s="2" t="s">
        <v>22</v>
      </c>
      <c r="E166" s="2" t="s">
        <v>294</v>
      </c>
      <c r="F166" s="2" t="s">
        <v>24</v>
      </c>
      <c r="G166" s="2" t="s">
        <v>24</v>
      </c>
      <c r="H166" s="2" t="s">
        <v>305</v>
      </c>
      <c r="I166" s="2" t="s">
        <v>303</v>
      </c>
      <c r="J166" s="2" t="s">
        <v>26</v>
      </c>
      <c r="K166" s="2" t="s">
        <v>306</v>
      </c>
      <c r="L166" s="3">
        <v>46087.0</v>
      </c>
      <c r="M166" s="2">
        <v>24.99</v>
      </c>
      <c r="N166" s="2">
        <v>24.99</v>
      </c>
      <c r="O166" s="2">
        <v>3.0</v>
      </c>
      <c r="P166" s="2">
        <v>3.0</v>
      </c>
      <c r="Q166" s="2" t="s">
        <v>307</v>
      </c>
      <c r="R166" s="2" t="s">
        <v>24</v>
      </c>
      <c r="S166" s="2" t="b">
        <f>COUNTIF('Marcas Target'!A:A,dados!$E166)&gt;0</f>
        <v>1</v>
      </c>
    </row>
    <row r="167" ht="15.75" customHeight="1">
      <c r="A167" s="2" t="s">
        <v>308</v>
      </c>
      <c r="B167" s="2" t="s">
        <v>309</v>
      </c>
      <c r="C167" s="2" t="s">
        <v>21</v>
      </c>
      <c r="D167" s="2" t="s">
        <v>22</v>
      </c>
      <c r="E167" s="2" t="s">
        <v>128</v>
      </c>
      <c r="F167" s="2" t="s">
        <v>24</v>
      </c>
      <c r="G167" s="2" t="s">
        <v>24</v>
      </c>
      <c r="H167" s="2" t="s">
        <v>310</v>
      </c>
      <c r="I167" s="2" t="s">
        <v>308</v>
      </c>
      <c r="J167" s="2" t="s">
        <v>26</v>
      </c>
      <c r="K167" s="2" t="s">
        <v>311</v>
      </c>
      <c r="L167" s="3">
        <v>46089.0</v>
      </c>
      <c r="M167" s="2">
        <v>30.99</v>
      </c>
      <c r="N167" s="2">
        <v>30.99</v>
      </c>
      <c r="O167" s="2">
        <v>22.0</v>
      </c>
      <c r="P167" s="2">
        <v>10.0</v>
      </c>
      <c r="Q167" s="2" t="s">
        <v>312</v>
      </c>
      <c r="R167" s="2" t="s">
        <v>24</v>
      </c>
      <c r="S167" s="2" t="b">
        <f>COUNTIF('Marcas Target'!A:A,dados!$E167)&gt;0</f>
        <v>1</v>
      </c>
    </row>
    <row r="168" ht="15.75" customHeight="1">
      <c r="A168" s="2" t="s">
        <v>308</v>
      </c>
      <c r="B168" s="2" t="s">
        <v>309</v>
      </c>
      <c r="C168" s="2" t="s">
        <v>21</v>
      </c>
      <c r="D168" s="2" t="s">
        <v>22</v>
      </c>
      <c r="E168" s="2" t="s">
        <v>128</v>
      </c>
      <c r="F168" s="2" t="s">
        <v>24</v>
      </c>
      <c r="G168" s="2" t="s">
        <v>24</v>
      </c>
      <c r="H168" s="2" t="s">
        <v>310</v>
      </c>
      <c r="I168" s="2" t="s">
        <v>308</v>
      </c>
      <c r="J168" s="2" t="s">
        <v>26</v>
      </c>
      <c r="K168" s="2" t="s">
        <v>311</v>
      </c>
      <c r="L168" s="3">
        <v>46088.0</v>
      </c>
      <c r="M168" s="2">
        <v>30.99</v>
      </c>
      <c r="N168" s="2">
        <v>30.99</v>
      </c>
      <c r="O168" s="2">
        <v>24.0</v>
      </c>
      <c r="P168" s="2">
        <v>18.0</v>
      </c>
      <c r="Q168" s="2" t="s">
        <v>312</v>
      </c>
      <c r="R168" s="2" t="s">
        <v>24</v>
      </c>
      <c r="S168" s="2" t="b">
        <f>COUNTIF('Marcas Target'!A:A,dados!$E168)&gt;0</f>
        <v>1</v>
      </c>
    </row>
    <row r="169" ht="15.75" customHeight="1">
      <c r="A169" s="2" t="s">
        <v>308</v>
      </c>
      <c r="B169" s="2" t="s">
        <v>309</v>
      </c>
      <c r="C169" s="2" t="s">
        <v>21</v>
      </c>
      <c r="D169" s="2" t="s">
        <v>22</v>
      </c>
      <c r="E169" s="2" t="s">
        <v>128</v>
      </c>
      <c r="F169" s="2" t="s">
        <v>24</v>
      </c>
      <c r="G169" s="2" t="s">
        <v>24</v>
      </c>
      <c r="H169" s="2" t="s">
        <v>310</v>
      </c>
      <c r="I169" s="2" t="s">
        <v>308</v>
      </c>
      <c r="J169" s="2" t="s">
        <v>26</v>
      </c>
      <c r="K169" s="2" t="s">
        <v>311</v>
      </c>
      <c r="L169" s="3">
        <v>46087.0</v>
      </c>
      <c r="M169" s="2">
        <v>30.99</v>
      </c>
      <c r="N169" s="2">
        <v>30.99</v>
      </c>
      <c r="O169" s="2">
        <v>3.0</v>
      </c>
      <c r="P169" s="2">
        <v>1.0</v>
      </c>
      <c r="Q169" s="2" t="s">
        <v>312</v>
      </c>
      <c r="R169" s="2" t="s">
        <v>24</v>
      </c>
      <c r="S169" s="2" t="b">
        <f>COUNTIF('Marcas Target'!A:A,dados!$E169)&gt;0</f>
        <v>1</v>
      </c>
    </row>
    <row r="170" ht="15.75" customHeight="1">
      <c r="A170" s="2" t="s">
        <v>313</v>
      </c>
      <c r="B170" s="2" t="s">
        <v>314</v>
      </c>
      <c r="C170" s="2" t="s">
        <v>21</v>
      </c>
      <c r="D170" s="2" t="s">
        <v>22</v>
      </c>
      <c r="E170" s="2" t="s">
        <v>294</v>
      </c>
      <c r="F170" s="2" t="s">
        <v>24</v>
      </c>
      <c r="G170" s="2" t="s">
        <v>24</v>
      </c>
      <c r="H170" s="2" t="s">
        <v>315</v>
      </c>
      <c r="I170" s="2" t="s">
        <v>313</v>
      </c>
      <c r="J170" s="2" t="s">
        <v>26</v>
      </c>
      <c r="K170" s="2" t="s">
        <v>316</v>
      </c>
      <c r="L170" s="3">
        <v>46089.0</v>
      </c>
      <c r="M170" s="2">
        <v>24.99</v>
      </c>
      <c r="N170" s="2">
        <v>24.99</v>
      </c>
      <c r="O170" s="2">
        <v>22.0</v>
      </c>
      <c r="P170" s="2">
        <v>21.0</v>
      </c>
      <c r="Q170" s="2" t="s">
        <v>317</v>
      </c>
      <c r="R170" s="2" t="s">
        <v>24</v>
      </c>
      <c r="S170" s="2" t="b">
        <f>COUNTIF('Marcas Target'!A:A,dados!$E170)&gt;0</f>
        <v>1</v>
      </c>
    </row>
    <row r="171" ht="15.75" customHeight="1">
      <c r="A171" s="2" t="s">
        <v>313</v>
      </c>
      <c r="B171" s="2" t="s">
        <v>314</v>
      </c>
      <c r="C171" s="2" t="s">
        <v>21</v>
      </c>
      <c r="D171" s="2" t="s">
        <v>22</v>
      </c>
      <c r="E171" s="2" t="s">
        <v>294</v>
      </c>
      <c r="F171" s="2" t="s">
        <v>24</v>
      </c>
      <c r="G171" s="2" t="s">
        <v>24</v>
      </c>
      <c r="H171" s="2" t="s">
        <v>315</v>
      </c>
      <c r="I171" s="2" t="s">
        <v>313</v>
      </c>
      <c r="J171" s="2" t="s">
        <v>26</v>
      </c>
      <c r="K171" s="2" t="s">
        <v>316</v>
      </c>
      <c r="L171" s="3">
        <v>46088.0</v>
      </c>
      <c r="M171" s="2">
        <v>24.99</v>
      </c>
      <c r="N171" s="2">
        <v>24.99</v>
      </c>
      <c r="O171" s="2">
        <v>24.0</v>
      </c>
      <c r="P171" s="2">
        <v>23.0</v>
      </c>
      <c r="Q171" s="2" t="s">
        <v>317</v>
      </c>
      <c r="R171" s="2" t="s">
        <v>24</v>
      </c>
      <c r="S171" s="2" t="b">
        <f>COUNTIF('Marcas Target'!A:A,dados!$E171)&gt;0</f>
        <v>1</v>
      </c>
    </row>
    <row r="172" ht="15.75" customHeight="1">
      <c r="A172" s="2" t="s">
        <v>313</v>
      </c>
      <c r="B172" s="2" t="s">
        <v>314</v>
      </c>
      <c r="C172" s="2" t="s">
        <v>21</v>
      </c>
      <c r="D172" s="2" t="s">
        <v>22</v>
      </c>
      <c r="E172" s="2" t="s">
        <v>294</v>
      </c>
      <c r="F172" s="2" t="s">
        <v>24</v>
      </c>
      <c r="G172" s="2" t="s">
        <v>24</v>
      </c>
      <c r="H172" s="2" t="s">
        <v>315</v>
      </c>
      <c r="I172" s="2" t="s">
        <v>313</v>
      </c>
      <c r="J172" s="2" t="s">
        <v>26</v>
      </c>
      <c r="K172" s="2" t="s">
        <v>316</v>
      </c>
      <c r="L172" s="3">
        <v>46087.0</v>
      </c>
      <c r="M172" s="2">
        <v>24.99</v>
      </c>
      <c r="N172" s="2">
        <v>24.99</v>
      </c>
      <c r="O172" s="2">
        <v>3.0</v>
      </c>
      <c r="P172" s="2">
        <v>2.0</v>
      </c>
      <c r="Q172" s="2" t="s">
        <v>317</v>
      </c>
      <c r="R172" s="2" t="s">
        <v>24</v>
      </c>
      <c r="S172" s="2" t="b">
        <f>COUNTIF('Marcas Target'!A:A,dados!$E172)&gt;0</f>
        <v>1</v>
      </c>
    </row>
    <row r="173" ht="15.75" customHeight="1">
      <c r="A173" s="2" t="s">
        <v>318</v>
      </c>
      <c r="B173" s="2" t="s">
        <v>319</v>
      </c>
      <c r="C173" s="2" t="s">
        <v>24</v>
      </c>
      <c r="D173" s="2" t="s">
        <v>24</v>
      </c>
      <c r="E173" s="2" t="s">
        <v>320</v>
      </c>
      <c r="F173" s="2" t="s">
        <v>24</v>
      </c>
      <c r="G173" s="2" t="s">
        <v>24</v>
      </c>
      <c r="H173" s="2" t="s">
        <v>321</v>
      </c>
      <c r="I173" s="2" t="s">
        <v>318</v>
      </c>
      <c r="J173" s="2" t="s">
        <v>26</v>
      </c>
      <c r="K173" s="2" t="s">
        <v>322</v>
      </c>
      <c r="L173" s="3">
        <v>46089.0</v>
      </c>
      <c r="M173" s="2">
        <v>34.99</v>
      </c>
      <c r="N173" s="2">
        <v>34.99</v>
      </c>
      <c r="O173" s="2">
        <v>22.0</v>
      </c>
      <c r="P173" s="2">
        <v>12.0</v>
      </c>
      <c r="Q173" s="2" t="s">
        <v>323</v>
      </c>
      <c r="R173" s="2" t="s">
        <v>24</v>
      </c>
      <c r="S173" s="2" t="b">
        <f>COUNTIF('Marcas Target'!A:A,dados!$E173)&gt;0</f>
        <v>0</v>
      </c>
    </row>
    <row r="174" ht="15.75" customHeight="1">
      <c r="A174" s="2" t="s">
        <v>318</v>
      </c>
      <c r="B174" s="2" t="s">
        <v>319</v>
      </c>
      <c r="C174" s="2" t="s">
        <v>24</v>
      </c>
      <c r="D174" s="2" t="s">
        <v>24</v>
      </c>
      <c r="E174" s="2" t="s">
        <v>320</v>
      </c>
      <c r="F174" s="2" t="s">
        <v>24</v>
      </c>
      <c r="G174" s="2" t="s">
        <v>24</v>
      </c>
      <c r="H174" s="2" t="s">
        <v>321</v>
      </c>
      <c r="I174" s="2" t="s">
        <v>318</v>
      </c>
      <c r="J174" s="2" t="s">
        <v>26</v>
      </c>
      <c r="K174" s="2" t="s">
        <v>322</v>
      </c>
      <c r="L174" s="3">
        <v>46088.0</v>
      </c>
      <c r="M174" s="2">
        <v>34.99</v>
      </c>
      <c r="N174" s="2">
        <v>34.99</v>
      </c>
      <c r="O174" s="2">
        <v>24.0</v>
      </c>
      <c r="P174" s="2">
        <v>16.0</v>
      </c>
      <c r="Q174" s="2" t="s">
        <v>323</v>
      </c>
      <c r="R174" s="2" t="s">
        <v>24</v>
      </c>
      <c r="S174" s="2" t="b">
        <f>COUNTIF('Marcas Target'!A:A,dados!$E174)&gt;0</f>
        <v>0</v>
      </c>
    </row>
    <row r="175" ht="15.75" customHeight="1">
      <c r="A175" s="2" t="s">
        <v>318</v>
      </c>
      <c r="B175" s="2" t="s">
        <v>319</v>
      </c>
      <c r="C175" s="2" t="s">
        <v>24</v>
      </c>
      <c r="D175" s="2" t="s">
        <v>24</v>
      </c>
      <c r="E175" s="2" t="s">
        <v>320</v>
      </c>
      <c r="F175" s="2" t="s">
        <v>24</v>
      </c>
      <c r="G175" s="2" t="s">
        <v>24</v>
      </c>
      <c r="H175" s="2" t="s">
        <v>321</v>
      </c>
      <c r="I175" s="2" t="s">
        <v>318</v>
      </c>
      <c r="J175" s="2" t="s">
        <v>26</v>
      </c>
      <c r="K175" s="2" t="s">
        <v>322</v>
      </c>
      <c r="L175" s="3">
        <v>46087.0</v>
      </c>
      <c r="M175" s="2">
        <v>34.99</v>
      </c>
      <c r="N175" s="2">
        <v>34.99</v>
      </c>
      <c r="O175" s="2">
        <v>3.0</v>
      </c>
      <c r="P175" s="2">
        <v>3.0</v>
      </c>
      <c r="Q175" s="2" t="s">
        <v>323</v>
      </c>
      <c r="R175" s="2" t="s">
        <v>24</v>
      </c>
      <c r="S175" s="2" t="b">
        <f>COUNTIF('Marcas Target'!A:A,dados!$E175)&gt;0</f>
        <v>0</v>
      </c>
    </row>
    <row r="176" ht="15.75" customHeight="1">
      <c r="A176" s="2" t="s">
        <v>324</v>
      </c>
      <c r="B176" s="2" t="s">
        <v>325</v>
      </c>
      <c r="C176" s="2" t="s">
        <v>21</v>
      </c>
      <c r="D176" s="2" t="s">
        <v>22</v>
      </c>
      <c r="E176" s="2" t="s">
        <v>294</v>
      </c>
      <c r="F176" s="2" t="s">
        <v>24</v>
      </c>
      <c r="G176" s="2" t="s">
        <v>24</v>
      </c>
      <c r="H176" s="2" t="s">
        <v>326</v>
      </c>
      <c r="I176" s="2" t="s">
        <v>324</v>
      </c>
      <c r="J176" s="2" t="s">
        <v>26</v>
      </c>
      <c r="K176" s="2" t="s">
        <v>327</v>
      </c>
      <c r="L176" s="3">
        <v>46089.0</v>
      </c>
      <c r="M176" s="2">
        <v>24.99</v>
      </c>
      <c r="N176" s="2">
        <v>24.99</v>
      </c>
      <c r="O176" s="2">
        <v>22.0</v>
      </c>
      <c r="P176" s="2">
        <v>15.0</v>
      </c>
      <c r="Q176" s="2" t="s">
        <v>328</v>
      </c>
      <c r="R176" s="2" t="s">
        <v>24</v>
      </c>
      <c r="S176" s="2" t="b">
        <f>COUNTIF('Marcas Target'!A:A,dados!$E176)&gt;0</f>
        <v>1</v>
      </c>
    </row>
    <row r="177" ht="15.75" customHeight="1">
      <c r="A177" s="2" t="s">
        <v>324</v>
      </c>
      <c r="B177" s="2" t="s">
        <v>325</v>
      </c>
      <c r="C177" s="2" t="s">
        <v>21</v>
      </c>
      <c r="D177" s="2" t="s">
        <v>22</v>
      </c>
      <c r="E177" s="2" t="s">
        <v>294</v>
      </c>
      <c r="F177" s="2" t="s">
        <v>24</v>
      </c>
      <c r="G177" s="2" t="s">
        <v>24</v>
      </c>
      <c r="H177" s="2" t="s">
        <v>326</v>
      </c>
      <c r="I177" s="2" t="s">
        <v>324</v>
      </c>
      <c r="J177" s="2" t="s">
        <v>26</v>
      </c>
      <c r="K177" s="2" t="s">
        <v>327</v>
      </c>
      <c r="L177" s="3">
        <v>46088.0</v>
      </c>
      <c r="M177" s="2">
        <v>24.99</v>
      </c>
      <c r="N177" s="2">
        <v>24.99</v>
      </c>
      <c r="O177" s="2">
        <v>24.0</v>
      </c>
      <c r="P177" s="2">
        <v>13.0</v>
      </c>
      <c r="Q177" s="2" t="s">
        <v>328</v>
      </c>
      <c r="R177" s="2" t="s">
        <v>24</v>
      </c>
      <c r="S177" s="2" t="b">
        <f>COUNTIF('Marcas Target'!A:A,dados!$E177)&gt;0</f>
        <v>1</v>
      </c>
    </row>
    <row r="178" ht="15.75" customHeight="1">
      <c r="A178" s="2" t="s">
        <v>324</v>
      </c>
      <c r="B178" s="2" t="s">
        <v>325</v>
      </c>
      <c r="C178" s="2" t="s">
        <v>21</v>
      </c>
      <c r="D178" s="2" t="s">
        <v>22</v>
      </c>
      <c r="E178" s="2" t="s">
        <v>294</v>
      </c>
      <c r="F178" s="2" t="s">
        <v>24</v>
      </c>
      <c r="G178" s="2" t="s">
        <v>24</v>
      </c>
      <c r="H178" s="2" t="s">
        <v>326</v>
      </c>
      <c r="I178" s="2" t="s">
        <v>324</v>
      </c>
      <c r="J178" s="2" t="s">
        <v>26</v>
      </c>
      <c r="K178" s="2" t="s">
        <v>327</v>
      </c>
      <c r="L178" s="3">
        <v>46087.0</v>
      </c>
      <c r="M178" s="2">
        <v>24.99</v>
      </c>
      <c r="N178" s="2">
        <v>24.99</v>
      </c>
      <c r="O178" s="2">
        <v>3.0</v>
      </c>
      <c r="P178" s="2">
        <v>2.0</v>
      </c>
      <c r="Q178" s="2" t="s">
        <v>328</v>
      </c>
      <c r="R178" s="2" t="s">
        <v>24</v>
      </c>
      <c r="S178" s="2" t="b">
        <f>COUNTIF('Marcas Target'!A:A,dados!$E178)&gt;0</f>
        <v>1</v>
      </c>
    </row>
    <row r="179" ht="15.75" customHeight="1">
      <c r="A179" s="2" t="s">
        <v>329</v>
      </c>
      <c r="B179" s="2" t="s">
        <v>330</v>
      </c>
      <c r="C179" s="2" t="s">
        <v>21</v>
      </c>
      <c r="D179" s="2" t="s">
        <v>22</v>
      </c>
      <c r="E179" s="2" t="s">
        <v>320</v>
      </c>
      <c r="F179" s="2" t="s">
        <v>24</v>
      </c>
      <c r="G179" s="2" t="s">
        <v>24</v>
      </c>
      <c r="H179" s="2" t="s">
        <v>331</v>
      </c>
      <c r="I179" s="2" t="s">
        <v>329</v>
      </c>
      <c r="J179" s="2" t="s">
        <v>26</v>
      </c>
      <c r="K179" s="2" t="s">
        <v>332</v>
      </c>
      <c r="L179" s="3">
        <v>46089.0</v>
      </c>
      <c r="M179" s="2">
        <v>34.99</v>
      </c>
      <c r="N179" s="2">
        <v>34.99</v>
      </c>
      <c r="O179" s="2">
        <v>22.0</v>
      </c>
      <c r="P179" s="2">
        <v>13.0</v>
      </c>
      <c r="Q179" s="2" t="s">
        <v>333</v>
      </c>
      <c r="R179" s="2" t="s">
        <v>24</v>
      </c>
      <c r="S179" s="2" t="b">
        <f>COUNTIF('Marcas Target'!A:A,dados!$E179)&gt;0</f>
        <v>0</v>
      </c>
    </row>
    <row r="180" ht="15.75" customHeight="1">
      <c r="A180" s="2" t="s">
        <v>329</v>
      </c>
      <c r="B180" s="2" t="s">
        <v>330</v>
      </c>
      <c r="C180" s="2" t="s">
        <v>21</v>
      </c>
      <c r="D180" s="2" t="s">
        <v>22</v>
      </c>
      <c r="E180" s="2" t="s">
        <v>320</v>
      </c>
      <c r="F180" s="2" t="s">
        <v>24</v>
      </c>
      <c r="G180" s="2" t="s">
        <v>24</v>
      </c>
      <c r="H180" s="2" t="s">
        <v>331</v>
      </c>
      <c r="I180" s="2" t="s">
        <v>329</v>
      </c>
      <c r="J180" s="2" t="s">
        <v>26</v>
      </c>
      <c r="K180" s="2" t="s">
        <v>332</v>
      </c>
      <c r="L180" s="3">
        <v>46088.0</v>
      </c>
      <c r="M180" s="2">
        <v>34.99</v>
      </c>
      <c r="N180" s="2">
        <v>34.99</v>
      </c>
      <c r="O180" s="2">
        <v>24.0</v>
      </c>
      <c r="P180" s="2">
        <v>13.0</v>
      </c>
      <c r="Q180" s="2" t="s">
        <v>333</v>
      </c>
      <c r="R180" s="2" t="s">
        <v>24</v>
      </c>
      <c r="S180" s="2" t="b">
        <f>COUNTIF('Marcas Target'!A:A,dados!$E180)&gt;0</f>
        <v>0</v>
      </c>
    </row>
    <row r="181" ht="15.75" customHeight="1">
      <c r="A181" s="2" t="s">
        <v>329</v>
      </c>
      <c r="B181" s="2" t="s">
        <v>330</v>
      </c>
      <c r="C181" s="2" t="s">
        <v>21</v>
      </c>
      <c r="D181" s="2" t="s">
        <v>22</v>
      </c>
      <c r="E181" s="2" t="s">
        <v>320</v>
      </c>
      <c r="F181" s="2" t="s">
        <v>24</v>
      </c>
      <c r="G181" s="2" t="s">
        <v>24</v>
      </c>
      <c r="H181" s="2" t="s">
        <v>331</v>
      </c>
      <c r="I181" s="2" t="s">
        <v>329</v>
      </c>
      <c r="J181" s="2" t="s">
        <v>26</v>
      </c>
      <c r="K181" s="2" t="s">
        <v>332</v>
      </c>
      <c r="L181" s="3">
        <v>46087.0</v>
      </c>
      <c r="M181" s="2">
        <v>34.99</v>
      </c>
      <c r="N181" s="2">
        <v>34.99</v>
      </c>
      <c r="O181" s="2">
        <v>3.0</v>
      </c>
      <c r="P181" s="2">
        <v>1.0</v>
      </c>
      <c r="Q181" s="2" t="s">
        <v>333</v>
      </c>
      <c r="R181" s="2" t="s">
        <v>24</v>
      </c>
      <c r="S181" s="2" t="b">
        <f>COUNTIF('Marcas Target'!A:A,dados!$E181)&gt;0</f>
        <v>0</v>
      </c>
    </row>
    <row r="182" ht="15.75" customHeight="1">
      <c r="A182" s="2" t="s">
        <v>334</v>
      </c>
      <c r="B182" s="2" t="s">
        <v>335</v>
      </c>
      <c r="C182" s="2" t="s">
        <v>21</v>
      </c>
      <c r="D182" s="2" t="s">
        <v>22</v>
      </c>
      <c r="E182" s="2" t="s">
        <v>336</v>
      </c>
      <c r="F182" s="2" t="s">
        <v>24</v>
      </c>
      <c r="G182" s="2" t="s">
        <v>24</v>
      </c>
      <c r="H182" s="2" t="s">
        <v>337</v>
      </c>
      <c r="I182" s="2" t="s">
        <v>334</v>
      </c>
      <c r="J182" s="2" t="s">
        <v>26</v>
      </c>
      <c r="K182" s="2" t="s">
        <v>338</v>
      </c>
      <c r="L182" s="3">
        <v>46089.0</v>
      </c>
      <c r="M182" s="2">
        <v>28.99</v>
      </c>
      <c r="N182" s="2">
        <v>28.99</v>
      </c>
      <c r="O182" s="2">
        <v>22.0</v>
      </c>
      <c r="P182" s="2">
        <v>22.0</v>
      </c>
      <c r="Q182" s="2" t="s">
        <v>339</v>
      </c>
      <c r="R182" s="2" t="s">
        <v>24</v>
      </c>
      <c r="S182" s="2" t="b">
        <f>COUNTIF('Marcas Target'!A:A,dados!$E182)&gt;0</f>
        <v>0</v>
      </c>
    </row>
    <row r="183" ht="15.75" customHeight="1">
      <c r="A183" s="2" t="s">
        <v>334</v>
      </c>
      <c r="B183" s="2" t="s">
        <v>335</v>
      </c>
      <c r="C183" s="2" t="s">
        <v>21</v>
      </c>
      <c r="D183" s="2" t="s">
        <v>22</v>
      </c>
      <c r="E183" s="2" t="s">
        <v>336</v>
      </c>
      <c r="F183" s="2" t="s">
        <v>24</v>
      </c>
      <c r="G183" s="2" t="s">
        <v>24</v>
      </c>
      <c r="H183" s="2" t="s">
        <v>337</v>
      </c>
      <c r="I183" s="2" t="s">
        <v>334</v>
      </c>
      <c r="J183" s="2" t="s">
        <v>26</v>
      </c>
      <c r="K183" s="2" t="s">
        <v>338</v>
      </c>
      <c r="L183" s="3">
        <v>46088.0</v>
      </c>
      <c r="M183" s="2">
        <v>28.99</v>
      </c>
      <c r="N183" s="2">
        <v>28.99</v>
      </c>
      <c r="O183" s="2">
        <v>24.0</v>
      </c>
      <c r="P183" s="2">
        <v>24.0</v>
      </c>
      <c r="Q183" s="2" t="s">
        <v>339</v>
      </c>
      <c r="R183" s="2" t="s">
        <v>24</v>
      </c>
      <c r="S183" s="2" t="b">
        <f>COUNTIF('Marcas Target'!A:A,dados!$E183)&gt;0</f>
        <v>0</v>
      </c>
    </row>
    <row r="184" ht="15.75" customHeight="1">
      <c r="A184" s="2" t="s">
        <v>334</v>
      </c>
      <c r="B184" s="2" t="s">
        <v>335</v>
      </c>
      <c r="C184" s="2" t="s">
        <v>21</v>
      </c>
      <c r="D184" s="2" t="s">
        <v>22</v>
      </c>
      <c r="E184" s="2" t="s">
        <v>336</v>
      </c>
      <c r="F184" s="2" t="s">
        <v>24</v>
      </c>
      <c r="G184" s="2" t="s">
        <v>24</v>
      </c>
      <c r="H184" s="2" t="s">
        <v>337</v>
      </c>
      <c r="I184" s="2" t="s">
        <v>334</v>
      </c>
      <c r="J184" s="2" t="s">
        <v>26</v>
      </c>
      <c r="K184" s="2" t="s">
        <v>338</v>
      </c>
      <c r="L184" s="3">
        <v>46087.0</v>
      </c>
      <c r="M184" s="2">
        <v>28.99</v>
      </c>
      <c r="N184" s="2">
        <v>28.99</v>
      </c>
      <c r="O184" s="2">
        <v>3.0</v>
      </c>
      <c r="P184" s="2">
        <v>1.0</v>
      </c>
      <c r="Q184" s="2" t="s">
        <v>339</v>
      </c>
      <c r="R184" s="2" t="s">
        <v>24</v>
      </c>
      <c r="S184" s="2" t="b">
        <f>COUNTIF('Marcas Target'!A:A,dados!$E184)&gt;0</f>
        <v>0</v>
      </c>
    </row>
    <row r="185" ht="15.75" customHeight="1">
      <c r="A185" s="2" t="s">
        <v>340</v>
      </c>
      <c r="B185" s="2" t="s">
        <v>341</v>
      </c>
      <c r="C185" s="2" t="s">
        <v>21</v>
      </c>
      <c r="D185" s="2" t="s">
        <v>22</v>
      </c>
      <c r="E185" s="2" t="s">
        <v>128</v>
      </c>
      <c r="F185" s="2" t="s">
        <v>24</v>
      </c>
      <c r="G185" s="2" t="s">
        <v>24</v>
      </c>
      <c r="H185" s="2" t="s">
        <v>342</v>
      </c>
      <c r="I185" s="2" t="s">
        <v>340</v>
      </c>
      <c r="J185" s="2" t="s">
        <v>26</v>
      </c>
      <c r="K185" s="2" t="s">
        <v>343</v>
      </c>
      <c r="L185" s="3">
        <v>46089.0</v>
      </c>
      <c r="M185" s="2">
        <v>59.9</v>
      </c>
      <c r="N185" s="2">
        <v>59.9</v>
      </c>
      <c r="O185" s="2">
        <v>22.0</v>
      </c>
      <c r="P185" s="2">
        <v>22.0</v>
      </c>
      <c r="Q185" s="2" t="s">
        <v>344</v>
      </c>
      <c r="R185" s="2" t="s">
        <v>24</v>
      </c>
      <c r="S185" s="2" t="b">
        <f>COUNTIF('Marcas Target'!A:A,dados!$E185)&gt;0</f>
        <v>1</v>
      </c>
    </row>
    <row r="186" ht="15.75" customHeight="1">
      <c r="A186" s="2" t="s">
        <v>340</v>
      </c>
      <c r="B186" s="2" t="s">
        <v>341</v>
      </c>
      <c r="C186" s="2" t="s">
        <v>21</v>
      </c>
      <c r="D186" s="2" t="s">
        <v>22</v>
      </c>
      <c r="E186" s="2" t="s">
        <v>128</v>
      </c>
      <c r="F186" s="2" t="s">
        <v>24</v>
      </c>
      <c r="G186" s="2" t="s">
        <v>24</v>
      </c>
      <c r="H186" s="2" t="s">
        <v>342</v>
      </c>
      <c r="I186" s="2" t="s">
        <v>340</v>
      </c>
      <c r="J186" s="2" t="s">
        <v>26</v>
      </c>
      <c r="K186" s="2" t="s">
        <v>343</v>
      </c>
      <c r="L186" s="3">
        <v>46088.0</v>
      </c>
      <c r="M186" s="2">
        <v>59.9</v>
      </c>
      <c r="N186" s="2">
        <v>59.9</v>
      </c>
      <c r="O186" s="2">
        <v>24.0</v>
      </c>
      <c r="P186" s="2">
        <v>17.0</v>
      </c>
      <c r="Q186" s="2" t="s">
        <v>344</v>
      </c>
      <c r="R186" s="2" t="s">
        <v>24</v>
      </c>
      <c r="S186" s="2" t="b">
        <f>COUNTIF('Marcas Target'!A:A,dados!$E186)&gt;0</f>
        <v>1</v>
      </c>
    </row>
    <row r="187" ht="15.75" customHeight="1">
      <c r="A187" s="2" t="s">
        <v>340</v>
      </c>
      <c r="B187" s="2" t="s">
        <v>341</v>
      </c>
      <c r="C187" s="2" t="s">
        <v>21</v>
      </c>
      <c r="D187" s="2" t="s">
        <v>22</v>
      </c>
      <c r="E187" s="2" t="s">
        <v>128</v>
      </c>
      <c r="F187" s="2" t="s">
        <v>24</v>
      </c>
      <c r="G187" s="2" t="s">
        <v>24</v>
      </c>
      <c r="H187" s="2" t="s">
        <v>342</v>
      </c>
      <c r="I187" s="2" t="s">
        <v>340</v>
      </c>
      <c r="J187" s="2" t="s">
        <v>26</v>
      </c>
      <c r="K187" s="2" t="s">
        <v>343</v>
      </c>
      <c r="L187" s="3">
        <v>46087.0</v>
      </c>
      <c r="M187" s="2">
        <v>59.9</v>
      </c>
      <c r="N187" s="2">
        <v>59.9</v>
      </c>
      <c r="O187" s="2">
        <v>3.0</v>
      </c>
      <c r="P187" s="2">
        <v>3.0</v>
      </c>
      <c r="Q187" s="2" t="s">
        <v>344</v>
      </c>
      <c r="R187" s="2" t="s">
        <v>24</v>
      </c>
      <c r="S187" s="2" t="b">
        <f>COUNTIF('Marcas Target'!A:A,dados!$E187)&gt;0</f>
        <v>1</v>
      </c>
    </row>
    <row r="188" ht="15.75" customHeight="1">
      <c r="A188" s="2" t="s">
        <v>345</v>
      </c>
      <c r="B188" s="2" t="s">
        <v>346</v>
      </c>
      <c r="C188" s="2" t="s">
        <v>21</v>
      </c>
      <c r="D188" s="2" t="s">
        <v>22</v>
      </c>
      <c r="E188" s="2" t="s">
        <v>139</v>
      </c>
      <c r="F188" s="2" t="s">
        <v>24</v>
      </c>
      <c r="G188" s="2" t="s">
        <v>24</v>
      </c>
      <c r="H188" s="2" t="s">
        <v>347</v>
      </c>
      <c r="I188" s="2" t="s">
        <v>345</v>
      </c>
      <c r="J188" s="2" t="s">
        <v>26</v>
      </c>
      <c r="K188" s="2" t="s">
        <v>348</v>
      </c>
      <c r="L188" s="3">
        <v>46089.0</v>
      </c>
      <c r="M188" s="2" t="s">
        <v>24</v>
      </c>
      <c r="N188" s="2" t="s">
        <v>24</v>
      </c>
      <c r="O188" s="2">
        <v>22.0</v>
      </c>
      <c r="P188" s="2">
        <v>0.0</v>
      </c>
      <c r="Q188" s="2" t="s">
        <v>349</v>
      </c>
      <c r="R188" s="2" t="s">
        <v>24</v>
      </c>
      <c r="S188" s="2" t="b">
        <f>COUNTIF('Marcas Target'!A:A,dados!$E188)&gt;0</f>
        <v>0</v>
      </c>
    </row>
    <row r="189" ht="15.75" customHeight="1">
      <c r="A189" s="2" t="s">
        <v>345</v>
      </c>
      <c r="B189" s="2" t="s">
        <v>346</v>
      </c>
      <c r="C189" s="2" t="s">
        <v>21</v>
      </c>
      <c r="D189" s="2" t="s">
        <v>22</v>
      </c>
      <c r="E189" s="2" t="s">
        <v>139</v>
      </c>
      <c r="F189" s="2" t="s">
        <v>24</v>
      </c>
      <c r="G189" s="2" t="s">
        <v>24</v>
      </c>
      <c r="H189" s="2" t="s">
        <v>347</v>
      </c>
      <c r="I189" s="2" t="s">
        <v>345</v>
      </c>
      <c r="J189" s="2" t="s">
        <v>26</v>
      </c>
      <c r="K189" s="2" t="s">
        <v>348</v>
      </c>
      <c r="L189" s="3">
        <v>46088.0</v>
      </c>
      <c r="M189" s="2">
        <v>3.09</v>
      </c>
      <c r="N189" s="2">
        <v>3.09</v>
      </c>
      <c r="O189" s="2">
        <v>24.0</v>
      </c>
      <c r="P189" s="2">
        <v>1.0</v>
      </c>
      <c r="Q189" s="2" t="s">
        <v>349</v>
      </c>
      <c r="R189" s="2" t="s">
        <v>24</v>
      </c>
      <c r="S189" s="2" t="b">
        <f>COUNTIF('Marcas Target'!A:A,dados!$E189)&gt;0</f>
        <v>0</v>
      </c>
    </row>
    <row r="190" ht="15.75" customHeight="1">
      <c r="A190" s="2" t="s">
        <v>345</v>
      </c>
      <c r="B190" s="2" t="s">
        <v>346</v>
      </c>
      <c r="C190" s="2" t="s">
        <v>21</v>
      </c>
      <c r="D190" s="2" t="s">
        <v>22</v>
      </c>
      <c r="E190" s="2" t="s">
        <v>139</v>
      </c>
      <c r="F190" s="2" t="s">
        <v>24</v>
      </c>
      <c r="G190" s="2" t="s">
        <v>24</v>
      </c>
      <c r="H190" s="2" t="s">
        <v>347</v>
      </c>
      <c r="I190" s="2" t="s">
        <v>345</v>
      </c>
      <c r="J190" s="2" t="s">
        <v>26</v>
      </c>
      <c r="K190" s="2" t="s">
        <v>348</v>
      </c>
      <c r="L190" s="3">
        <v>46087.0</v>
      </c>
      <c r="M190" s="2" t="s">
        <v>24</v>
      </c>
      <c r="N190" s="2" t="s">
        <v>24</v>
      </c>
      <c r="O190" s="2">
        <v>3.0</v>
      </c>
      <c r="P190" s="2">
        <v>0.0</v>
      </c>
      <c r="Q190" s="2" t="s">
        <v>349</v>
      </c>
      <c r="R190" s="2" t="s">
        <v>24</v>
      </c>
      <c r="S190" s="2" t="b">
        <f>COUNTIF('Marcas Target'!A:A,dados!$E190)&gt;0</f>
        <v>0</v>
      </c>
    </row>
    <row r="191" ht="15.75" customHeight="1">
      <c r="A191" s="2" t="s">
        <v>350</v>
      </c>
      <c r="B191" s="2" t="s">
        <v>351</v>
      </c>
      <c r="C191" s="2" t="s">
        <v>21</v>
      </c>
      <c r="D191" s="2" t="s">
        <v>22</v>
      </c>
      <c r="E191" s="2" t="s">
        <v>106</v>
      </c>
      <c r="F191" s="2" t="s">
        <v>24</v>
      </c>
      <c r="G191" s="2" t="s">
        <v>24</v>
      </c>
      <c r="H191" s="2" t="s">
        <v>352</v>
      </c>
      <c r="I191" s="2" t="s">
        <v>350</v>
      </c>
      <c r="J191" s="2" t="s">
        <v>26</v>
      </c>
      <c r="K191" s="2" t="s">
        <v>353</v>
      </c>
      <c r="L191" s="3">
        <v>46089.0</v>
      </c>
      <c r="M191" s="2">
        <v>36.99</v>
      </c>
      <c r="N191" s="2">
        <v>36.99</v>
      </c>
      <c r="O191" s="2">
        <v>22.0</v>
      </c>
      <c r="P191" s="2">
        <v>22.0</v>
      </c>
      <c r="Q191" s="2" t="s">
        <v>354</v>
      </c>
      <c r="R191" s="2" t="s">
        <v>24</v>
      </c>
      <c r="S191" s="2" t="b">
        <f>COUNTIF('Marcas Target'!A:A,dados!$E191)&gt;0</f>
        <v>0</v>
      </c>
    </row>
    <row r="192" ht="15.75" customHeight="1">
      <c r="A192" s="2" t="s">
        <v>350</v>
      </c>
      <c r="B192" s="2" t="s">
        <v>351</v>
      </c>
      <c r="C192" s="2" t="s">
        <v>21</v>
      </c>
      <c r="D192" s="2" t="s">
        <v>22</v>
      </c>
      <c r="E192" s="2" t="s">
        <v>106</v>
      </c>
      <c r="F192" s="2" t="s">
        <v>24</v>
      </c>
      <c r="G192" s="2" t="s">
        <v>24</v>
      </c>
      <c r="H192" s="2" t="s">
        <v>352</v>
      </c>
      <c r="I192" s="2" t="s">
        <v>350</v>
      </c>
      <c r="J192" s="2" t="s">
        <v>26</v>
      </c>
      <c r="K192" s="2" t="s">
        <v>353</v>
      </c>
      <c r="L192" s="3">
        <v>46088.0</v>
      </c>
      <c r="M192" s="2">
        <v>36.99</v>
      </c>
      <c r="N192" s="2">
        <v>36.99</v>
      </c>
      <c r="O192" s="2">
        <v>24.0</v>
      </c>
      <c r="P192" s="2">
        <v>23.0</v>
      </c>
      <c r="Q192" s="2" t="s">
        <v>354</v>
      </c>
      <c r="R192" s="2" t="s">
        <v>24</v>
      </c>
      <c r="S192" s="2" t="b">
        <f>COUNTIF('Marcas Target'!A:A,dados!$E192)&gt;0</f>
        <v>0</v>
      </c>
    </row>
    <row r="193" ht="15.75" customHeight="1">
      <c r="A193" s="2" t="s">
        <v>350</v>
      </c>
      <c r="B193" s="2" t="s">
        <v>351</v>
      </c>
      <c r="C193" s="2" t="s">
        <v>21</v>
      </c>
      <c r="D193" s="2" t="s">
        <v>22</v>
      </c>
      <c r="E193" s="2" t="s">
        <v>106</v>
      </c>
      <c r="F193" s="2" t="s">
        <v>24</v>
      </c>
      <c r="G193" s="2" t="s">
        <v>24</v>
      </c>
      <c r="H193" s="2" t="s">
        <v>352</v>
      </c>
      <c r="I193" s="2" t="s">
        <v>350</v>
      </c>
      <c r="J193" s="2" t="s">
        <v>26</v>
      </c>
      <c r="K193" s="2" t="s">
        <v>353</v>
      </c>
      <c r="L193" s="3">
        <v>46087.0</v>
      </c>
      <c r="M193" s="2">
        <v>36.99</v>
      </c>
      <c r="N193" s="2">
        <v>36.99</v>
      </c>
      <c r="O193" s="2">
        <v>3.0</v>
      </c>
      <c r="P193" s="2">
        <v>2.0</v>
      </c>
      <c r="Q193" s="2" t="s">
        <v>354</v>
      </c>
      <c r="R193" s="2" t="s">
        <v>24</v>
      </c>
      <c r="S193" s="2" t="b">
        <f>COUNTIF('Marcas Target'!A:A,dados!$E193)&gt;0</f>
        <v>0</v>
      </c>
    </row>
    <row r="194" ht="15.75" customHeight="1">
      <c r="A194" s="2" t="s">
        <v>355</v>
      </c>
      <c r="B194" s="2" t="s">
        <v>356</v>
      </c>
      <c r="C194" s="2" t="s">
        <v>21</v>
      </c>
      <c r="D194" s="2" t="s">
        <v>22</v>
      </c>
      <c r="E194" s="2" t="s">
        <v>294</v>
      </c>
      <c r="F194" s="2" t="s">
        <v>24</v>
      </c>
      <c r="G194" s="2" t="s">
        <v>24</v>
      </c>
      <c r="H194" s="2" t="s">
        <v>357</v>
      </c>
      <c r="I194" s="2" t="s">
        <v>355</v>
      </c>
      <c r="J194" s="2" t="s">
        <v>26</v>
      </c>
      <c r="K194" s="2" t="s">
        <v>358</v>
      </c>
      <c r="L194" s="3">
        <v>46089.0</v>
      </c>
      <c r="M194" s="2">
        <v>39.99</v>
      </c>
      <c r="N194" s="2">
        <v>39.99</v>
      </c>
      <c r="O194" s="2">
        <v>22.0</v>
      </c>
      <c r="P194" s="2">
        <v>22.0</v>
      </c>
      <c r="Q194" s="2" t="s">
        <v>359</v>
      </c>
      <c r="R194" s="2" t="s">
        <v>24</v>
      </c>
      <c r="S194" s="2" t="b">
        <f>COUNTIF('Marcas Target'!A:A,dados!$E194)&gt;0</f>
        <v>1</v>
      </c>
    </row>
    <row r="195" ht="15.75" customHeight="1">
      <c r="A195" s="2" t="s">
        <v>355</v>
      </c>
      <c r="B195" s="2" t="s">
        <v>356</v>
      </c>
      <c r="C195" s="2" t="s">
        <v>21</v>
      </c>
      <c r="D195" s="2" t="s">
        <v>22</v>
      </c>
      <c r="E195" s="2" t="s">
        <v>294</v>
      </c>
      <c r="F195" s="2" t="s">
        <v>24</v>
      </c>
      <c r="G195" s="2" t="s">
        <v>24</v>
      </c>
      <c r="H195" s="2" t="s">
        <v>357</v>
      </c>
      <c r="I195" s="2" t="s">
        <v>355</v>
      </c>
      <c r="J195" s="2" t="s">
        <v>26</v>
      </c>
      <c r="K195" s="2" t="s">
        <v>358</v>
      </c>
      <c r="L195" s="3">
        <v>46088.0</v>
      </c>
      <c r="M195" s="2">
        <v>39.99</v>
      </c>
      <c r="N195" s="2">
        <v>39.99</v>
      </c>
      <c r="O195" s="2">
        <v>24.0</v>
      </c>
      <c r="P195" s="2">
        <v>24.0</v>
      </c>
      <c r="Q195" s="2" t="s">
        <v>359</v>
      </c>
      <c r="R195" s="2" t="s">
        <v>24</v>
      </c>
      <c r="S195" s="2" t="b">
        <f>COUNTIF('Marcas Target'!A:A,dados!$E195)&gt;0</f>
        <v>1</v>
      </c>
    </row>
    <row r="196" ht="15.75" customHeight="1">
      <c r="A196" s="2" t="s">
        <v>355</v>
      </c>
      <c r="B196" s="2" t="s">
        <v>356</v>
      </c>
      <c r="C196" s="2" t="s">
        <v>21</v>
      </c>
      <c r="D196" s="2" t="s">
        <v>22</v>
      </c>
      <c r="E196" s="2" t="s">
        <v>294</v>
      </c>
      <c r="F196" s="2" t="s">
        <v>24</v>
      </c>
      <c r="G196" s="2" t="s">
        <v>24</v>
      </c>
      <c r="H196" s="2" t="s">
        <v>357</v>
      </c>
      <c r="I196" s="2" t="s">
        <v>355</v>
      </c>
      <c r="J196" s="2" t="s">
        <v>26</v>
      </c>
      <c r="K196" s="2" t="s">
        <v>358</v>
      </c>
      <c r="L196" s="3">
        <v>46087.0</v>
      </c>
      <c r="M196" s="2">
        <v>39.99</v>
      </c>
      <c r="N196" s="2">
        <v>39.99</v>
      </c>
      <c r="O196" s="2">
        <v>3.0</v>
      </c>
      <c r="P196" s="2">
        <v>2.0</v>
      </c>
      <c r="Q196" s="2" t="s">
        <v>359</v>
      </c>
      <c r="R196" s="2" t="s">
        <v>24</v>
      </c>
      <c r="S196" s="2" t="b">
        <f>COUNTIF('Marcas Target'!A:A,dados!$E196)&gt;0</f>
        <v>1</v>
      </c>
    </row>
    <row r="197" ht="15.75" customHeight="1">
      <c r="A197" s="2" t="s">
        <v>360</v>
      </c>
      <c r="B197" s="2" t="s">
        <v>361</v>
      </c>
      <c r="C197" s="2" t="s">
        <v>21</v>
      </c>
      <c r="D197" s="2" t="s">
        <v>22</v>
      </c>
      <c r="E197" s="2" t="s">
        <v>362</v>
      </c>
      <c r="F197" s="2" t="s">
        <v>24</v>
      </c>
      <c r="G197" s="2" t="s">
        <v>24</v>
      </c>
      <c r="H197" s="2" t="s">
        <v>363</v>
      </c>
      <c r="I197" s="2" t="s">
        <v>360</v>
      </c>
      <c r="J197" s="2" t="s">
        <v>26</v>
      </c>
      <c r="K197" s="2" t="s">
        <v>364</v>
      </c>
      <c r="L197" s="3">
        <v>46089.0</v>
      </c>
      <c r="M197" s="2">
        <v>26.89</v>
      </c>
      <c r="N197" s="2">
        <v>26.89</v>
      </c>
      <c r="O197" s="2">
        <v>22.0</v>
      </c>
      <c r="P197" s="2">
        <v>11.0</v>
      </c>
      <c r="Q197" s="2" t="s">
        <v>365</v>
      </c>
      <c r="R197" s="2" t="s">
        <v>24</v>
      </c>
      <c r="S197" s="2" t="b">
        <f>COUNTIF('Marcas Target'!A:A,dados!$E197)&gt;0</f>
        <v>0</v>
      </c>
    </row>
    <row r="198" ht="15.75" customHeight="1">
      <c r="A198" s="2" t="s">
        <v>360</v>
      </c>
      <c r="B198" s="2" t="s">
        <v>361</v>
      </c>
      <c r="C198" s="2" t="s">
        <v>21</v>
      </c>
      <c r="D198" s="2" t="s">
        <v>22</v>
      </c>
      <c r="E198" s="2" t="s">
        <v>362</v>
      </c>
      <c r="F198" s="2" t="s">
        <v>24</v>
      </c>
      <c r="G198" s="2" t="s">
        <v>24</v>
      </c>
      <c r="H198" s="2" t="s">
        <v>363</v>
      </c>
      <c r="I198" s="2" t="s">
        <v>360</v>
      </c>
      <c r="J198" s="2" t="s">
        <v>26</v>
      </c>
      <c r="K198" s="2" t="s">
        <v>364</v>
      </c>
      <c r="L198" s="3">
        <v>46088.0</v>
      </c>
      <c r="M198" s="2">
        <v>26.89</v>
      </c>
      <c r="N198" s="2">
        <v>26.89</v>
      </c>
      <c r="O198" s="2">
        <v>24.0</v>
      </c>
      <c r="P198" s="2">
        <v>14.0</v>
      </c>
      <c r="Q198" s="2" t="s">
        <v>365</v>
      </c>
      <c r="R198" s="2" t="s">
        <v>24</v>
      </c>
      <c r="S198" s="2" t="b">
        <f>COUNTIF('Marcas Target'!A:A,dados!$E198)&gt;0</f>
        <v>0</v>
      </c>
    </row>
    <row r="199" ht="15.75" customHeight="1">
      <c r="A199" s="2" t="s">
        <v>360</v>
      </c>
      <c r="B199" s="2" t="s">
        <v>361</v>
      </c>
      <c r="C199" s="2" t="s">
        <v>21</v>
      </c>
      <c r="D199" s="2" t="s">
        <v>22</v>
      </c>
      <c r="E199" s="2" t="s">
        <v>362</v>
      </c>
      <c r="F199" s="2" t="s">
        <v>24</v>
      </c>
      <c r="G199" s="2" t="s">
        <v>24</v>
      </c>
      <c r="H199" s="2" t="s">
        <v>363</v>
      </c>
      <c r="I199" s="2" t="s">
        <v>360</v>
      </c>
      <c r="J199" s="2" t="s">
        <v>26</v>
      </c>
      <c r="K199" s="2" t="s">
        <v>364</v>
      </c>
      <c r="L199" s="3">
        <v>46087.0</v>
      </c>
      <c r="M199" s="2">
        <v>26.89</v>
      </c>
      <c r="N199" s="2">
        <v>26.89</v>
      </c>
      <c r="O199" s="2">
        <v>3.0</v>
      </c>
      <c r="P199" s="2">
        <v>2.0</v>
      </c>
      <c r="Q199" s="2" t="s">
        <v>365</v>
      </c>
      <c r="R199" s="2" t="s">
        <v>24</v>
      </c>
      <c r="S199" s="2" t="b">
        <f>COUNTIF('Marcas Target'!A:A,dados!$E199)&gt;0</f>
        <v>0</v>
      </c>
    </row>
    <row r="200" ht="15.75" customHeight="1">
      <c r="A200" s="2" t="s">
        <v>366</v>
      </c>
      <c r="B200" s="2" t="s">
        <v>367</v>
      </c>
      <c r="C200" s="2" t="s">
        <v>21</v>
      </c>
      <c r="D200" s="2" t="s">
        <v>22</v>
      </c>
      <c r="E200" s="2" t="s">
        <v>294</v>
      </c>
      <c r="F200" s="2" t="s">
        <v>24</v>
      </c>
      <c r="G200" s="2" t="s">
        <v>24</v>
      </c>
      <c r="H200" s="2" t="s">
        <v>368</v>
      </c>
      <c r="I200" s="2" t="s">
        <v>366</v>
      </c>
      <c r="J200" s="2" t="s">
        <v>26</v>
      </c>
      <c r="K200" s="2" t="s">
        <v>369</v>
      </c>
      <c r="L200" s="3">
        <v>46089.0</v>
      </c>
      <c r="M200" s="2">
        <v>24.99</v>
      </c>
      <c r="N200" s="2">
        <v>24.99</v>
      </c>
      <c r="O200" s="2">
        <v>22.0</v>
      </c>
      <c r="P200" s="2">
        <v>20.0</v>
      </c>
      <c r="Q200" s="2" t="s">
        <v>370</v>
      </c>
      <c r="R200" s="2" t="s">
        <v>24</v>
      </c>
      <c r="S200" s="2" t="b">
        <f>COUNTIF('Marcas Target'!A:A,dados!$E200)&gt;0</f>
        <v>1</v>
      </c>
    </row>
    <row r="201" ht="15.75" customHeight="1">
      <c r="A201" s="2" t="s">
        <v>366</v>
      </c>
      <c r="B201" s="2" t="s">
        <v>367</v>
      </c>
      <c r="C201" s="2" t="s">
        <v>21</v>
      </c>
      <c r="D201" s="2" t="s">
        <v>22</v>
      </c>
      <c r="E201" s="2" t="s">
        <v>294</v>
      </c>
      <c r="F201" s="2" t="s">
        <v>24</v>
      </c>
      <c r="G201" s="2" t="s">
        <v>24</v>
      </c>
      <c r="H201" s="2" t="s">
        <v>368</v>
      </c>
      <c r="I201" s="2" t="s">
        <v>366</v>
      </c>
      <c r="J201" s="2" t="s">
        <v>26</v>
      </c>
      <c r="K201" s="2" t="s">
        <v>369</v>
      </c>
      <c r="L201" s="3">
        <v>46088.0</v>
      </c>
      <c r="M201" s="2">
        <v>24.99</v>
      </c>
      <c r="N201" s="2">
        <v>24.99</v>
      </c>
      <c r="O201" s="2">
        <v>24.0</v>
      </c>
      <c r="P201" s="2">
        <v>20.0</v>
      </c>
      <c r="Q201" s="2" t="s">
        <v>370</v>
      </c>
      <c r="R201" s="2" t="s">
        <v>24</v>
      </c>
      <c r="S201" s="2" t="b">
        <f>COUNTIF('Marcas Target'!A:A,dados!$E201)&gt;0</f>
        <v>1</v>
      </c>
    </row>
    <row r="202" ht="15.75" customHeight="1">
      <c r="A202" s="2" t="s">
        <v>366</v>
      </c>
      <c r="B202" s="2" t="s">
        <v>367</v>
      </c>
      <c r="C202" s="2" t="s">
        <v>21</v>
      </c>
      <c r="D202" s="2" t="s">
        <v>22</v>
      </c>
      <c r="E202" s="2" t="s">
        <v>294</v>
      </c>
      <c r="F202" s="2" t="s">
        <v>24</v>
      </c>
      <c r="G202" s="2" t="s">
        <v>24</v>
      </c>
      <c r="H202" s="2" t="s">
        <v>368</v>
      </c>
      <c r="I202" s="2" t="s">
        <v>366</v>
      </c>
      <c r="J202" s="2" t="s">
        <v>26</v>
      </c>
      <c r="K202" s="2" t="s">
        <v>369</v>
      </c>
      <c r="L202" s="3">
        <v>46087.0</v>
      </c>
      <c r="M202" s="2">
        <v>24.99</v>
      </c>
      <c r="N202" s="2">
        <v>24.99</v>
      </c>
      <c r="O202" s="2">
        <v>3.0</v>
      </c>
      <c r="P202" s="2">
        <v>1.0</v>
      </c>
      <c r="Q202" s="2" t="s">
        <v>370</v>
      </c>
      <c r="R202" s="2" t="s">
        <v>24</v>
      </c>
      <c r="S202" s="2" t="b">
        <f>COUNTIF('Marcas Target'!A:A,dados!$E202)&gt;0</f>
        <v>1</v>
      </c>
    </row>
    <row r="203" ht="15.75" customHeight="1">
      <c r="A203" s="2" t="s">
        <v>371</v>
      </c>
      <c r="B203" s="2" t="s">
        <v>372</v>
      </c>
      <c r="C203" s="2" t="s">
        <v>21</v>
      </c>
      <c r="D203" s="2" t="s">
        <v>22</v>
      </c>
      <c r="E203" s="2" t="s">
        <v>362</v>
      </c>
      <c r="F203" s="2" t="s">
        <v>24</v>
      </c>
      <c r="G203" s="2" t="s">
        <v>24</v>
      </c>
      <c r="H203" s="2" t="s">
        <v>373</v>
      </c>
      <c r="I203" s="2" t="s">
        <v>371</v>
      </c>
      <c r="J203" s="2" t="s">
        <v>26</v>
      </c>
      <c r="K203" s="2" t="s">
        <v>374</v>
      </c>
      <c r="L203" s="3">
        <v>46089.0</v>
      </c>
      <c r="M203" s="2">
        <v>26.89</v>
      </c>
      <c r="N203" s="2">
        <v>26.89</v>
      </c>
      <c r="O203" s="2">
        <v>22.0</v>
      </c>
      <c r="P203" s="2">
        <v>9.0</v>
      </c>
      <c r="Q203" s="2" t="s">
        <v>375</v>
      </c>
      <c r="R203" s="2" t="s">
        <v>24</v>
      </c>
      <c r="S203" s="2" t="b">
        <f>COUNTIF('Marcas Target'!A:A,dados!$E203)&gt;0</f>
        <v>0</v>
      </c>
    </row>
    <row r="204" ht="15.75" customHeight="1">
      <c r="A204" s="2" t="s">
        <v>371</v>
      </c>
      <c r="B204" s="2" t="s">
        <v>372</v>
      </c>
      <c r="C204" s="2" t="s">
        <v>21</v>
      </c>
      <c r="D204" s="2" t="s">
        <v>22</v>
      </c>
      <c r="E204" s="2" t="s">
        <v>362</v>
      </c>
      <c r="F204" s="2" t="s">
        <v>24</v>
      </c>
      <c r="G204" s="2" t="s">
        <v>24</v>
      </c>
      <c r="H204" s="2" t="s">
        <v>373</v>
      </c>
      <c r="I204" s="2" t="s">
        <v>371</v>
      </c>
      <c r="J204" s="2" t="s">
        <v>26</v>
      </c>
      <c r="K204" s="2" t="s">
        <v>374</v>
      </c>
      <c r="L204" s="3">
        <v>46088.0</v>
      </c>
      <c r="M204" s="2">
        <v>26.89</v>
      </c>
      <c r="N204" s="2">
        <v>26.89</v>
      </c>
      <c r="O204" s="2">
        <v>24.0</v>
      </c>
      <c r="P204" s="2">
        <v>8.0</v>
      </c>
      <c r="Q204" s="2" t="s">
        <v>375</v>
      </c>
      <c r="R204" s="2" t="s">
        <v>24</v>
      </c>
      <c r="S204" s="2" t="b">
        <f>COUNTIF('Marcas Target'!A:A,dados!$E204)&gt;0</f>
        <v>0</v>
      </c>
    </row>
    <row r="205" ht="15.75" customHeight="1">
      <c r="A205" s="2" t="s">
        <v>371</v>
      </c>
      <c r="B205" s="2" t="s">
        <v>372</v>
      </c>
      <c r="C205" s="2" t="s">
        <v>21</v>
      </c>
      <c r="D205" s="2" t="s">
        <v>22</v>
      </c>
      <c r="E205" s="2" t="s">
        <v>362</v>
      </c>
      <c r="F205" s="2" t="s">
        <v>24</v>
      </c>
      <c r="G205" s="2" t="s">
        <v>24</v>
      </c>
      <c r="H205" s="2" t="s">
        <v>373</v>
      </c>
      <c r="I205" s="2" t="s">
        <v>371</v>
      </c>
      <c r="J205" s="2" t="s">
        <v>26</v>
      </c>
      <c r="K205" s="2" t="s">
        <v>374</v>
      </c>
      <c r="L205" s="3">
        <v>46087.0</v>
      </c>
      <c r="M205" s="2">
        <v>26.89</v>
      </c>
      <c r="N205" s="2">
        <v>26.89</v>
      </c>
      <c r="O205" s="2">
        <v>3.0</v>
      </c>
      <c r="P205" s="2">
        <v>2.0</v>
      </c>
      <c r="Q205" s="2" t="s">
        <v>375</v>
      </c>
      <c r="R205" s="2" t="s">
        <v>24</v>
      </c>
      <c r="S205" s="2" t="b">
        <f>COUNTIF('Marcas Target'!A:A,dados!$E205)&gt;0</f>
        <v>0</v>
      </c>
    </row>
    <row r="206" ht="15.75" customHeight="1">
      <c r="A206" s="2" t="s">
        <v>376</v>
      </c>
      <c r="B206" s="2" t="s">
        <v>377</v>
      </c>
      <c r="C206" s="2" t="s">
        <v>21</v>
      </c>
      <c r="D206" s="2" t="s">
        <v>22</v>
      </c>
      <c r="E206" s="2" t="s">
        <v>378</v>
      </c>
      <c r="F206" s="2" t="s">
        <v>24</v>
      </c>
      <c r="G206" s="2" t="s">
        <v>24</v>
      </c>
      <c r="H206" s="2" t="s">
        <v>379</v>
      </c>
      <c r="I206" s="2" t="s">
        <v>376</v>
      </c>
      <c r="J206" s="2" t="s">
        <v>26</v>
      </c>
      <c r="K206" s="2" t="s">
        <v>380</v>
      </c>
      <c r="L206" s="3">
        <v>46089.0</v>
      </c>
      <c r="M206" s="2">
        <v>27.99</v>
      </c>
      <c r="N206" s="2">
        <v>27.99</v>
      </c>
      <c r="O206" s="2">
        <v>22.0</v>
      </c>
      <c r="P206" s="2">
        <v>22.0</v>
      </c>
      <c r="Q206" s="2" t="s">
        <v>381</v>
      </c>
      <c r="R206" s="2" t="s">
        <v>24</v>
      </c>
      <c r="S206" s="2" t="b">
        <f>COUNTIF('Marcas Target'!A:A,dados!$E206)&gt;0</f>
        <v>0</v>
      </c>
    </row>
    <row r="207" ht="15.75" customHeight="1">
      <c r="A207" s="2" t="s">
        <v>376</v>
      </c>
      <c r="B207" s="2" t="s">
        <v>377</v>
      </c>
      <c r="C207" s="2" t="s">
        <v>21</v>
      </c>
      <c r="D207" s="2" t="s">
        <v>22</v>
      </c>
      <c r="E207" s="2" t="s">
        <v>378</v>
      </c>
      <c r="F207" s="2" t="s">
        <v>24</v>
      </c>
      <c r="G207" s="2" t="s">
        <v>24</v>
      </c>
      <c r="H207" s="2" t="s">
        <v>379</v>
      </c>
      <c r="I207" s="2" t="s">
        <v>376</v>
      </c>
      <c r="J207" s="2" t="s">
        <v>26</v>
      </c>
      <c r="K207" s="2" t="s">
        <v>380</v>
      </c>
      <c r="L207" s="3">
        <v>46088.0</v>
      </c>
      <c r="M207" s="2">
        <v>27.99</v>
      </c>
      <c r="N207" s="2">
        <v>27.99</v>
      </c>
      <c r="O207" s="2">
        <v>24.0</v>
      </c>
      <c r="P207" s="2">
        <v>24.0</v>
      </c>
      <c r="Q207" s="2" t="s">
        <v>381</v>
      </c>
      <c r="R207" s="2" t="s">
        <v>24</v>
      </c>
      <c r="S207" s="2" t="b">
        <f>COUNTIF('Marcas Target'!A:A,dados!$E207)&gt;0</f>
        <v>0</v>
      </c>
    </row>
    <row r="208" ht="15.75" customHeight="1">
      <c r="A208" s="2" t="s">
        <v>376</v>
      </c>
      <c r="B208" s="2" t="s">
        <v>377</v>
      </c>
      <c r="C208" s="2" t="s">
        <v>21</v>
      </c>
      <c r="D208" s="2" t="s">
        <v>22</v>
      </c>
      <c r="E208" s="2" t="s">
        <v>378</v>
      </c>
      <c r="F208" s="2" t="s">
        <v>24</v>
      </c>
      <c r="G208" s="2" t="s">
        <v>24</v>
      </c>
      <c r="H208" s="2" t="s">
        <v>379</v>
      </c>
      <c r="I208" s="2" t="s">
        <v>376</v>
      </c>
      <c r="J208" s="2" t="s">
        <v>26</v>
      </c>
      <c r="K208" s="2" t="s">
        <v>380</v>
      </c>
      <c r="L208" s="3">
        <v>46087.0</v>
      </c>
      <c r="M208" s="2">
        <v>27.99</v>
      </c>
      <c r="N208" s="2">
        <v>27.99</v>
      </c>
      <c r="O208" s="2">
        <v>3.0</v>
      </c>
      <c r="P208" s="2">
        <v>3.0</v>
      </c>
      <c r="Q208" s="2" t="s">
        <v>381</v>
      </c>
      <c r="R208" s="2" t="s">
        <v>24</v>
      </c>
      <c r="S208" s="2" t="b">
        <f>COUNTIF('Marcas Target'!A:A,dados!$E208)&gt;0</f>
        <v>0</v>
      </c>
    </row>
    <row r="209" ht="15.75" customHeight="1">
      <c r="A209" s="2" t="s">
        <v>382</v>
      </c>
      <c r="B209" s="2" t="s">
        <v>383</v>
      </c>
      <c r="C209" s="2" t="s">
        <v>21</v>
      </c>
      <c r="D209" s="2" t="s">
        <v>22</v>
      </c>
      <c r="E209" s="2" t="s">
        <v>227</v>
      </c>
      <c r="F209" s="2" t="s">
        <v>24</v>
      </c>
      <c r="G209" s="2" t="s">
        <v>24</v>
      </c>
      <c r="H209" s="2" t="s">
        <v>384</v>
      </c>
      <c r="I209" s="2" t="s">
        <v>382</v>
      </c>
      <c r="J209" s="2" t="s">
        <v>26</v>
      </c>
      <c r="K209" s="2" t="s">
        <v>385</v>
      </c>
      <c r="L209" s="3">
        <v>46089.0</v>
      </c>
      <c r="M209" s="2">
        <v>22.99</v>
      </c>
      <c r="N209" s="2">
        <v>22.99</v>
      </c>
      <c r="O209" s="2">
        <v>22.0</v>
      </c>
      <c r="P209" s="2">
        <v>14.0</v>
      </c>
      <c r="Q209" s="2" t="s">
        <v>386</v>
      </c>
      <c r="R209" s="2" t="s">
        <v>24</v>
      </c>
      <c r="S209" s="2" t="b">
        <f>COUNTIF('Marcas Target'!A:A,dados!$E209)&gt;0</f>
        <v>0</v>
      </c>
    </row>
    <row r="210" ht="15.75" customHeight="1">
      <c r="A210" s="2" t="s">
        <v>382</v>
      </c>
      <c r="B210" s="2" t="s">
        <v>383</v>
      </c>
      <c r="C210" s="2" t="s">
        <v>21</v>
      </c>
      <c r="D210" s="2" t="s">
        <v>22</v>
      </c>
      <c r="E210" s="2" t="s">
        <v>227</v>
      </c>
      <c r="F210" s="2" t="s">
        <v>24</v>
      </c>
      <c r="G210" s="2" t="s">
        <v>24</v>
      </c>
      <c r="H210" s="2" t="s">
        <v>384</v>
      </c>
      <c r="I210" s="2" t="s">
        <v>382</v>
      </c>
      <c r="J210" s="2" t="s">
        <v>26</v>
      </c>
      <c r="K210" s="2" t="s">
        <v>385</v>
      </c>
      <c r="L210" s="3">
        <v>46088.0</v>
      </c>
      <c r="M210" s="2">
        <v>22.99</v>
      </c>
      <c r="N210" s="2">
        <v>22.99</v>
      </c>
      <c r="O210" s="2">
        <v>24.0</v>
      </c>
      <c r="P210" s="2">
        <v>20.0</v>
      </c>
      <c r="Q210" s="2" t="s">
        <v>386</v>
      </c>
      <c r="R210" s="2" t="s">
        <v>24</v>
      </c>
      <c r="S210" s="2" t="b">
        <f>COUNTIF('Marcas Target'!A:A,dados!$E210)&gt;0</f>
        <v>0</v>
      </c>
    </row>
    <row r="211" ht="15.75" customHeight="1">
      <c r="A211" s="2" t="s">
        <v>382</v>
      </c>
      <c r="B211" s="2" t="s">
        <v>383</v>
      </c>
      <c r="C211" s="2" t="s">
        <v>21</v>
      </c>
      <c r="D211" s="2" t="s">
        <v>22</v>
      </c>
      <c r="E211" s="2" t="s">
        <v>227</v>
      </c>
      <c r="F211" s="2" t="s">
        <v>24</v>
      </c>
      <c r="G211" s="2" t="s">
        <v>24</v>
      </c>
      <c r="H211" s="2" t="s">
        <v>384</v>
      </c>
      <c r="I211" s="2" t="s">
        <v>382</v>
      </c>
      <c r="J211" s="2" t="s">
        <v>26</v>
      </c>
      <c r="K211" s="2" t="s">
        <v>385</v>
      </c>
      <c r="L211" s="3">
        <v>46087.0</v>
      </c>
      <c r="M211" s="2">
        <v>22.99</v>
      </c>
      <c r="N211" s="2">
        <v>22.99</v>
      </c>
      <c r="O211" s="2">
        <v>3.0</v>
      </c>
      <c r="P211" s="2">
        <v>3.0</v>
      </c>
      <c r="Q211" s="2" t="s">
        <v>386</v>
      </c>
      <c r="R211" s="2" t="s">
        <v>24</v>
      </c>
      <c r="S211" s="2" t="b">
        <f>COUNTIF('Marcas Target'!A:A,dados!$E211)&gt;0</f>
        <v>0</v>
      </c>
    </row>
    <row r="212" ht="15.75" customHeight="1">
      <c r="A212" s="2" t="s">
        <v>387</v>
      </c>
      <c r="B212" s="2" t="s">
        <v>388</v>
      </c>
      <c r="C212" s="2" t="s">
        <v>21</v>
      </c>
      <c r="D212" s="2" t="s">
        <v>22</v>
      </c>
      <c r="E212" s="2" t="s">
        <v>378</v>
      </c>
      <c r="F212" s="2" t="s">
        <v>24</v>
      </c>
      <c r="G212" s="2" t="s">
        <v>24</v>
      </c>
      <c r="H212" s="2" t="s">
        <v>389</v>
      </c>
      <c r="I212" s="2" t="s">
        <v>387</v>
      </c>
      <c r="J212" s="2" t="s">
        <v>26</v>
      </c>
      <c r="K212" s="2" t="s">
        <v>390</v>
      </c>
      <c r="L212" s="3">
        <v>46089.0</v>
      </c>
      <c r="M212" s="2">
        <v>25.99</v>
      </c>
      <c r="N212" s="2">
        <v>25.99</v>
      </c>
      <c r="O212" s="2">
        <v>22.0</v>
      </c>
      <c r="P212" s="2">
        <v>22.0</v>
      </c>
      <c r="Q212" s="2" t="s">
        <v>391</v>
      </c>
      <c r="R212" s="2" t="s">
        <v>24</v>
      </c>
      <c r="S212" s="2" t="b">
        <f>COUNTIF('Marcas Target'!A:A,dados!$E212)&gt;0</f>
        <v>0</v>
      </c>
    </row>
    <row r="213" ht="15.75" customHeight="1">
      <c r="A213" s="2" t="s">
        <v>387</v>
      </c>
      <c r="B213" s="2" t="s">
        <v>388</v>
      </c>
      <c r="C213" s="2" t="s">
        <v>21</v>
      </c>
      <c r="D213" s="2" t="s">
        <v>22</v>
      </c>
      <c r="E213" s="2" t="s">
        <v>378</v>
      </c>
      <c r="F213" s="2" t="s">
        <v>24</v>
      </c>
      <c r="G213" s="2" t="s">
        <v>24</v>
      </c>
      <c r="H213" s="2" t="s">
        <v>389</v>
      </c>
      <c r="I213" s="2" t="s">
        <v>387</v>
      </c>
      <c r="J213" s="2" t="s">
        <v>26</v>
      </c>
      <c r="K213" s="2" t="s">
        <v>390</v>
      </c>
      <c r="L213" s="3">
        <v>46088.0</v>
      </c>
      <c r="M213" s="2">
        <v>25.99</v>
      </c>
      <c r="N213" s="2">
        <v>25.99</v>
      </c>
      <c r="O213" s="2">
        <v>24.0</v>
      </c>
      <c r="P213" s="2">
        <v>24.0</v>
      </c>
      <c r="Q213" s="2" t="s">
        <v>391</v>
      </c>
      <c r="R213" s="2" t="s">
        <v>24</v>
      </c>
      <c r="S213" s="2" t="b">
        <f>COUNTIF('Marcas Target'!A:A,dados!$E213)&gt;0</f>
        <v>0</v>
      </c>
    </row>
    <row r="214" ht="15.75" customHeight="1">
      <c r="A214" s="2" t="s">
        <v>387</v>
      </c>
      <c r="B214" s="2" t="s">
        <v>388</v>
      </c>
      <c r="C214" s="2" t="s">
        <v>21</v>
      </c>
      <c r="D214" s="2" t="s">
        <v>22</v>
      </c>
      <c r="E214" s="2" t="s">
        <v>378</v>
      </c>
      <c r="F214" s="2" t="s">
        <v>24</v>
      </c>
      <c r="G214" s="2" t="s">
        <v>24</v>
      </c>
      <c r="H214" s="2" t="s">
        <v>389</v>
      </c>
      <c r="I214" s="2" t="s">
        <v>387</v>
      </c>
      <c r="J214" s="2" t="s">
        <v>26</v>
      </c>
      <c r="K214" s="2" t="s">
        <v>390</v>
      </c>
      <c r="L214" s="3">
        <v>46087.0</v>
      </c>
      <c r="M214" s="2">
        <v>25.99</v>
      </c>
      <c r="N214" s="2">
        <v>25.99</v>
      </c>
      <c r="O214" s="2">
        <v>3.0</v>
      </c>
      <c r="P214" s="2">
        <v>3.0</v>
      </c>
      <c r="Q214" s="2" t="s">
        <v>391</v>
      </c>
      <c r="R214" s="2" t="s">
        <v>24</v>
      </c>
      <c r="S214" s="2" t="b">
        <f>COUNTIF('Marcas Target'!A:A,dados!$E214)&gt;0</f>
        <v>0</v>
      </c>
    </row>
    <row r="215" ht="15.75" customHeight="1">
      <c r="A215" s="2" t="s">
        <v>392</v>
      </c>
      <c r="B215" s="2" t="s">
        <v>393</v>
      </c>
      <c r="C215" s="2" t="s">
        <v>21</v>
      </c>
      <c r="D215" s="2" t="s">
        <v>22</v>
      </c>
      <c r="E215" s="2" t="s">
        <v>394</v>
      </c>
      <c r="F215" s="2" t="s">
        <v>24</v>
      </c>
      <c r="G215" s="2" t="s">
        <v>24</v>
      </c>
      <c r="H215" s="2" t="s">
        <v>395</v>
      </c>
      <c r="I215" s="2" t="s">
        <v>392</v>
      </c>
      <c r="J215" s="2" t="s">
        <v>26</v>
      </c>
      <c r="K215" s="2" t="s">
        <v>396</v>
      </c>
      <c r="L215" s="3">
        <v>46089.0</v>
      </c>
      <c r="M215" s="2">
        <v>7.79</v>
      </c>
      <c r="N215" s="2">
        <v>7.79</v>
      </c>
      <c r="O215" s="2">
        <v>22.0</v>
      </c>
      <c r="P215" s="2">
        <v>1.0</v>
      </c>
      <c r="Q215" s="2" t="s">
        <v>397</v>
      </c>
      <c r="R215" s="2" t="s">
        <v>24</v>
      </c>
      <c r="S215" s="2" t="b">
        <f>COUNTIF('Marcas Target'!A:A,dados!$E215)&gt;0</f>
        <v>0</v>
      </c>
    </row>
    <row r="216" ht="15.75" customHeight="1">
      <c r="A216" s="2" t="s">
        <v>392</v>
      </c>
      <c r="B216" s="2" t="s">
        <v>393</v>
      </c>
      <c r="C216" s="2" t="s">
        <v>21</v>
      </c>
      <c r="D216" s="2" t="s">
        <v>22</v>
      </c>
      <c r="E216" s="2" t="s">
        <v>394</v>
      </c>
      <c r="F216" s="2" t="s">
        <v>24</v>
      </c>
      <c r="G216" s="2" t="s">
        <v>24</v>
      </c>
      <c r="H216" s="2" t="s">
        <v>395</v>
      </c>
      <c r="I216" s="2" t="s">
        <v>392</v>
      </c>
      <c r="J216" s="2" t="s">
        <v>26</v>
      </c>
      <c r="K216" s="2" t="s">
        <v>396</v>
      </c>
      <c r="L216" s="3">
        <v>46088.0</v>
      </c>
      <c r="M216" s="2">
        <v>16.79</v>
      </c>
      <c r="N216" s="2">
        <v>16.79</v>
      </c>
      <c r="O216" s="2">
        <v>24.0</v>
      </c>
      <c r="P216" s="2">
        <v>1.0</v>
      </c>
      <c r="Q216" s="2" t="s">
        <v>397</v>
      </c>
      <c r="R216" s="2" t="s">
        <v>24</v>
      </c>
      <c r="S216" s="2" t="b">
        <f>COUNTIF('Marcas Target'!A:A,dados!$E216)&gt;0</f>
        <v>0</v>
      </c>
    </row>
    <row r="217" ht="15.75" customHeight="1">
      <c r="A217" s="2" t="s">
        <v>392</v>
      </c>
      <c r="B217" s="2" t="s">
        <v>393</v>
      </c>
      <c r="C217" s="2" t="s">
        <v>21</v>
      </c>
      <c r="D217" s="2" t="s">
        <v>22</v>
      </c>
      <c r="E217" s="2" t="s">
        <v>394</v>
      </c>
      <c r="F217" s="2" t="s">
        <v>24</v>
      </c>
      <c r="G217" s="2" t="s">
        <v>24</v>
      </c>
      <c r="H217" s="2" t="s">
        <v>395</v>
      </c>
      <c r="I217" s="2" t="s">
        <v>392</v>
      </c>
      <c r="J217" s="2" t="s">
        <v>26</v>
      </c>
      <c r="K217" s="2" t="s">
        <v>396</v>
      </c>
      <c r="L217" s="3">
        <v>46087.0</v>
      </c>
      <c r="M217" s="2" t="s">
        <v>24</v>
      </c>
      <c r="N217" s="2" t="s">
        <v>24</v>
      </c>
      <c r="O217" s="2">
        <v>3.0</v>
      </c>
      <c r="P217" s="2">
        <v>0.0</v>
      </c>
      <c r="Q217" s="2" t="s">
        <v>397</v>
      </c>
      <c r="R217" s="2" t="s">
        <v>24</v>
      </c>
      <c r="S217" s="2" t="b">
        <f>COUNTIF('Marcas Target'!A:A,dados!$E217)&gt;0</f>
        <v>0</v>
      </c>
    </row>
    <row r="218" ht="15.75" customHeight="1">
      <c r="A218" s="2" t="s">
        <v>398</v>
      </c>
      <c r="B218" s="2" t="s">
        <v>399</v>
      </c>
      <c r="C218" s="2" t="s">
        <v>21</v>
      </c>
      <c r="D218" s="2" t="s">
        <v>22</v>
      </c>
      <c r="E218" s="2" t="s">
        <v>378</v>
      </c>
      <c r="F218" s="2" t="s">
        <v>24</v>
      </c>
      <c r="G218" s="2" t="s">
        <v>24</v>
      </c>
      <c r="H218" s="2" t="s">
        <v>400</v>
      </c>
      <c r="I218" s="2" t="s">
        <v>398</v>
      </c>
      <c r="J218" s="2" t="s">
        <v>26</v>
      </c>
      <c r="K218" s="2" t="s">
        <v>401</v>
      </c>
      <c r="L218" s="3">
        <v>46089.0</v>
      </c>
      <c r="M218" s="2">
        <v>25.99</v>
      </c>
      <c r="N218" s="2">
        <v>25.99</v>
      </c>
      <c r="O218" s="2">
        <v>22.0</v>
      </c>
      <c r="P218" s="2">
        <v>22.0</v>
      </c>
      <c r="Q218" s="2" t="s">
        <v>402</v>
      </c>
      <c r="R218" s="2" t="s">
        <v>24</v>
      </c>
      <c r="S218" s="2" t="b">
        <f>COUNTIF('Marcas Target'!A:A,dados!$E218)&gt;0</f>
        <v>0</v>
      </c>
    </row>
    <row r="219" ht="15.75" customHeight="1">
      <c r="A219" s="2" t="s">
        <v>398</v>
      </c>
      <c r="B219" s="2" t="s">
        <v>399</v>
      </c>
      <c r="C219" s="2" t="s">
        <v>21</v>
      </c>
      <c r="D219" s="2" t="s">
        <v>22</v>
      </c>
      <c r="E219" s="2" t="s">
        <v>378</v>
      </c>
      <c r="F219" s="2" t="s">
        <v>24</v>
      </c>
      <c r="G219" s="2" t="s">
        <v>24</v>
      </c>
      <c r="H219" s="2" t="s">
        <v>400</v>
      </c>
      <c r="I219" s="2" t="s">
        <v>398</v>
      </c>
      <c r="J219" s="2" t="s">
        <v>26</v>
      </c>
      <c r="K219" s="2" t="s">
        <v>401</v>
      </c>
      <c r="L219" s="3">
        <v>46088.0</v>
      </c>
      <c r="M219" s="2">
        <v>25.99</v>
      </c>
      <c r="N219" s="2">
        <v>25.99</v>
      </c>
      <c r="O219" s="2">
        <v>24.0</v>
      </c>
      <c r="P219" s="2">
        <v>23.0</v>
      </c>
      <c r="Q219" s="2" t="s">
        <v>402</v>
      </c>
      <c r="R219" s="2" t="s">
        <v>24</v>
      </c>
      <c r="S219" s="2" t="b">
        <f>COUNTIF('Marcas Target'!A:A,dados!$E219)&gt;0</f>
        <v>0</v>
      </c>
    </row>
    <row r="220" ht="15.75" customHeight="1">
      <c r="A220" s="2" t="s">
        <v>398</v>
      </c>
      <c r="B220" s="2" t="s">
        <v>399</v>
      </c>
      <c r="C220" s="2" t="s">
        <v>21</v>
      </c>
      <c r="D220" s="2" t="s">
        <v>22</v>
      </c>
      <c r="E220" s="2" t="s">
        <v>378</v>
      </c>
      <c r="F220" s="2" t="s">
        <v>24</v>
      </c>
      <c r="G220" s="2" t="s">
        <v>24</v>
      </c>
      <c r="H220" s="2" t="s">
        <v>400</v>
      </c>
      <c r="I220" s="2" t="s">
        <v>398</v>
      </c>
      <c r="J220" s="2" t="s">
        <v>26</v>
      </c>
      <c r="K220" s="2" t="s">
        <v>401</v>
      </c>
      <c r="L220" s="3">
        <v>46087.0</v>
      </c>
      <c r="M220" s="2">
        <v>25.99</v>
      </c>
      <c r="N220" s="2">
        <v>25.99</v>
      </c>
      <c r="O220" s="2">
        <v>3.0</v>
      </c>
      <c r="P220" s="2">
        <v>2.0</v>
      </c>
      <c r="Q220" s="2" t="s">
        <v>402</v>
      </c>
      <c r="R220" s="2" t="s">
        <v>24</v>
      </c>
      <c r="S220" s="2" t="b">
        <f>COUNTIF('Marcas Target'!A:A,dados!$E220)&gt;0</f>
        <v>0</v>
      </c>
    </row>
    <row r="221" ht="15.75" customHeight="1">
      <c r="A221" s="2" t="s">
        <v>403</v>
      </c>
      <c r="B221" s="2" t="s">
        <v>404</v>
      </c>
      <c r="C221" s="2" t="s">
        <v>21</v>
      </c>
      <c r="D221" s="2" t="s">
        <v>22</v>
      </c>
      <c r="E221" s="2" t="s">
        <v>320</v>
      </c>
      <c r="F221" s="2" t="s">
        <v>24</v>
      </c>
      <c r="G221" s="2" t="s">
        <v>24</v>
      </c>
      <c r="H221" s="2" t="s">
        <v>405</v>
      </c>
      <c r="I221" s="2" t="s">
        <v>403</v>
      </c>
      <c r="J221" s="2" t="s">
        <v>26</v>
      </c>
      <c r="K221" s="2" t="s">
        <v>406</v>
      </c>
      <c r="L221" s="3">
        <v>46089.0</v>
      </c>
      <c r="M221" s="2">
        <v>34.99</v>
      </c>
      <c r="N221" s="2">
        <v>34.99</v>
      </c>
      <c r="O221" s="2">
        <v>22.0</v>
      </c>
      <c r="P221" s="2">
        <v>11.0</v>
      </c>
      <c r="Q221" s="2" t="s">
        <v>407</v>
      </c>
      <c r="R221" s="2" t="s">
        <v>24</v>
      </c>
      <c r="S221" s="2" t="b">
        <f>COUNTIF('Marcas Target'!A:A,dados!$E221)&gt;0</f>
        <v>0</v>
      </c>
    </row>
    <row r="222" ht="15.75" customHeight="1">
      <c r="A222" s="2" t="s">
        <v>403</v>
      </c>
      <c r="B222" s="2" t="s">
        <v>404</v>
      </c>
      <c r="C222" s="2" t="s">
        <v>21</v>
      </c>
      <c r="D222" s="2" t="s">
        <v>22</v>
      </c>
      <c r="E222" s="2" t="s">
        <v>320</v>
      </c>
      <c r="F222" s="2" t="s">
        <v>24</v>
      </c>
      <c r="G222" s="2" t="s">
        <v>24</v>
      </c>
      <c r="H222" s="2" t="s">
        <v>405</v>
      </c>
      <c r="I222" s="2" t="s">
        <v>403</v>
      </c>
      <c r="J222" s="2" t="s">
        <v>26</v>
      </c>
      <c r="K222" s="2" t="s">
        <v>406</v>
      </c>
      <c r="L222" s="3">
        <v>46088.0</v>
      </c>
      <c r="M222" s="2">
        <v>34.99</v>
      </c>
      <c r="N222" s="2">
        <v>34.99</v>
      </c>
      <c r="O222" s="2">
        <v>24.0</v>
      </c>
      <c r="P222" s="2">
        <v>9.0</v>
      </c>
      <c r="Q222" s="2" t="s">
        <v>407</v>
      </c>
      <c r="R222" s="2" t="s">
        <v>24</v>
      </c>
      <c r="S222" s="2" t="b">
        <f>COUNTIF('Marcas Target'!A:A,dados!$E222)&gt;0</f>
        <v>0</v>
      </c>
    </row>
    <row r="223" ht="15.75" customHeight="1">
      <c r="A223" s="2" t="s">
        <v>403</v>
      </c>
      <c r="B223" s="2" t="s">
        <v>404</v>
      </c>
      <c r="C223" s="2" t="s">
        <v>21</v>
      </c>
      <c r="D223" s="2" t="s">
        <v>22</v>
      </c>
      <c r="E223" s="2" t="s">
        <v>320</v>
      </c>
      <c r="F223" s="2" t="s">
        <v>24</v>
      </c>
      <c r="G223" s="2" t="s">
        <v>24</v>
      </c>
      <c r="H223" s="2" t="s">
        <v>405</v>
      </c>
      <c r="I223" s="2" t="s">
        <v>403</v>
      </c>
      <c r="J223" s="2" t="s">
        <v>26</v>
      </c>
      <c r="K223" s="2" t="s">
        <v>406</v>
      </c>
      <c r="L223" s="3">
        <v>46087.0</v>
      </c>
      <c r="M223" s="2">
        <v>34.99</v>
      </c>
      <c r="N223" s="2">
        <v>34.99</v>
      </c>
      <c r="O223" s="2">
        <v>3.0</v>
      </c>
      <c r="P223" s="2">
        <v>2.0</v>
      </c>
      <c r="Q223" s="2" t="s">
        <v>407</v>
      </c>
      <c r="R223" s="2" t="s">
        <v>24</v>
      </c>
      <c r="S223" s="2" t="b">
        <f>COUNTIF('Marcas Target'!A:A,dados!$E223)&gt;0</f>
        <v>0</v>
      </c>
    </row>
    <row r="224" ht="15.75" customHeight="1">
      <c r="A224" s="2" t="s">
        <v>408</v>
      </c>
      <c r="B224" s="2" t="s">
        <v>409</v>
      </c>
      <c r="C224" s="2" t="s">
        <v>21</v>
      </c>
      <c r="D224" s="2" t="s">
        <v>22</v>
      </c>
      <c r="E224" s="2" t="s">
        <v>227</v>
      </c>
      <c r="F224" s="2" t="s">
        <v>24</v>
      </c>
      <c r="G224" s="2" t="s">
        <v>24</v>
      </c>
      <c r="H224" s="2" t="s">
        <v>410</v>
      </c>
      <c r="I224" s="2" t="s">
        <v>408</v>
      </c>
      <c r="J224" s="2" t="s">
        <v>26</v>
      </c>
      <c r="K224" s="2" t="s">
        <v>411</v>
      </c>
      <c r="L224" s="3">
        <v>46089.0</v>
      </c>
      <c r="M224" s="2">
        <v>32.99</v>
      </c>
      <c r="N224" s="2">
        <v>32.99</v>
      </c>
      <c r="O224" s="2">
        <v>22.0</v>
      </c>
      <c r="P224" s="2">
        <v>22.0</v>
      </c>
      <c r="Q224" s="2" t="s">
        <v>412</v>
      </c>
      <c r="R224" s="2" t="s">
        <v>24</v>
      </c>
      <c r="S224" s="2" t="b">
        <f>COUNTIF('Marcas Target'!A:A,dados!$E224)&gt;0</f>
        <v>0</v>
      </c>
    </row>
    <row r="225" ht="15.75" customHeight="1">
      <c r="A225" s="2" t="s">
        <v>408</v>
      </c>
      <c r="B225" s="2" t="s">
        <v>409</v>
      </c>
      <c r="C225" s="2" t="s">
        <v>21</v>
      </c>
      <c r="D225" s="2" t="s">
        <v>22</v>
      </c>
      <c r="E225" s="2" t="s">
        <v>227</v>
      </c>
      <c r="F225" s="2" t="s">
        <v>24</v>
      </c>
      <c r="G225" s="2" t="s">
        <v>24</v>
      </c>
      <c r="H225" s="2" t="s">
        <v>410</v>
      </c>
      <c r="I225" s="2" t="s">
        <v>408</v>
      </c>
      <c r="J225" s="2" t="s">
        <v>26</v>
      </c>
      <c r="K225" s="2" t="s">
        <v>411</v>
      </c>
      <c r="L225" s="3">
        <v>46088.0</v>
      </c>
      <c r="M225" s="2">
        <v>32.99</v>
      </c>
      <c r="N225" s="2">
        <v>32.99</v>
      </c>
      <c r="O225" s="2">
        <v>24.0</v>
      </c>
      <c r="P225" s="2">
        <v>19.0</v>
      </c>
      <c r="Q225" s="2" t="s">
        <v>412</v>
      </c>
      <c r="R225" s="2" t="s">
        <v>24</v>
      </c>
      <c r="S225" s="2" t="b">
        <f>COUNTIF('Marcas Target'!A:A,dados!$E225)&gt;0</f>
        <v>0</v>
      </c>
    </row>
    <row r="226" ht="15.75" customHeight="1">
      <c r="A226" s="2" t="s">
        <v>408</v>
      </c>
      <c r="B226" s="2" t="s">
        <v>409</v>
      </c>
      <c r="C226" s="2" t="s">
        <v>21</v>
      </c>
      <c r="D226" s="2" t="s">
        <v>22</v>
      </c>
      <c r="E226" s="2" t="s">
        <v>227</v>
      </c>
      <c r="F226" s="2" t="s">
        <v>24</v>
      </c>
      <c r="G226" s="2" t="s">
        <v>24</v>
      </c>
      <c r="H226" s="2" t="s">
        <v>410</v>
      </c>
      <c r="I226" s="2" t="s">
        <v>408</v>
      </c>
      <c r="J226" s="2" t="s">
        <v>26</v>
      </c>
      <c r="K226" s="2" t="s">
        <v>411</v>
      </c>
      <c r="L226" s="3">
        <v>46087.0</v>
      </c>
      <c r="M226" s="2">
        <v>32.99</v>
      </c>
      <c r="N226" s="2">
        <v>32.99</v>
      </c>
      <c r="O226" s="2">
        <v>3.0</v>
      </c>
      <c r="P226" s="2">
        <v>3.0</v>
      </c>
      <c r="Q226" s="2" t="s">
        <v>412</v>
      </c>
      <c r="R226" s="2" t="s">
        <v>24</v>
      </c>
      <c r="S226" s="2" t="b">
        <f>COUNTIF('Marcas Target'!A:A,dados!$E226)&gt;0</f>
        <v>0</v>
      </c>
    </row>
    <row r="227" ht="15.75" customHeight="1">
      <c r="A227" s="2" t="s">
        <v>413</v>
      </c>
      <c r="B227" s="2" t="s">
        <v>414</v>
      </c>
      <c r="C227" s="2" t="s">
        <v>21</v>
      </c>
      <c r="D227" s="2" t="s">
        <v>22</v>
      </c>
      <c r="E227" s="2" t="s">
        <v>378</v>
      </c>
      <c r="F227" s="2" t="s">
        <v>24</v>
      </c>
      <c r="G227" s="2" t="s">
        <v>24</v>
      </c>
      <c r="H227" s="2" t="s">
        <v>415</v>
      </c>
      <c r="I227" s="2" t="s">
        <v>413</v>
      </c>
      <c r="J227" s="2" t="s">
        <v>26</v>
      </c>
      <c r="K227" s="2" t="s">
        <v>416</v>
      </c>
      <c r="L227" s="3">
        <v>46089.0</v>
      </c>
      <c r="M227" s="2">
        <v>25.99</v>
      </c>
      <c r="N227" s="2">
        <v>25.99</v>
      </c>
      <c r="O227" s="2">
        <v>22.0</v>
      </c>
      <c r="P227" s="2">
        <v>22.0</v>
      </c>
      <c r="Q227" s="2" t="s">
        <v>417</v>
      </c>
      <c r="R227" s="2" t="s">
        <v>24</v>
      </c>
      <c r="S227" s="2" t="b">
        <f>COUNTIF('Marcas Target'!A:A,dados!$E227)&gt;0</f>
        <v>0</v>
      </c>
    </row>
    <row r="228" ht="15.75" customHeight="1">
      <c r="A228" s="2" t="s">
        <v>413</v>
      </c>
      <c r="B228" s="2" t="s">
        <v>414</v>
      </c>
      <c r="C228" s="2" t="s">
        <v>21</v>
      </c>
      <c r="D228" s="2" t="s">
        <v>22</v>
      </c>
      <c r="E228" s="2" t="s">
        <v>378</v>
      </c>
      <c r="F228" s="2" t="s">
        <v>24</v>
      </c>
      <c r="G228" s="2" t="s">
        <v>24</v>
      </c>
      <c r="H228" s="2" t="s">
        <v>415</v>
      </c>
      <c r="I228" s="2" t="s">
        <v>413</v>
      </c>
      <c r="J228" s="2" t="s">
        <v>26</v>
      </c>
      <c r="K228" s="2" t="s">
        <v>416</v>
      </c>
      <c r="L228" s="3">
        <v>46088.0</v>
      </c>
      <c r="M228" s="2">
        <v>25.99</v>
      </c>
      <c r="N228" s="2">
        <v>25.99</v>
      </c>
      <c r="O228" s="2">
        <v>24.0</v>
      </c>
      <c r="P228" s="2">
        <v>24.0</v>
      </c>
      <c r="Q228" s="2" t="s">
        <v>417</v>
      </c>
      <c r="R228" s="2" t="s">
        <v>24</v>
      </c>
      <c r="S228" s="2" t="b">
        <f>COUNTIF('Marcas Target'!A:A,dados!$E228)&gt;0</f>
        <v>0</v>
      </c>
    </row>
    <row r="229" ht="15.75" customHeight="1">
      <c r="A229" s="2" t="s">
        <v>413</v>
      </c>
      <c r="B229" s="2" t="s">
        <v>414</v>
      </c>
      <c r="C229" s="2" t="s">
        <v>21</v>
      </c>
      <c r="D229" s="2" t="s">
        <v>22</v>
      </c>
      <c r="E229" s="2" t="s">
        <v>378</v>
      </c>
      <c r="F229" s="2" t="s">
        <v>24</v>
      </c>
      <c r="G229" s="2" t="s">
        <v>24</v>
      </c>
      <c r="H229" s="2" t="s">
        <v>415</v>
      </c>
      <c r="I229" s="2" t="s">
        <v>413</v>
      </c>
      <c r="J229" s="2" t="s">
        <v>26</v>
      </c>
      <c r="K229" s="2" t="s">
        <v>416</v>
      </c>
      <c r="L229" s="3">
        <v>46087.0</v>
      </c>
      <c r="M229" s="2">
        <v>25.99</v>
      </c>
      <c r="N229" s="2">
        <v>25.99</v>
      </c>
      <c r="O229" s="2">
        <v>3.0</v>
      </c>
      <c r="P229" s="2">
        <v>3.0</v>
      </c>
      <c r="Q229" s="2" t="s">
        <v>417</v>
      </c>
      <c r="R229" s="2" t="s">
        <v>24</v>
      </c>
      <c r="S229" s="2" t="b">
        <f>COUNTIF('Marcas Target'!A:A,dados!$E229)&gt;0</f>
        <v>0</v>
      </c>
    </row>
    <row r="230" ht="15.75" customHeight="1">
      <c r="A230" s="2" t="s">
        <v>418</v>
      </c>
      <c r="B230" s="2" t="s">
        <v>419</v>
      </c>
      <c r="C230" s="2" t="s">
        <v>24</v>
      </c>
      <c r="D230" s="2" t="s">
        <v>24</v>
      </c>
      <c r="E230" s="2" t="s">
        <v>227</v>
      </c>
      <c r="F230" s="2" t="s">
        <v>24</v>
      </c>
      <c r="G230" s="2" t="s">
        <v>24</v>
      </c>
      <c r="H230" s="2" t="s">
        <v>420</v>
      </c>
      <c r="I230" s="2" t="s">
        <v>418</v>
      </c>
      <c r="J230" s="2" t="s">
        <v>26</v>
      </c>
      <c r="K230" s="2" t="s">
        <v>421</v>
      </c>
      <c r="L230" s="3">
        <v>46089.0</v>
      </c>
      <c r="M230" s="2">
        <v>26.99</v>
      </c>
      <c r="N230" s="2">
        <v>26.99</v>
      </c>
      <c r="O230" s="2">
        <v>22.0</v>
      </c>
      <c r="P230" s="2">
        <v>14.0</v>
      </c>
      <c r="Q230" s="2" t="s">
        <v>422</v>
      </c>
      <c r="R230" s="2" t="s">
        <v>24</v>
      </c>
      <c r="S230" s="2" t="b">
        <f>COUNTIF('Marcas Target'!A:A,dados!$E230)&gt;0</f>
        <v>0</v>
      </c>
    </row>
    <row r="231" ht="15.75" customHeight="1">
      <c r="A231" s="2" t="s">
        <v>418</v>
      </c>
      <c r="B231" s="2" t="s">
        <v>419</v>
      </c>
      <c r="C231" s="2" t="s">
        <v>24</v>
      </c>
      <c r="D231" s="2" t="s">
        <v>24</v>
      </c>
      <c r="E231" s="2" t="s">
        <v>227</v>
      </c>
      <c r="F231" s="2" t="s">
        <v>24</v>
      </c>
      <c r="G231" s="2" t="s">
        <v>24</v>
      </c>
      <c r="H231" s="2" t="s">
        <v>420</v>
      </c>
      <c r="I231" s="2" t="s">
        <v>418</v>
      </c>
      <c r="J231" s="2" t="s">
        <v>26</v>
      </c>
      <c r="K231" s="2" t="s">
        <v>421</v>
      </c>
      <c r="L231" s="3">
        <v>46088.0</v>
      </c>
      <c r="M231" s="2">
        <v>26.99</v>
      </c>
      <c r="N231" s="2">
        <v>26.99</v>
      </c>
      <c r="O231" s="2">
        <v>24.0</v>
      </c>
      <c r="P231" s="2">
        <v>20.0</v>
      </c>
      <c r="Q231" s="2" t="s">
        <v>422</v>
      </c>
      <c r="R231" s="2" t="s">
        <v>24</v>
      </c>
      <c r="S231" s="2" t="b">
        <f>COUNTIF('Marcas Target'!A:A,dados!$E231)&gt;0</f>
        <v>0</v>
      </c>
    </row>
    <row r="232" ht="15.75" customHeight="1">
      <c r="A232" s="2" t="s">
        <v>418</v>
      </c>
      <c r="B232" s="2" t="s">
        <v>419</v>
      </c>
      <c r="C232" s="2" t="s">
        <v>24</v>
      </c>
      <c r="D232" s="2" t="s">
        <v>24</v>
      </c>
      <c r="E232" s="2" t="s">
        <v>227</v>
      </c>
      <c r="F232" s="2" t="s">
        <v>24</v>
      </c>
      <c r="G232" s="2" t="s">
        <v>24</v>
      </c>
      <c r="H232" s="2" t="s">
        <v>420</v>
      </c>
      <c r="I232" s="2" t="s">
        <v>418</v>
      </c>
      <c r="J232" s="2" t="s">
        <v>26</v>
      </c>
      <c r="K232" s="2" t="s">
        <v>421</v>
      </c>
      <c r="L232" s="3">
        <v>46087.0</v>
      </c>
      <c r="M232" s="2">
        <v>26.99</v>
      </c>
      <c r="N232" s="2">
        <v>26.99</v>
      </c>
      <c r="O232" s="2">
        <v>3.0</v>
      </c>
      <c r="P232" s="2">
        <v>1.0</v>
      </c>
      <c r="Q232" s="2" t="s">
        <v>422</v>
      </c>
      <c r="R232" s="2" t="s">
        <v>24</v>
      </c>
      <c r="S232" s="2" t="b">
        <f>COUNTIF('Marcas Target'!A:A,dados!$E232)&gt;0</f>
        <v>0</v>
      </c>
    </row>
    <row r="233" ht="15.75" customHeight="1">
      <c r="A233" s="2" t="s">
        <v>423</v>
      </c>
      <c r="B233" s="2" t="s">
        <v>424</v>
      </c>
      <c r="C233" s="2" t="s">
        <v>21</v>
      </c>
      <c r="D233" s="2" t="s">
        <v>22</v>
      </c>
      <c r="E233" s="2" t="s">
        <v>425</v>
      </c>
      <c r="F233" s="2" t="s">
        <v>24</v>
      </c>
      <c r="G233" s="2" t="s">
        <v>24</v>
      </c>
      <c r="H233" s="2" t="s">
        <v>426</v>
      </c>
      <c r="I233" s="2" t="s">
        <v>423</v>
      </c>
      <c r="J233" s="2" t="s">
        <v>26</v>
      </c>
      <c r="K233" s="2" t="s">
        <v>427</v>
      </c>
      <c r="L233" s="3">
        <v>46089.0</v>
      </c>
      <c r="M233" s="2">
        <v>27.99</v>
      </c>
      <c r="N233" s="2">
        <v>27.99</v>
      </c>
      <c r="O233" s="2">
        <v>22.0</v>
      </c>
      <c r="P233" s="2">
        <v>21.0</v>
      </c>
      <c r="Q233" s="2" t="s">
        <v>428</v>
      </c>
      <c r="R233" s="2" t="s">
        <v>24</v>
      </c>
      <c r="S233" s="2" t="b">
        <f>COUNTIF('Marcas Target'!A:A,dados!$E233)&gt;0</f>
        <v>0</v>
      </c>
    </row>
    <row r="234" ht="15.75" customHeight="1">
      <c r="A234" s="2" t="s">
        <v>423</v>
      </c>
      <c r="B234" s="2" t="s">
        <v>424</v>
      </c>
      <c r="C234" s="2" t="s">
        <v>21</v>
      </c>
      <c r="D234" s="2" t="s">
        <v>22</v>
      </c>
      <c r="E234" s="2" t="s">
        <v>425</v>
      </c>
      <c r="F234" s="2" t="s">
        <v>24</v>
      </c>
      <c r="G234" s="2" t="s">
        <v>24</v>
      </c>
      <c r="H234" s="2" t="s">
        <v>426</v>
      </c>
      <c r="I234" s="2" t="s">
        <v>423</v>
      </c>
      <c r="J234" s="2" t="s">
        <v>26</v>
      </c>
      <c r="K234" s="2" t="s">
        <v>427</v>
      </c>
      <c r="L234" s="3">
        <v>46088.0</v>
      </c>
      <c r="M234" s="2">
        <v>27.99</v>
      </c>
      <c r="N234" s="2">
        <v>27.99</v>
      </c>
      <c r="O234" s="2">
        <v>24.0</v>
      </c>
      <c r="P234" s="2">
        <v>23.0</v>
      </c>
      <c r="Q234" s="2" t="s">
        <v>428</v>
      </c>
      <c r="R234" s="2" t="s">
        <v>24</v>
      </c>
      <c r="S234" s="2" t="b">
        <f>COUNTIF('Marcas Target'!A:A,dados!$E234)&gt;0</f>
        <v>0</v>
      </c>
    </row>
    <row r="235" ht="15.75" customHeight="1">
      <c r="A235" s="2" t="s">
        <v>423</v>
      </c>
      <c r="B235" s="2" t="s">
        <v>424</v>
      </c>
      <c r="C235" s="2" t="s">
        <v>21</v>
      </c>
      <c r="D235" s="2" t="s">
        <v>22</v>
      </c>
      <c r="E235" s="2" t="s">
        <v>425</v>
      </c>
      <c r="F235" s="2" t="s">
        <v>24</v>
      </c>
      <c r="G235" s="2" t="s">
        <v>24</v>
      </c>
      <c r="H235" s="2" t="s">
        <v>426</v>
      </c>
      <c r="I235" s="2" t="s">
        <v>423</v>
      </c>
      <c r="J235" s="2" t="s">
        <v>26</v>
      </c>
      <c r="K235" s="2" t="s">
        <v>427</v>
      </c>
      <c r="L235" s="3">
        <v>46087.0</v>
      </c>
      <c r="M235" s="2">
        <v>27.99</v>
      </c>
      <c r="N235" s="2">
        <v>27.99</v>
      </c>
      <c r="O235" s="2">
        <v>3.0</v>
      </c>
      <c r="P235" s="2">
        <v>2.0</v>
      </c>
      <c r="Q235" s="2" t="s">
        <v>428</v>
      </c>
      <c r="R235" s="2" t="s">
        <v>24</v>
      </c>
      <c r="S235" s="2" t="b">
        <f>COUNTIF('Marcas Target'!A:A,dados!$E235)&gt;0</f>
        <v>0</v>
      </c>
    </row>
    <row r="236" ht="15.75" customHeight="1">
      <c r="A236" s="2" t="s">
        <v>429</v>
      </c>
      <c r="B236" s="2" t="s">
        <v>430</v>
      </c>
      <c r="C236" s="2" t="s">
        <v>21</v>
      </c>
      <c r="D236" s="2" t="s">
        <v>22</v>
      </c>
      <c r="E236" s="2" t="s">
        <v>227</v>
      </c>
      <c r="F236" s="2" t="s">
        <v>24</v>
      </c>
      <c r="G236" s="2" t="s">
        <v>24</v>
      </c>
      <c r="H236" s="2" t="s">
        <v>431</v>
      </c>
      <c r="I236" s="2" t="s">
        <v>429</v>
      </c>
      <c r="J236" s="2" t="s">
        <v>26</v>
      </c>
      <c r="K236" s="2" t="s">
        <v>432</v>
      </c>
      <c r="L236" s="3">
        <v>46089.0</v>
      </c>
      <c r="M236" s="2">
        <v>22.99</v>
      </c>
      <c r="N236" s="2">
        <v>22.99</v>
      </c>
      <c r="O236" s="2">
        <v>22.0</v>
      </c>
      <c r="P236" s="2">
        <v>22.0</v>
      </c>
      <c r="Q236" s="2" t="s">
        <v>433</v>
      </c>
      <c r="R236" s="2" t="s">
        <v>24</v>
      </c>
      <c r="S236" s="2" t="b">
        <f>COUNTIF('Marcas Target'!A:A,dados!$E236)&gt;0</f>
        <v>0</v>
      </c>
    </row>
    <row r="237" ht="15.75" customHeight="1">
      <c r="A237" s="2" t="s">
        <v>429</v>
      </c>
      <c r="B237" s="2" t="s">
        <v>430</v>
      </c>
      <c r="C237" s="2" t="s">
        <v>21</v>
      </c>
      <c r="D237" s="2" t="s">
        <v>22</v>
      </c>
      <c r="E237" s="2" t="s">
        <v>227</v>
      </c>
      <c r="F237" s="2" t="s">
        <v>24</v>
      </c>
      <c r="G237" s="2" t="s">
        <v>24</v>
      </c>
      <c r="H237" s="2" t="s">
        <v>431</v>
      </c>
      <c r="I237" s="2" t="s">
        <v>429</v>
      </c>
      <c r="J237" s="2" t="s">
        <v>26</v>
      </c>
      <c r="K237" s="2" t="s">
        <v>432</v>
      </c>
      <c r="L237" s="3">
        <v>46088.0</v>
      </c>
      <c r="M237" s="2">
        <v>22.99</v>
      </c>
      <c r="N237" s="2">
        <v>22.99</v>
      </c>
      <c r="O237" s="2">
        <v>24.0</v>
      </c>
      <c r="P237" s="2">
        <v>23.0</v>
      </c>
      <c r="Q237" s="2" t="s">
        <v>433</v>
      </c>
      <c r="R237" s="2" t="s">
        <v>24</v>
      </c>
      <c r="S237" s="2" t="b">
        <f>COUNTIF('Marcas Target'!A:A,dados!$E237)&gt;0</f>
        <v>0</v>
      </c>
    </row>
    <row r="238" ht="15.75" customHeight="1">
      <c r="A238" s="2" t="s">
        <v>429</v>
      </c>
      <c r="B238" s="2" t="s">
        <v>430</v>
      </c>
      <c r="C238" s="2" t="s">
        <v>21</v>
      </c>
      <c r="D238" s="2" t="s">
        <v>22</v>
      </c>
      <c r="E238" s="2" t="s">
        <v>227</v>
      </c>
      <c r="F238" s="2" t="s">
        <v>24</v>
      </c>
      <c r="G238" s="2" t="s">
        <v>24</v>
      </c>
      <c r="H238" s="2" t="s">
        <v>431</v>
      </c>
      <c r="I238" s="2" t="s">
        <v>429</v>
      </c>
      <c r="J238" s="2" t="s">
        <v>26</v>
      </c>
      <c r="K238" s="2" t="s">
        <v>432</v>
      </c>
      <c r="L238" s="3">
        <v>46087.0</v>
      </c>
      <c r="M238" s="2">
        <v>22.99</v>
      </c>
      <c r="N238" s="2">
        <v>22.99</v>
      </c>
      <c r="O238" s="2">
        <v>3.0</v>
      </c>
      <c r="P238" s="2">
        <v>2.0</v>
      </c>
      <c r="Q238" s="2" t="s">
        <v>433</v>
      </c>
      <c r="R238" s="2" t="s">
        <v>24</v>
      </c>
      <c r="S238" s="2" t="b">
        <f>COUNTIF('Marcas Target'!A:A,dados!$E238)&gt;0</f>
        <v>0</v>
      </c>
    </row>
    <row r="239" ht="15.75" customHeight="1">
      <c r="A239" s="2" t="s">
        <v>434</v>
      </c>
      <c r="B239" s="2" t="s">
        <v>435</v>
      </c>
      <c r="C239" s="2" t="s">
        <v>21</v>
      </c>
      <c r="D239" s="2" t="s">
        <v>22</v>
      </c>
      <c r="E239" s="2" t="s">
        <v>227</v>
      </c>
      <c r="F239" s="2" t="s">
        <v>24</v>
      </c>
      <c r="G239" s="2" t="s">
        <v>24</v>
      </c>
      <c r="H239" s="2" t="s">
        <v>436</v>
      </c>
      <c r="I239" s="2" t="s">
        <v>434</v>
      </c>
      <c r="J239" s="2" t="s">
        <v>26</v>
      </c>
      <c r="K239" s="2" t="s">
        <v>437</v>
      </c>
      <c r="L239" s="3">
        <v>46089.0</v>
      </c>
      <c r="M239" s="2">
        <v>32.99</v>
      </c>
      <c r="N239" s="2">
        <v>32.99</v>
      </c>
      <c r="O239" s="2">
        <v>22.0</v>
      </c>
      <c r="P239" s="2">
        <v>22.0</v>
      </c>
      <c r="Q239" s="2" t="s">
        <v>438</v>
      </c>
      <c r="R239" s="2" t="s">
        <v>24</v>
      </c>
      <c r="S239" s="2" t="b">
        <f>COUNTIF('Marcas Target'!A:A,dados!$E239)&gt;0</f>
        <v>0</v>
      </c>
    </row>
    <row r="240" ht="15.75" customHeight="1">
      <c r="A240" s="2" t="s">
        <v>434</v>
      </c>
      <c r="B240" s="2" t="s">
        <v>435</v>
      </c>
      <c r="C240" s="2" t="s">
        <v>21</v>
      </c>
      <c r="D240" s="2" t="s">
        <v>22</v>
      </c>
      <c r="E240" s="2" t="s">
        <v>227</v>
      </c>
      <c r="F240" s="2" t="s">
        <v>24</v>
      </c>
      <c r="G240" s="2" t="s">
        <v>24</v>
      </c>
      <c r="H240" s="2" t="s">
        <v>436</v>
      </c>
      <c r="I240" s="2" t="s">
        <v>434</v>
      </c>
      <c r="J240" s="2" t="s">
        <v>26</v>
      </c>
      <c r="K240" s="2" t="s">
        <v>437</v>
      </c>
      <c r="L240" s="3">
        <v>46088.0</v>
      </c>
      <c r="M240" s="2">
        <v>31.32</v>
      </c>
      <c r="N240" s="2">
        <v>31.32</v>
      </c>
      <c r="O240" s="2">
        <v>24.0</v>
      </c>
      <c r="P240" s="2">
        <v>12.0</v>
      </c>
      <c r="Q240" s="2" t="s">
        <v>438</v>
      </c>
      <c r="R240" s="2" t="s">
        <v>24</v>
      </c>
      <c r="S240" s="2" t="b">
        <f>COUNTIF('Marcas Target'!A:A,dados!$E240)&gt;0</f>
        <v>0</v>
      </c>
    </row>
    <row r="241" ht="15.75" customHeight="1">
      <c r="A241" s="2" t="s">
        <v>434</v>
      </c>
      <c r="B241" s="2" t="s">
        <v>435</v>
      </c>
      <c r="C241" s="2" t="s">
        <v>21</v>
      </c>
      <c r="D241" s="2" t="s">
        <v>22</v>
      </c>
      <c r="E241" s="2" t="s">
        <v>227</v>
      </c>
      <c r="F241" s="2" t="s">
        <v>24</v>
      </c>
      <c r="G241" s="2" t="s">
        <v>24</v>
      </c>
      <c r="H241" s="2" t="s">
        <v>436</v>
      </c>
      <c r="I241" s="2" t="s">
        <v>434</v>
      </c>
      <c r="J241" s="2" t="s">
        <v>26</v>
      </c>
      <c r="K241" s="2" t="s">
        <v>437</v>
      </c>
      <c r="L241" s="3">
        <v>46087.0</v>
      </c>
      <c r="M241" s="2" t="s">
        <v>24</v>
      </c>
      <c r="N241" s="2" t="s">
        <v>24</v>
      </c>
      <c r="O241" s="2">
        <v>3.0</v>
      </c>
      <c r="P241" s="2">
        <v>0.0</v>
      </c>
      <c r="Q241" s="2" t="s">
        <v>438</v>
      </c>
      <c r="R241" s="2" t="s">
        <v>24</v>
      </c>
      <c r="S241" s="2" t="b">
        <f>COUNTIF('Marcas Target'!A:A,dados!$E241)&gt;0</f>
        <v>0</v>
      </c>
    </row>
    <row r="242" ht="15.75" customHeight="1">
      <c r="A242" s="2" t="s">
        <v>439</v>
      </c>
      <c r="B242" s="2" t="s">
        <v>440</v>
      </c>
      <c r="C242" s="2" t="s">
        <v>21</v>
      </c>
      <c r="D242" s="2" t="s">
        <v>22</v>
      </c>
      <c r="E242" s="2" t="s">
        <v>227</v>
      </c>
      <c r="F242" s="2" t="s">
        <v>24</v>
      </c>
      <c r="G242" s="2" t="s">
        <v>24</v>
      </c>
      <c r="H242" s="2" t="s">
        <v>441</v>
      </c>
      <c r="I242" s="2" t="s">
        <v>439</v>
      </c>
      <c r="J242" s="2" t="s">
        <v>26</v>
      </c>
      <c r="K242" s="2" t="s">
        <v>442</v>
      </c>
      <c r="L242" s="3">
        <v>46089.0</v>
      </c>
      <c r="M242" s="2">
        <v>32.99</v>
      </c>
      <c r="N242" s="2">
        <v>32.99</v>
      </c>
      <c r="O242" s="2">
        <v>22.0</v>
      </c>
      <c r="P242" s="2">
        <v>6.0</v>
      </c>
      <c r="Q242" s="2" t="s">
        <v>443</v>
      </c>
      <c r="R242" s="2" t="s">
        <v>24</v>
      </c>
      <c r="S242" s="2" t="b">
        <f>COUNTIF('Marcas Target'!A:A,dados!$E242)&gt;0</f>
        <v>0</v>
      </c>
    </row>
    <row r="243" ht="15.75" customHeight="1">
      <c r="A243" s="2" t="s">
        <v>439</v>
      </c>
      <c r="B243" s="2" t="s">
        <v>440</v>
      </c>
      <c r="C243" s="2" t="s">
        <v>21</v>
      </c>
      <c r="D243" s="2" t="s">
        <v>22</v>
      </c>
      <c r="E243" s="2" t="s">
        <v>227</v>
      </c>
      <c r="F243" s="2" t="s">
        <v>24</v>
      </c>
      <c r="G243" s="2" t="s">
        <v>24</v>
      </c>
      <c r="H243" s="2" t="s">
        <v>441</v>
      </c>
      <c r="I243" s="2" t="s">
        <v>439</v>
      </c>
      <c r="J243" s="2" t="s">
        <v>26</v>
      </c>
      <c r="K243" s="2" t="s">
        <v>442</v>
      </c>
      <c r="L243" s="3">
        <v>46088.0</v>
      </c>
      <c r="M243" s="2">
        <v>32.99</v>
      </c>
      <c r="N243" s="2">
        <v>32.99</v>
      </c>
      <c r="O243" s="2">
        <v>24.0</v>
      </c>
      <c r="P243" s="2">
        <v>6.0</v>
      </c>
      <c r="Q243" s="2" t="s">
        <v>443</v>
      </c>
      <c r="R243" s="2" t="s">
        <v>24</v>
      </c>
      <c r="S243" s="2" t="b">
        <f>COUNTIF('Marcas Target'!A:A,dados!$E243)&gt;0</f>
        <v>0</v>
      </c>
    </row>
    <row r="244" ht="15.75" customHeight="1">
      <c r="A244" s="2" t="s">
        <v>439</v>
      </c>
      <c r="B244" s="2" t="s">
        <v>440</v>
      </c>
      <c r="C244" s="2" t="s">
        <v>21</v>
      </c>
      <c r="D244" s="2" t="s">
        <v>22</v>
      </c>
      <c r="E244" s="2" t="s">
        <v>227</v>
      </c>
      <c r="F244" s="2" t="s">
        <v>24</v>
      </c>
      <c r="G244" s="2" t="s">
        <v>24</v>
      </c>
      <c r="H244" s="2" t="s">
        <v>441</v>
      </c>
      <c r="I244" s="2" t="s">
        <v>439</v>
      </c>
      <c r="J244" s="2" t="s">
        <v>26</v>
      </c>
      <c r="K244" s="2" t="s">
        <v>442</v>
      </c>
      <c r="L244" s="3">
        <v>46087.0</v>
      </c>
      <c r="M244" s="2">
        <v>32.99</v>
      </c>
      <c r="N244" s="2">
        <v>32.99</v>
      </c>
      <c r="O244" s="2">
        <v>3.0</v>
      </c>
      <c r="P244" s="2">
        <v>1.0</v>
      </c>
      <c r="Q244" s="2" t="s">
        <v>443</v>
      </c>
      <c r="R244" s="2" t="s">
        <v>24</v>
      </c>
      <c r="S244" s="2" t="b">
        <f>COUNTIF('Marcas Target'!A:A,dados!$E244)&gt;0</f>
        <v>0</v>
      </c>
    </row>
    <row r="245" ht="15.75" customHeight="1">
      <c r="A245" s="2" t="s">
        <v>444</v>
      </c>
      <c r="B245" s="2" t="s">
        <v>445</v>
      </c>
      <c r="C245" s="2" t="s">
        <v>21</v>
      </c>
      <c r="D245" s="2" t="s">
        <v>22</v>
      </c>
      <c r="E245" s="2" t="s">
        <v>227</v>
      </c>
      <c r="F245" s="2" t="s">
        <v>24</v>
      </c>
      <c r="G245" s="2" t="s">
        <v>24</v>
      </c>
      <c r="H245" s="2" t="s">
        <v>446</v>
      </c>
      <c r="I245" s="2" t="s">
        <v>444</v>
      </c>
      <c r="J245" s="2" t="s">
        <v>26</v>
      </c>
      <c r="K245" s="2" t="s">
        <v>447</v>
      </c>
      <c r="L245" s="3">
        <v>46089.0</v>
      </c>
      <c r="M245" s="2">
        <v>34.99</v>
      </c>
      <c r="N245" s="2">
        <v>34.99</v>
      </c>
      <c r="O245" s="2">
        <v>22.0</v>
      </c>
      <c r="P245" s="2">
        <v>21.0</v>
      </c>
      <c r="Q245" s="2" t="s">
        <v>448</v>
      </c>
      <c r="R245" s="2" t="s">
        <v>24</v>
      </c>
      <c r="S245" s="2" t="b">
        <f>COUNTIF('Marcas Target'!A:A,dados!$E245)&gt;0</f>
        <v>0</v>
      </c>
    </row>
    <row r="246" ht="15.75" customHeight="1">
      <c r="A246" s="2" t="s">
        <v>444</v>
      </c>
      <c r="B246" s="2" t="s">
        <v>445</v>
      </c>
      <c r="C246" s="2" t="s">
        <v>21</v>
      </c>
      <c r="D246" s="2" t="s">
        <v>22</v>
      </c>
      <c r="E246" s="2" t="s">
        <v>227</v>
      </c>
      <c r="F246" s="2" t="s">
        <v>24</v>
      </c>
      <c r="G246" s="2" t="s">
        <v>24</v>
      </c>
      <c r="H246" s="2" t="s">
        <v>446</v>
      </c>
      <c r="I246" s="2" t="s">
        <v>444</v>
      </c>
      <c r="J246" s="2" t="s">
        <v>26</v>
      </c>
      <c r="K246" s="2" t="s">
        <v>447</v>
      </c>
      <c r="L246" s="3">
        <v>46088.0</v>
      </c>
      <c r="M246" s="2">
        <v>34.99</v>
      </c>
      <c r="N246" s="2">
        <v>34.99</v>
      </c>
      <c r="O246" s="2">
        <v>24.0</v>
      </c>
      <c r="P246" s="2">
        <v>24.0</v>
      </c>
      <c r="Q246" s="2" t="s">
        <v>448</v>
      </c>
      <c r="R246" s="2" t="s">
        <v>24</v>
      </c>
      <c r="S246" s="2" t="b">
        <f>COUNTIF('Marcas Target'!A:A,dados!$E246)&gt;0</f>
        <v>0</v>
      </c>
    </row>
    <row r="247" ht="15.75" customHeight="1">
      <c r="A247" s="2" t="s">
        <v>444</v>
      </c>
      <c r="B247" s="2" t="s">
        <v>445</v>
      </c>
      <c r="C247" s="2" t="s">
        <v>21</v>
      </c>
      <c r="D247" s="2" t="s">
        <v>22</v>
      </c>
      <c r="E247" s="2" t="s">
        <v>227</v>
      </c>
      <c r="F247" s="2" t="s">
        <v>24</v>
      </c>
      <c r="G247" s="2" t="s">
        <v>24</v>
      </c>
      <c r="H247" s="2" t="s">
        <v>446</v>
      </c>
      <c r="I247" s="2" t="s">
        <v>444</v>
      </c>
      <c r="J247" s="2" t="s">
        <v>26</v>
      </c>
      <c r="K247" s="2" t="s">
        <v>447</v>
      </c>
      <c r="L247" s="3">
        <v>46087.0</v>
      </c>
      <c r="M247" s="2">
        <v>34.99</v>
      </c>
      <c r="N247" s="2">
        <v>34.99</v>
      </c>
      <c r="O247" s="2">
        <v>3.0</v>
      </c>
      <c r="P247" s="2">
        <v>3.0</v>
      </c>
      <c r="Q247" s="2" t="s">
        <v>448</v>
      </c>
      <c r="R247" s="2" t="s">
        <v>24</v>
      </c>
      <c r="S247" s="2" t="b">
        <f>COUNTIF('Marcas Target'!A:A,dados!$E247)&gt;0</f>
        <v>0</v>
      </c>
    </row>
    <row r="248" ht="15.75" customHeight="1">
      <c r="A248" s="2" t="s">
        <v>449</v>
      </c>
      <c r="B248" s="2" t="s">
        <v>450</v>
      </c>
      <c r="C248" s="2" t="s">
        <v>24</v>
      </c>
      <c r="D248" s="2" t="s">
        <v>24</v>
      </c>
      <c r="E248" s="2" t="s">
        <v>451</v>
      </c>
      <c r="F248" s="2" t="s">
        <v>24</v>
      </c>
      <c r="G248" s="2" t="s">
        <v>24</v>
      </c>
      <c r="H248" s="2" t="s">
        <v>452</v>
      </c>
      <c r="I248" s="2" t="s">
        <v>449</v>
      </c>
      <c r="J248" s="2" t="s">
        <v>26</v>
      </c>
      <c r="K248" s="2" t="s">
        <v>453</v>
      </c>
      <c r="L248" s="3">
        <v>46089.0</v>
      </c>
      <c r="M248" s="2">
        <v>25.99</v>
      </c>
      <c r="N248" s="2">
        <v>25.99</v>
      </c>
      <c r="O248" s="2">
        <v>22.0</v>
      </c>
      <c r="P248" s="2">
        <v>22.0</v>
      </c>
      <c r="Q248" s="2" t="s">
        <v>454</v>
      </c>
      <c r="R248" s="2" t="s">
        <v>24</v>
      </c>
      <c r="S248" s="2" t="b">
        <f>COUNTIF('Marcas Target'!A:A,dados!$E248)&gt;0</f>
        <v>1</v>
      </c>
    </row>
    <row r="249" ht="15.75" customHeight="1">
      <c r="A249" s="2" t="s">
        <v>449</v>
      </c>
      <c r="B249" s="2" t="s">
        <v>450</v>
      </c>
      <c r="C249" s="2" t="s">
        <v>24</v>
      </c>
      <c r="D249" s="2" t="s">
        <v>24</v>
      </c>
      <c r="E249" s="2" t="s">
        <v>451</v>
      </c>
      <c r="F249" s="2" t="s">
        <v>24</v>
      </c>
      <c r="G249" s="2" t="s">
        <v>24</v>
      </c>
      <c r="H249" s="2" t="s">
        <v>452</v>
      </c>
      <c r="I249" s="2" t="s">
        <v>449</v>
      </c>
      <c r="J249" s="2" t="s">
        <v>26</v>
      </c>
      <c r="K249" s="2" t="s">
        <v>453</v>
      </c>
      <c r="L249" s="3">
        <v>46088.0</v>
      </c>
      <c r="M249" s="2">
        <v>25.99</v>
      </c>
      <c r="N249" s="2">
        <v>25.99</v>
      </c>
      <c r="O249" s="2">
        <v>24.0</v>
      </c>
      <c r="P249" s="2">
        <v>23.0</v>
      </c>
      <c r="Q249" s="2" t="s">
        <v>454</v>
      </c>
      <c r="R249" s="2" t="s">
        <v>24</v>
      </c>
      <c r="S249" s="2" t="b">
        <f>COUNTIF('Marcas Target'!A:A,dados!$E249)&gt;0</f>
        <v>1</v>
      </c>
    </row>
    <row r="250" ht="15.75" customHeight="1">
      <c r="A250" s="2" t="s">
        <v>449</v>
      </c>
      <c r="B250" s="2" t="s">
        <v>450</v>
      </c>
      <c r="C250" s="2" t="s">
        <v>24</v>
      </c>
      <c r="D250" s="2" t="s">
        <v>24</v>
      </c>
      <c r="E250" s="2" t="s">
        <v>451</v>
      </c>
      <c r="F250" s="2" t="s">
        <v>24</v>
      </c>
      <c r="G250" s="2" t="s">
        <v>24</v>
      </c>
      <c r="H250" s="2" t="s">
        <v>452</v>
      </c>
      <c r="I250" s="2" t="s">
        <v>449</v>
      </c>
      <c r="J250" s="2" t="s">
        <v>26</v>
      </c>
      <c r="K250" s="2" t="s">
        <v>453</v>
      </c>
      <c r="L250" s="3">
        <v>46087.0</v>
      </c>
      <c r="M250" s="2">
        <v>25.99</v>
      </c>
      <c r="N250" s="2">
        <v>25.99</v>
      </c>
      <c r="O250" s="2">
        <v>3.0</v>
      </c>
      <c r="P250" s="2">
        <v>2.0</v>
      </c>
      <c r="Q250" s="2" t="s">
        <v>454</v>
      </c>
      <c r="R250" s="2" t="s">
        <v>24</v>
      </c>
      <c r="S250" s="2" t="b">
        <f>COUNTIF('Marcas Target'!A:A,dados!$E250)&gt;0</f>
        <v>1</v>
      </c>
    </row>
    <row r="251" ht="15.75" customHeight="1">
      <c r="A251" s="2" t="s">
        <v>455</v>
      </c>
      <c r="B251" s="2" t="s">
        <v>456</v>
      </c>
      <c r="C251" s="2" t="s">
        <v>21</v>
      </c>
      <c r="D251" s="2" t="s">
        <v>176</v>
      </c>
      <c r="E251" s="2" t="s">
        <v>268</v>
      </c>
      <c r="F251" s="2" t="s">
        <v>24</v>
      </c>
      <c r="G251" s="2" t="s">
        <v>24</v>
      </c>
      <c r="H251" s="2" t="s">
        <v>457</v>
      </c>
      <c r="I251" s="2" t="s">
        <v>455</v>
      </c>
      <c r="J251" s="2" t="s">
        <v>26</v>
      </c>
      <c r="K251" s="2" t="s">
        <v>458</v>
      </c>
      <c r="L251" s="3">
        <v>46089.0</v>
      </c>
      <c r="M251" s="2">
        <v>26.99</v>
      </c>
      <c r="N251" s="2">
        <v>26.99</v>
      </c>
      <c r="O251" s="2">
        <v>22.0</v>
      </c>
      <c r="P251" s="2">
        <v>22.0</v>
      </c>
      <c r="Q251" s="2" t="s">
        <v>459</v>
      </c>
      <c r="R251" s="2" t="s">
        <v>24</v>
      </c>
      <c r="S251" s="2" t="b">
        <f>COUNTIF('Marcas Target'!A:A,dados!$E251)&gt;0</f>
        <v>0</v>
      </c>
    </row>
    <row r="252" ht="15.75" customHeight="1">
      <c r="A252" s="2" t="s">
        <v>455</v>
      </c>
      <c r="B252" s="2" t="s">
        <v>456</v>
      </c>
      <c r="C252" s="2" t="s">
        <v>21</v>
      </c>
      <c r="D252" s="2" t="s">
        <v>176</v>
      </c>
      <c r="E252" s="2" t="s">
        <v>268</v>
      </c>
      <c r="F252" s="2" t="s">
        <v>24</v>
      </c>
      <c r="G252" s="2" t="s">
        <v>24</v>
      </c>
      <c r="H252" s="2" t="s">
        <v>457</v>
      </c>
      <c r="I252" s="2" t="s">
        <v>455</v>
      </c>
      <c r="J252" s="2" t="s">
        <v>26</v>
      </c>
      <c r="K252" s="2" t="s">
        <v>458</v>
      </c>
      <c r="L252" s="3">
        <v>46088.0</v>
      </c>
      <c r="M252" s="2">
        <v>26.99</v>
      </c>
      <c r="N252" s="2">
        <v>26.99</v>
      </c>
      <c r="O252" s="2">
        <v>24.0</v>
      </c>
      <c r="P252" s="2">
        <v>23.0</v>
      </c>
      <c r="Q252" s="2" t="s">
        <v>459</v>
      </c>
      <c r="R252" s="2" t="s">
        <v>24</v>
      </c>
      <c r="S252" s="2" t="b">
        <f>COUNTIF('Marcas Target'!A:A,dados!$E252)&gt;0</f>
        <v>0</v>
      </c>
    </row>
    <row r="253" ht="15.75" customHeight="1">
      <c r="A253" s="2" t="s">
        <v>455</v>
      </c>
      <c r="B253" s="2" t="s">
        <v>456</v>
      </c>
      <c r="C253" s="2" t="s">
        <v>21</v>
      </c>
      <c r="D253" s="2" t="s">
        <v>176</v>
      </c>
      <c r="E253" s="2" t="s">
        <v>268</v>
      </c>
      <c r="F253" s="2" t="s">
        <v>24</v>
      </c>
      <c r="G253" s="2" t="s">
        <v>24</v>
      </c>
      <c r="H253" s="2" t="s">
        <v>457</v>
      </c>
      <c r="I253" s="2" t="s">
        <v>455</v>
      </c>
      <c r="J253" s="2" t="s">
        <v>26</v>
      </c>
      <c r="K253" s="2" t="s">
        <v>458</v>
      </c>
      <c r="L253" s="3">
        <v>46087.0</v>
      </c>
      <c r="M253" s="2">
        <v>26.99</v>
      </c>
      <c r="N253" s="2">
        <v>26.99</v>
      </c>
      <c r="O253" s="2">
        <v>3.0</v>
      </c>
      <c r="P253" s="2">
        <v>3.0</v>
      </c>
      <c r="Q253" s="2" t="s">
        <v>459</v>
      </c>
      <c r="R253" s="2" t="s">
        <v>24</v>
      </c>
      <c r="S253" s="2" t="b">
        <f>COUNTIF('Marcas Target'!A:A,dados!$E253)&gt;0</f>
        <v>0</v>
      </c>
    </row>
    <row r="254" ht="15.75" customHeight="1">
      <c r="A254" s="2" t="s">
        <v>460</v>
      </c>
      <c r="B254" s="2" t="s">
        <v>461</v>
      </c>
      <c r="C254" s="2" t="s">
        <v>21</v>
      </c>
      <c r="D254" s="2" t="s">
        <v>22</v>
      </c>
      <c r="E254" s="2" t="s">
        <v>378</v>
      </c>
      <c r="F254" s="2" t="s">
        <v>24</v>
      </c>
      <c r="G254" s="2" t="s">
        <v>24</v>
      </c>
      <c r="H254" s="2" t="s">
        <v>462</v>
      </c>
      <c r="I254" s="2" t="s">
        <v>460</v>
      </c>
      <c r="J254" s="2" t="s">
        <v>26</v>
      </c>
      <c r="K254" s="2" t="s">
        <v>463</v>
      </c>
      <c r="L254" s="3">
        <v>46089.0</v>
      </c>
      <c r="M254" s="2">
        <v>27.99</v>
      </c>
      <c r="N254" s="2">
        <v>27.99</v>
      </c>
      <c r="O254" s="2">
        <v>22.0</v>
      </c>
      <c r="P254" s="2">
        <v>22.0</v>
      </c>
      <c r="Q254" s="2" t="s">
        <v>464</v>
      </c>
      <c r="R254" s="2" t="s">
        <v>24</v>
      </c>
      <c r="S254" s="2" t="b">
        <f>COUNTIF('Marcas Target'!A:A,dados!$E254)&gt;0</f>
        <v>0</v>
      </c>
    </row>
    <row r="255" ht="15.75" customHeight="1">
      <c r="A255" s="2" t="s">
        <v>460</v>
      </c>
      <c r="B255" s="2" t="s">
        <v>461</v>
      </c>
      <c r="C255" s="2" t="s">
        <v>21</v>
      </c>
      <c r="D255" s="2" t="s">
        <v>22</v>
      </c>
      <c r="E255" s="2" t="s">
        <v>378</v>
      </c>
      <c r="F255" s="2" t="s">
        <v>24</v>
      </c>
      <c r="G255" s="2" t="s">
        <v>24</v>
      </c>
      <c r="H255" s="2" t="s">
        <v>462</v>
      </c>
      <c r="I255" s="2" t="s">
        <v>460</v>
      </c>
      <c r="J255" s="2" t="s">
        <v>26</v>
      </c>
      <c r="K255" s="2" t="s">
        <v>463</v>
      </c>
      <c r="L255" s="3">
        <v>46088.0</v>
      </c>
      <c r="M255" s="2">
        <v>27.99</v>
      </c>
      <c r="N255" s="2">
        <v>27.99</v>
      </c>
      <c r="O255" s="2">
        <v>24.0</v>
      </c>
      <c r="P255" s="2">
        <v>23.0</v>
      </c>
      <c r="Q255" s="2" t="s">
        <v>464</v>
      </c>
      <c r="R255" s="2" t="s">
        <v>24</v>
      </c>
      <c r="S255" s="2" t="b">
        <f>COUNTIF('Marcas Target'!A:A,dados!$E255)&gt;0</f>
        <v>0</v>
      </c>
    </row>
    <row r="256" ht="15.75" customHeight="1">
      <c r="A256" s="2" t="s">
        <v>460</v>
      </c>
      <c r="B256" s="2" t="s">
        <v>461</v>
      </c>
      <c r="C256" s="2" t="s">
        <v>21</v>
      </c>
      <c r="D256" s="2" t="s">
        <v>22</v>
      </c>
      <c r="E256" s="2" t="s">
        <v>378</v>
      </c>
      <c r="F256" s="2" t="s">
        <v>24</v>
      </c>
      <c r="G256" s="2" t="s">
        <v>24</v>
      </c>
      <c r="H256" s="2" t="s">
        <v>462</v>
      </c>
      <c r="I256" s="2" t="s">
        <v>460</v>
      </c>
      <c r="J256" s="2" t="s">
        <v>26</v>
      </c>
      <c r="K256" s="2" t="s">
        <v>463</v>
      </c>
      <c r="L256" s="3">
        <v>46087.0</v>
      </c>
      <c r="M256" s="2">
        <v>27.99</v>
      </c>
      <c r="N256" s="2">
        <v>27.99</v>
      </c>
      <c r="O256" s="2">
        <v>3.0</v>
      </c>
      <c r="P256" s="2">
        <v>3.0</v>
      </c>
      <c r="Q256" s="2" t="s">
        <v>464</v>
      </c>
      <c r="R256" s="2" t="s">
        <v>24</v>
      </c>
      <c r="S256" s="2" t="b">
        <f>COUNTIF('Marcas Target'!A:A,dados!$E256)&gt;0</f>
        <v>0</v>
      </c>
    </row>
    <row r="257" ht="15.75" customHeight="1">
      <c r="A257" s="2" t="s">
        <v>465</v>
      </c>
      <c r="B257" s="2" t="s">
        <v>466</v>
      </c>
      <c r="C257" s="2" t="s">
        <v>24</v>
      </c>
      <c r="D257" s="2" t="s">
        <v>24</v>
      </c>
      <c r="E257" s="2" t="s">
        <v>227</v>
      </c>
      <c r="F257" s="2" t="s">
        <v>24</v>
      </c>
      <c r="G257" s="2" t="s">
        <v>24</v>
      </c>
      <c r="H257" s="2" t="s">
        <v>467</v>
      </c>
      <c r="I257" s="2" t="s">
        <v>465</v>
      </c>
      <c r="J257" s="2" t="s">
        <v>26</v>
      </c>
      <c r="K257" s="2" t="s">
        <v>468</v>
      </c>
      <c r="L257" s="3">
        <v>46089.0</v>
      </c>
      <c r="M257" s="2" t="s">
        <v>24</v>
      </c>
      <c r="N257" s="2" t="s">
        <v>24</v>
      </c>
      <c r="O257" s="2">
        <v>22.0</v>
      </c>
      <c r="P257" s="2">
        <v>0.0</v>
      </c>
      <c r="Q257" s="2" t="s">
        <v>469</v>
      </c>
      <c r="R257" s="2" t="s">
        <v>24</v>
      </c>
      <c r="S257" s="2" t="b">
        <f>COUNTIF('Marcas Target'!A:A,dados!$E257)&gt;0</f>
        <v>0</v>
      </c>
    </row>
    <row r="258" ht="15.75" customHeight="1">
      <c r="A258" s="2" t="s">
        <v>465</v>
      </c>
      <c r="B258" s="2" t="s">
        <v>466</v>
      </c>
      <c r="C258" s="2" t="s">
        <v>24</v>
      </c>
      <c r="D258" s="2" t="s">
        <v>24</v>
      </c>
      <c r="E258" s="2" t="s">
        <v>227</v>
      </c>
      <c r="F258" s="2" t="s">
        <v>24</v>
      </c>
      <c r="G258" s="2" t="s">
        <v>24</v>
      </c>
      <c r="H258" s="2" t="s">
        <v>467</v>
      </c>
      <c r="I258" s="2" t="s">
        <v>465</v>
      </c>
      <c r="J258" s="2" t="s">
        <v>26</v>
      </c>
      <c r="K258" s="2" t="s">
        <v>468</v>
      </c>
      <c r="L258" s="3">
        <v>46088.0</v>
      </c>
      <c r="M258" s="2">
        <v>139.9</v>
      </c>
      <c r="N258" s="2">
        <v>139.9</v>
      </c>
      <c r="O258" s="2">
        <v>24.0</v>
      </c>
      <c r="P258" s="2">
        <v>1.0</v>
      </c>
      <c r="Q258" s="2" t="s">
        <v>469</v>
      </c>
      <c r="R258" s="2" t="s">
        <v>24</v>
      </c>
      <c r="S258" s="2" t="b">
        <f>COUNTIF('Marcas Target'!A:A,dados!$E258)&gt;0</f>
        <v>0</v>
      </c>
    </row>
    <row r="259" ht="15.75" customHeight="1">
      <c r="A259" s="2" t="s">
        <v>465</v>
      </c>
      <c r="B259" s="2" t="s">
        <v>466</v>
      </c>
      <c r="C259" s="2" t="s">
        <v>24</v>
      </c>
      <c r="D259" s="2" t="s">
        <v>24</v>
      </c>
      <c r="E259" s="2" t="s">
        <v>227</v>
      </c>
      <c r="F259" s="2" t="s">
        <v>24</v>
      </c>
      <c r="G259" s="2" t="s">
        <v>24</v>
      </c>
      <c r="H259" s="2" t="s">
        <v>467</v>
      </c>
      <c r="I259" s="2" t="s">
        <v>465</v>
      </c>
      <c r="J259" s="2" t="s">
        <v>26</v>
      </c>
      <c r="K259" s="2" t="s">
        <v>468</v>
      </c>
      <c r="L259" s="3">
        <v>46087.0</v>
      </c>
      <c r="M259" s="2" t="s">
        <v>24</v>
      </c>
      <c r="N259" s="2" t="s">
        <v>24</v>
      </c>
      <c r="O259" s="2">
        <v>3.0</v>
      </c>
      <c r="P259" s="2">
        <v>0.0</v>
      </c>
      <c r="Q259" s="2" t="s">
        <v>469</v>
      </c>
      <c r="R259" s="2" t="s">
        <v>24</v>
      </c>
      <c r="S259" s="2" t="b">
        <f>COUNTIF('Marcas Target'!A:A,dados!$E259)&gt;0</f>
        <v>0</v>
      </c>
    </row>
    <row r="260" ht="15.75" customHeight="1">
      <c r="A260" s="2" t="s">
        <v>470</v>
      </c>
      <c r="B260" s="2" t="s">
        <v>471</v>
      </c>
      <c r="C260" s="2" t="s">
        <v>21</v>
      </c>
      <c r="D260" s="2" t="s">
        <v>22</v>
      </c>
      <c r="E260" s="2" t="s">
        <v>378</v>
      </c>
      <c r="F260" s="2" t="s">
        <v>24</v>
      </c>
      <c r="G260" s="2" t="s">
        <v>24</v>
      </c>
      <c r="H260" s="2" t="s">
        <v>472</v>
      </c>
      <c r="I260" s="2" t="s">
        <v>470</v>
      </c>
      <c r="J260" s="2" t="s">
        <v>26</v>
      </c>
      <c r="K260" s="2" t="s">
        <v>473</v>
      </c>
      <c r="L260" s="3">
        <v>46089.0</v>
      </c>
      <c r="M260" s="2">
        <v>25.99</v>
      </c>
      <c r="N260" s="2">
        <v>25.99</v>
      </c>
      <c r="O260" s="2">
        <v>22.0</v>
      </c>
      <c r="P260" s="2">
        <v>7.0</v>
      </c>
      <c r="Q260" s="2" t="s">
        <v>474</v>
      </c>
      <c r="R260" s="2" t="s">
        <v>24</v>
      </c>
      <c r="S260" s="2" t="b">
        <f>COUNTIF('Marcas Target'!A:A,dados!$E260)&gt;0</f>
        <v>0</v>
      </c>
    </row>
    <row r="261" ht="15.75" customHeight="1">
      <c r="A261" s="2" t="s">
        <v>470</v>
      </c>
      <c r="B261" s="2" t="s">
        <v>471</v>
      </c>
      <c r="C261" s="2" t="s">
        <v>21</v>
      </c>
      <c r="D261" s="2" t="s">
        <v>22</v>
      </c>
      <c r="E261" s="2" t="s">
        <v>378</v>
      </c>
      <c r="F261" s="2" t="s">
        <v>24</v>
      </c>
      <c r="G261" s="2" t="s">
        <v>24</v>
      </c>
      <c r="H261" s="2" t="s">
        <v>472</v>
      </c>
      <c r="I261" s="2" t="s">
        <v>470</v>
      </c>
      <c r="J261" s="2" t="s">
        <v>26</v>
      </c>
      <c r="K261" s="2" t="s">
        <v>473</v>
      </c>
      <c r="L261" s="3">
        <v>46088.0</v>
      </c>
      <c r="M261" s="2">
        <v>25.99</v>
      </c>
      <c r="N261" s="2">
        <v>25.99</v>
      </c>
      <c r="O261" s="2">
        <v>24.0</v>
      </c>
      <c r="P261" s="2">
        <v>15.0</v>
      </c>
      <c r="Q261" s="2" t="s">
        <v>474</v>
      </c>
      <c r="R261" s="2" t="s">
        <v>24</v>
      </c>
      <c r="S261" s="2" t="b">
        <f>COUNTIF('Marcas Target'!A:A,dados!$E261)&gt;0</f>
        <v>0</v>
      </c>
    </row>
    <row r="262" ht="15.75" customHeight="1">
      <c r="A262" s="2" t="s">
        <v>470</v>
      </c>
      <c r="B262" s="2" t="s">
        <v>471</v>
      </c>
      <c r="C262" s="2" t="s">
        <v>21</v>
      </c>
      <c r="D262" s="2" t="s">
        <v>22</v>
      </c>
      <c r="E262" s="2" t="s">
        <v>378</v>
      </c>
      <c r="F262" s="2" t="s">
        <v>24</v>
      </c>
      <c r="G262" s="2" t="s">
        <v>24</v>
      </c>
      <c r="H262" s="2" t="s">
        <v>472</v>
      </c>
      <c r="I262" s="2" t="s">
        <v>470</v>
      </c>
      <c r="J262" s="2" t="s">
        <v>26</v>
      </c>
      <c r="K262" s="2" t="s">
        <v>473</v>
      </c>
      <c r="L262" s="3">
        <v>46087.0</v>
      </c>
      <c r="M262" s="2" t="s">
        <v>24</v>
      </c>
      <c r="N262" s="2" t="s">
        <v>24</v>
      </c>
      <c r="O262" s="2">
        <v>3.0</v>
      </c>
      <c r="P262" s="2">
        <v>0.0</v>
      </c>
      <c r="Q262" s="2" t="s">
        <v>474</v>
      </c>
      <c r="R262" s="2" t="s">
        <v>24</v>
      </c>
      <c r="S262" s="2" t="b">
        <f>COUNTIF('Marcas Target'!A:A,dados!$E262)&gt;0</f>
        <v>0</v>
      </c>
    </row>
    <row r="263" ht="15.75" customHeight="1">
      <c r="A263" s="2" t="s">
        <v>475</v>
      </c>
      <c r="B263" s="2" t="s">
        <v>476</v>
      </c>
      <c r="C263" s="2" t="s">
        <v>24</v>
      </c>
      <c r="D263" s="2" t="s">
        <v>24</v>
      </c>
      <c r="E263" s="2" t="s">
        <v>227</v>
      </c>
      <c r="F263" s="2" t="s">
        <v>24</v>
      </c>
      <c r="G263" s="2" t="s">
        <v>24</v>
      </c>
      <c r="H263" s="2" t="s">
        <v>477</v>
      </c>
      <c r="I263" s="2" t="s">
        <v>475</v>
      </c>
      <c r="J263" s="2" t="s">
        <v>26</v>
      </c>
      <c r="K263" s="2" t="s">
        <v>478</v>
      </c>
      <c r="L263" s="3">
        <v>46089.0</v>
      </c>
      <c r="M263" s="2">
        <v>32.99</v>
      </c>
      <c r="N263" s="2">
        <v>32.99</v>
      </c>
      <c r="O263" s="2">
        <v>22.0</v>
      </c>
      <c r="P263" s="2">
        <v>22.0</v>
      </c>
      <c r="Q263" s="2" t="s">
        <v>479</v>
      </c>
      <c r="R263" s="2" t="s">
        <v>24</v>
      </c>
      <c r="S263" s="2" t="b">
        <f>COUNTIF('Marcas Target'!A:A,dados!$E263)&gt;0</f>
        <v>0</v>
      </c>
    </row>
    <row r="264" ht="15.75" customHeight="1">
      <c r="A264" s="2" t="s">
        <v>475</v>
      </c>
      <c r="B264" s="2" t="s">
        <v>476</v>
      </c>
      <c r="C264" s="2" t="s">
        <v>24</v>
      </c>
      <c r="D264" s="2" t="s">
        <v>24</v>
      </c>
      <c r="E264" s="2" t="s">
        <v>227</v>
      </c>
      <c r="F264" s="2" t="s">
        <v>24</v>
      </c>
      <c r="G264" s="2" t="s">
        <v>24</v>
      </c>
      <c r="H264" s="2" t="s">
        <v>477</v>
      </c>
      <c r="I264" s="2" t="s">
        <v>475</v>
      </c>
      <c r="J264" s="2" t="s">
        <v>26</v>
      </c>
      <c r="K264" s="2" t="s">
        <v>478</v>
      </c>
      <c r="L264" s="3">
        <v>46088.0</v>
      </c>
      <c r="M264" s="2">
        <v>32.99</v>
      </c>
      <c r="N264" s="2">
        <v>32.99</v>
      </c>
      <c r="O264" s="2">
        <v>24.0</v>
      </c>
      <c r="P264" s="2">
        <v>24.0</v>
      </c>
      <c r="Q264" s="2" t="s">
        <v>479</v>
      </c>
      <c r="R264" s="2" t="s">
        <v>24</v>
      </c>
      <c r="S264" s="2" t="b">
        <f>COUNTIF('Marcas Target'!A:A,dados!$E264)&gt;0</f>
        <v>0</v>
      </c>
    </row>
    <row r="265" ht="15.75" customHeight="1">
      <c r="A265" s="2" t="s">
        <v>475</v>
      </c>
      <c r="B265" s="2" t="s">
        <v>476</v>
      </c>
      <c r="C265" s="2" t="s">
        <v>24</v>
      </c>
      <c r="D265" s="2" t="s">
        <v>24</v>
      </c>
      <c r="E265" s="2" t="s">
        <v>227</v>
      </c>
      <c r="F265" s="2" t="s">
        <v>24</v>
      </c>
      <c r="G265" s="2" t="s">
        <v>24</v>
      </c>
      <c r="H265" s="2" t="s">
        <v>477</v>
      </c>
      <c r="I265" s="2" t="s">
        <v>475</v>
      </c>
      <c r="J265" s="2" t="s">
        <v>26</v>
      </c>
      <c r="K265" s="2" t="s">
        <v>478</v>
      </c>
      <c r="L265" s="3">
        <v>46087.0</v>
      </c>
      <c r="M265" s="2">
        <v>32.99</v>
      </c>
      <c r="N265" s="2">
        <v>32.99</v>
      </c>
      <c r="O265" s="2">
        <v>3.0</v>
      </c>
      <c r="P265" s="2">
        <v>2.0</v>
      </c>
      <c r="Q265" s="2" t="s">
        <v>479</v>
      </c>
      <c r="R265" s="2" t="s">
        <v>24</v>
      </c>
      <c r="S265" s="2" t="b">
        <f>COUNTIF('Marcas Target'!A:A,dados!$E265)&gt;0</f>
        <v>0</v>
      </c>
    </row>
    <row r="266" ht="15.75" customHeight="1">
      <c r="A266" s="2" t="s">
        <v>480</v>
      </c>
      <c r="B266" s="2" t="s">
        <v>481</v>
      </c>
      <c r="C266" s="2" t="s">
        <v>21</v>
      </c>
      <c r="D266" s="2" t="s">
        <v>176</v>
      </c>
      <c r="E266" s="2" t="s">
        <v>482</v>
      </c>
      <c r="F266" s="2" t="s">
        <v>24</v>
      </c>
      <c r="G266" s="2" t="s">
        <v>24</v>
      </c>
      <c r="H266" s="2" t="s">
        <v>483</v>
      </c>
      <c r="I266" s="2" t="s">
        <v>480</v>
      </c>
      <c r="J266" s="2" t="s">
        <v>26</v>
      </c>
      <c r="K266" s="2" t="s">
        <v>484</v>
      </c>
      <c r="L266" s="3">
        <v>46089.0</v>
      </c>
      <c r="M266" s="2" t="s">
        <v>24</v>
      </c>
      <c r="N266" s="2" t="s">
        <v>24</v>
      </c>
      <c r="O266" s="2">
        <v>23.0</v>
      </c>
      <c r="P266" s="2">
        <v>0.0</v>
      </c>
      <c r="Q266" s="2" t="s">
        <v>485</v>
      </c>
      <c r="R266" s="2" t="s">
        <v>24</v>
      </c>
      <c r="S266" s="2" t="b">
        <f>COUNTIF('Marcas Target'!A:A,dados!$E266)&gt;0</f>
        <v>0</v>
      </c>
    </row>
    <row r="267" ht="15.75" customHeight="1">
      <c r="A267" s="2" t="s">
        <v>480</v>
      </c>
      <c r="B267" s="2" t="s">
        <v>481</v>
      </c>
      <c r="C267" s="2" t="s">
        <v>21</v>
      </c>
      <c r="D267" s="2" t="s">
        <v>176</v>
      </c>
      <c r="E267" s="2" t="s">
        <v>482</v>
      </c>
      <c r="F267" s="2" t="s">
        <v>24</v>
      </c>
      <c r="G267" s="2" t="s">
        <v>24</v>
      </c>
      <c r="H267" s="2" t="s">
        <v>483</v>
      </c>
      <c r="I267" s="2" t="s">
        <v>480</v>
      </c>
      <c r="J267" s="2" t="s">
        <v>26</v>
      </c>
      <c r="K267" s="2" t="s">
        <v>484</v>
      </c>
      <c r="L267" s="3">
        <v>46088.0</v>
      </c>
      <c r="M267" s="2" t="s">
        <v>24</v>
      </c>
      <c r="N267" s="2" t="s">
        <v>24</v>
      </c>
      <c r="O267" s="2">
        <v>24.0</v>
      </c>
      <c r="P267" s="2">
        <v>0.0</v>
      </c>
      <c r="Q267" s="2" t="s">
        <v>485</v>
      </c>
      <c r="R267" s="2" t="s">
        <v>24</v>
      </c>
      <c r="S267" s="2" t="b">
        <f>COUNTIF('Marcas Target'!A:A,dados!$E267)&gt;0</f>
        <v>0</v>
      </c>
    </row>
    <row r="268" ht="15.75" customHeight="1">
      <c r="A268" s="2" t="s">
        <v>480</v>
      </c>
      <c r="B268" s="2" t="s">
        <v>481</v>
      </c>
      <c r="C268" s="2" t="s">
        <v>21</v>
      </c>
      <c r="D268" s="2" t="s">
        <v>176</v>
      </c>
      <c r="E268" s="2" t="s">
        <v>482</v>
      </c>
      <c r="F268" s="2" t="s">
        <v>24</v>
      </c>
      <c r="G268" s="2" t="s">
        <v>24</v>
      </c>
      <c r="H268" s="2" t="s">
        <v>483</v>
      </c>
      <c r="I268" s="2" t="s">
        <v>480</v>
      </c>
      <c r="J268" s="2" t="s">
        <v>26</v>
      </c>
      <c r="K268" s="2" t="s">
        <v>484</v>
      </c>
      <c r="L268" s="3">
        <v>46087.0</v>
      </c>
      <c r="M268" s="2" t="s">
        <v>24</v>
      </c>
      <c r="N268" s="2" t="s">
        <v>24</v>
      </c>
      <c r="O268" s="2">
        <v>3.0</v>
      </c>
      <c r="P268" s="2">
        <v>0.0</v>
      </c>
      <c r="Q268" s="2" t="s">
        <v>485</v>
      </c>
      <c r="R268" s="2" t="s">
        <v>24</v>
      </c>
      <c r="S268" s="2" t="b">
        <f>COUNTIF('Marcas Target'!A:A,dados!$E268)&gt;0</f>
        <v>0</v>
      </c>
    </row>
    <row r="269" ht="15.75" customHeight="1">
      <c r="A269" s="2" t="s">
        <v>486</v>
      </c>
      <c r="B269" s="2" t="s">
        <v>487</v>
      </c>
      <c r="C269" s="2" t="s">
        <v>21</v>
      </c>
      <c r="D269" s="2" t="s">
        <v>22</v>
      </c>
      <c r="E269" s="2" t="s">
        <v>378</v>
      </c>
      <c r="F269" s="2" t="s">
        <v>24</v>
      </c>
      <c r="G269" s="2" t="s">
        <v>24</v>
      </c>
      <c r="H269" s="2" t="s">
        <v>488</v>
      </c>
      <c r="I269" s="2" t="s">
        <v>486</v>
      </c>
      <c r="J269" s="2" t="s">
        <v>26</v>
      </c>
      <c r="K269" s="2" t="s">
        <v>489</v>
      </c>
      <c r="L269" s="3">
        <v>46089.0</v>
      </c>
      <c r="M269" s="2">
        <v>25.99</v>
      </c>
      <c r="N269" s="2">
        <v>25.99</v>
      </c>
      <c r="O269" s="2">
        <v>22.0</v>
      </c>
      <c r="P269" s="2">
        <v>22.0</v>
      </c>
      <c r="Q269" s="2" t="s">
        <v>490</v>
      </c>
      <c r="R269" s="2" t="s">
        <v>24</v>
      </c>
      <c r="S269" s="2" t="b">
        <f>COUNTIF('Marcas Target'!A:A,dados!$E269)&gt;0</f>
        <v>0</v>
      </c>
    </row>
    <row r="270" ht="15.75" customHeight="1">
      <c r="A270" s="2" t="s">
        <v>486</v>
      </c>
      <c r="B270" s="2" t="s">
        <v>487</v>
      </c>
      <c r="C270" s="2" t="s">
        <v>21</v>
      </c>
      <c r="D270" s="2" t="s">
        <v>22</v>
      </c>
      <c r="E270" s="2" t="s">
        <v>378</v>
      </c>
      <c r="F270" s="2" t="s">
        <v>24</v>
      </c>
      <c r="G270" s="2" t="s">
        <v>24</v>
      </c>
      <c r="H270" s="2" t="s">
        <v>488</v>
      </c>
      <c r="I270" s="2" t="s">
        <v>486</v>
      </c>
      <c r="J270" s="2" t="s">
        <v>26</v>
      </c>
      <c r="K270" s="2" t="s">
        <v>489</v>
      </c>
      <c r="L270" s="3">
        <v>46088.0</v>
      </c>
      <c r="M270" s="2">
        <v>25.99</v>
      </c>
      <c r="N270" s="2">
        <v>25.99</v>
      </c>
      <c r="O270" s="2">
        <v>24.0</v>
      </c>
      <c r="P270" s="2">
        <v>16.0</v>
      </c>
      <c r="Q270" s="2" t="s">
        <v>490</v>
      </c>
      <c r="R270" s="2" t="s">
        <v>24</v>
      </c>
      <c r="S270" s="2" t="b">
        <f>COUNTIF('Marcas Target'!A:A,dados!$E270)&gt;0</f>
        <v>0</v>
      </c>
    </row>
    <row r="271" ht="15.75" customHeight="1">
      <c r="A271" s="2" t="s">
        <v>486</v>
      </c>
      <c r="B271" s="2" t="s">
        <v>487</v>
      </c>
      <c r="C271" s="2" t="s">
        <v>21</v>
      </c>
      <c r="D271" s="2" t="s">
        <v>22</v>
      </c>
      <c r="E271" s="2" t="s">
        <v>378</v>
      </c>
      <c r="F271" s="2" t="s">
        <v>24</v>
      </c>
      <c r="G271" s="2" t="s">
        <v>24</v>
      </c>
      <c r="H271" s="2" t="s">
        <v>488</v>
      </c>
      <c r="I271" s="2" t="s">
        <v>486</v>
      </c>
      <c r="J271" s="2" t="s">
        <v>26</v>
      </c>
      <c r="K271" s="2" t="s">
        <v>489</v>
      </c>
      <c r="L271" s="3">
        <v>46087.0</v>
      </c>
      <c r="M271" s="2">
        <v>25.99</v>
      </c>
      <c r="N271" s="2">
        <v>25.99</v>
      </c>
      <c r="O271" s="2">
        <v>3.0</v>
      </c>
      <c r="P271" s="2">
        <v>2.0</v>
      </c>
      <c r="Q271" s="2" t="s">
        <v>490</v>
      </c>
      <c r="R271" s="2" t="s">
        <v>24</v>
      </c>
      <c r="S271" s="2" t="b">
        <f>COUNTIF('Marcas Target'!A:A,dados!$E271)&gt;0</f>
        <v>0</v>
      </c>
    </row>
    <row r="272" ht="15.75" customHeight="1">
      <c r="A272" s="2" t="s">
        <v>491</v>
      </c>
      <c r="B272" s="2" t="s">
        <v>492</v>
      </c>
      <c r="C272" s="2" t="s">
        <v>24</v>
      </c>
      <c r="D272" s="2" t="s">
        <v>24</v>
      </c>
      <c r="E272" s="2" t="s">
        <v>106</v>
      </c>
      <c r="F272" s="2" t="s">
        <v>24</v>
      </c>
      <c r="G272" s="2" t="s">
        <v>24</v>
      </c>
      <c r="H272" s="2" t="s">
        <v>493</v>
      </c>
      <c r="I272" s="2" t="s">
        <v>491</v>
      </c>
      <c r="J272" s="2" t="s">
        <v>26</v>
      </c>
      <c r="K272" s="2" t="s">
        <v>494</v>
      </c>
      <c r="L272" s="3">
        <v>46089.0</v>
      </c>
      <c r="M272" s="2">
        <v>27.49</v>
      </c>
      <c r="N272" s="2">
        <v>27.49</v>
      </c>
      <c r="O272" s="2">
        <v>22.0</v>
      </c>
      <c r="P272" s="2">
        <v>22.0</v>
      </c>
      <c r="Q272" s="2" t="s">
        <v>495</v>
      </c>
      <c r="R272" s="2" t="s">
        <v>24</v>
      </c>
      <c r="S272" s="2" t="b">
        <f>COUNTIF('Marcas Target'!A:A,dados!$E272)&gt;0</f>
        <v>0</v>
      </c>
    </row>
    <row r="273" ht="15.75" customHeight="1">
      <c r="A273" s="2" t="s">
        <v>491</v>
      </c>
      <c r="B273" s="2" t="s">
        <v>492</v>
      </c>
      <c r="C273" s="2" t="s">
        <v>24</v>
      </c>
      <c r="D273" s="2" t="s">
        <v>24</v>
      </c>
      <c r="E273" s="2" t="s">
        <v>106</v>
      </c>
      <c r="F273" s="2" t="s">
        <v>24</v>
      </c>
      <c r="G273" s="2" t="s">
        <v>24</v>
      </c>
      <c r="H273" s="2" t="s">
        <v>493</v>
      </c>
      <c r="I273" s="2" t="s">
        <v>491</v>
      </c>
      <c r="J273" s="2" t="s">
        <v>26</v>
      </c>
      <c r="K273" s="2" t="s">
        <v>494</v>
      </c>
      <c r="L273" s="3">
        <v>46088.0</v>
      </c>
      <c r="M273" s="2">
        <v>27.49</v>
      </c>
      <c r="N273" s="2">
        <v>27.49</v>
      </c>
      <c r="O273" s="2">
        <v>24.0</v>
      </c>
      <c r="P273" s="2">
        <v>24.0</v>
      </c>
      <c r="Q273" s="2" t="s">
        <v>495</v>
      </c>
      <c r="R273" s="2" t="s">
        <v>24</v>
      </c>
      <c r="S273" s="2" t="b">
        <f>COUNTIF('Marcas Target'!A:A,dados!$E273)&gt;0</f>
        <v>0</v>
      </c>
    </row>
    <row r="274" ht="15.75" customHeight="1">
      <c r="A274" s="2" t="s">
        <v>491</v>
      </c>
      <c r="B274" s="2" t="s">
        <v>492</v>
      </c>
      <c r="C274" s="2" t="s">
        <v>24</v>
      </c>
      <c r="D274" s="2" t="s">
        <v>24</v>
      </c>
      <c r="E274" s="2" t="s">
        <v>106</v>
      </c>
      <c r="F274" s="2" t="s">
        <v>24</v>
      </c>
      <c r="G274" s="2" t="s">
        <v>24</v>
      </c>
      <c r="H274" s="2" t="s">
        <v>493</v>
      </c>
      <c r="I274" s="2" t="s">
        <v>491</v>
      </c>
      <c r="J274" s="2" t="s">
        <v>26</v>
      </c>
      <c r="K274" s="2" t="s">
        <v>494</v>
      </c>
      <c r="L274" s="3">
        <v>46087.0</v>
      </c>
      <c r="M274" s="2">
        <v>27.49</v>
      </c>
      <c r="N274" s="2">
        <v>27.49</v>
      </c>
      <c r="O274" s="2">
        <v>3.0</v>
      </c>
      <c r="P274" s="2">
        <v>3.0</v>
      </c>
      <c r="Q274" s="2" t="s">
        <v>495</v>
      </c>
      <c r="R274" s="2" t="s">
        <v>24</v>
      </c>
      <c r="S274" s="2" t="b">
        <f>COUNTIF('Marcas Target'!A:A,dados!$E274)&gt;0</f>
        <v>0</v>
      </c>
    </row>
    <row r="275" ht="15.75" customHeight="1">
      <c r="A275" s="2" t="s">
        <v>496</v>
      </c>
      <c r="B275" s="2" t="s">
        <v>497</v>
      </c>
      <c r="C275" s="2" t="s">
        <v>21</v>
      </c>
      <c r="D275" s="2" t="s">
        <v>22</v>
      </c>
      <c r="E275" s="2" t="s">
        <v>378</v>
      </c>
      <c r="F275" s="2" t="s">
        <v>24</v>
      </c>
      <c r="G275" s="2" t="s">
        <v>24</v>
      </c>
      <c r="H275" s="2" t="s">
        <v>498</v>
      </c>
      <c r="I275" s="2" t="s">
        <v>496</v>
      </c>
      <c r="J275" s="2" t="s">
        <v>26</v>
      </c>
      <c r="K275" s="2" t="s">
        <v>499</v>
      </c>
      <c r="L275" s="3">
        <v>46089.0</v>
      </c>
      <c r="M275" s="2">
        <v>27.99</v>
      </c>
      <c r="N275" s="2">
        <v>27.99</v>
      </c>
      <c r="O275" s="2">
        <v>22.0</v>
      </c>
      <c r="P275" s="2">
        <v>22.0</v>
      </c>
      <c r="Q275" s="2" t="s">
        <v>500</v>
      </c>
      <c r="R275" s="2" t="s">
        <v>24</v>
      </c>
      <c r="S275" s="2" t="b">
        <f>COUNTIF('Marcas Target'!A:A,dados!$E275)&gt;0</f>
        <v>0</v>
      </c>
    </row>
    <row r="276" ht="15.75" customHeight="1">
      <c r="A276" s="2" t="s">
        <v>496</v>
      </c>
      <c r="B276" s="2" t="s">
        <v>497</v>
      </c>
      <c r="C276" s="2" t="s">
        <v>21</v>
      </c>
      <c r="D276" s="2" t="s">
        <v>22</v>
      </c>
      <c r="E276" s="2" t="s">
        <v>378</v>
      </c>
      <c r="F276" s="2" t="s">
        <v>24</v>
      </c>
      <c r="G276" s="2" t="s">
        <v>24</v>
      </c>
      <c r="H276" s="2" t="s">
        <v>498</v>
      </c>
      <c r="I276" s="2" t="s">
        <v>496</v>
      </c>
      <c r="J276" s="2" t="s">
        <v>26</v>
      </c>
      <c r="K276" s="2" t="s">
        <v>499</v>
      </c>
      <c r="L276" s="3">
        <v>46088.0</v>
      </c>
      <c r="M276" s="2">
        <v>27.99</v>
      </c>
      <c r="N276" s="2">
        <v>27.99</v>
      </c>
      <c r="O276" s="2">
        <v>24.0</v>
      </c>
      <c r="P276" s="2">
        <v>23.0</v>
      </c>
      <c r="Q276" s="2" t="s">
        <v>500</v>
      </c>
      <c r="R276" s="2" t="s">
        <v>24</v>
      </c>
      <c r="S276" s="2" t="b">
        <f>COUNTIF('Marcas Target'!A:A,dados!$E276)&gt;0</f>
        <v>0</v>
      </c>
    </row>
    <row r="277" ht="15.75" customHeight="1">
      <c r="A277" s="2" t="s">
        <v>496</v>
      </c>
      <c r="B277" s="2" t="s">
        <v>497</v>
      </c>
      <c r="C277" s="2" t="s">
        <v>21</v>
      </c>
      <c r="D277" s="2" t="s">
        <v>22</v>
      </c>
      <c r="E277" s="2" t="s">
        <v>378</v>
      </c>
      <c r="F277" s="2" t="s">
        <v>24</v>
      </c>
      <c r="G277" s="2" t="s">
        <v>24</v>
      </c>
      <c r="H277" s="2" t="s">
        <v>498</v>
      </c>
      <c r="I277" s="2" t="s">
        <v>496</v>
      </c>
      <c r="J277" s="2" t="s">
        <v>26</v>
      </c>
      <c r="K277" s="2" t="s">
        <v>499</v>
      </c>
      <c r="L277" s="3">
        <v>46087.0</v>
      </c>
      <c r="M277" s="2">
        <v>27.99</v>
      </c>
      <c r="N277" s="2">
        <v>27.99</v>
      </c>
      <c r="O277" s="2">
        <v>3.0</v>
      </c>
      <c r="P277" s="2">
        <v>3.0</v>
      </c>
      <c r="Q277" s="2" t="s">
        <v>500</v>
      </c>
      <c r="R277" s="2" t="s">
        <v>24</v>
      </c>
      <c r="S277" s="2" t="b">
        <f>COUNTIF('Marcas Target'!A:A,dados!$E277)&gt;0</f>
        <v>0</v>
      </c>
    </row>
    <row r="278" ht="15.75" customHeight="1">
      <c r="A278" s="2" t="s">
        <v>501</v>
      </c>
      <c r="B278" s="2" t="s">
        <v>502</v>
      </c>
      <c r="C278" s="2" t="s">
        <v>24</v>
      </c>
      <c r="D278" s="2" t="s">
        <v>24</v>
      </c>
      <c r="E278" s="2" t="s">
        <v>503</v>
      </c>
      <c r="F278" s="2" t="s">
        <v>24</v>
      </c>
      <c r="G278" s="2" t="s">
        <v>24</v>
      </c>
      <c r="H278" s="2" t="s">
        <v>504</v>
      </c>
      <c r="I278" s="2" t="s">
        <v>501</v>
      </c>
      <c r="J278" s="2" t="s">
        <v>26</v>
      </c>
      <c r="K278" s="2" t="s">
        <v>505</v>
      </c>
      <c r="L278" s="3">
        <v>46089.0</v>
      </c>
      <c r="M278" s="2">
        <v>7.91</v>
      </c>
      <c r="N278" s="2">
        <v>7.91</v>
      </c>
      <c r="O278" s="2">
        <v>22.0</v>
      </c>
      <c r="P278" s="2">
        <v>13.0</v>
      </c>
      <c r="Q278" s="2" t="s">
        <v>506</v>
      </c>
      <c r="R278" s="2" t="s">
        <v>24</v>
      </c>
      <c r="S278" s="2" t="b">
        <f>COUNTIF('Marcas Target'!A:A,dados!$E278)&gt;0</f>
        <v>0</v>
      </c>
    </row>
    <row r="279" ht="15.75" customHeight="1">
      <c r="A279" s="2" t="s">
        <v>501</v>
      </c>
      <c r="B279" s="2" t="s">
        <v>502</v>
      </c>
      <c r="C279" s="2" t="s">
        <v>24</v>
      </c>
      <c r="D279" s="2" t="s">
        <v>24</v>
      </c>
      <c r="E279" s="2" t="s">
        <v>503</v>
      </c>
      <c r="F279" s="2" t="s">
        <v>24</v>
      </c>
      <c r="G279" s="2" t="s">
        <v>24</v>
      </c>
      <c r="H279" s="2" t="s">
        <v>504</v>
      </c>
      <c r="I279" s="2" t="s">
        <v>501</v>
      </c>
      <c r="J279" s="2" t="s">
        <v>26</v>
      </c>
      <c r="K279" s="2" t="s">
        <v>505</v>
      </c>
      <c r="L279" s="3">
        <v>46088.0</v>
      </c>
      <c r="M279" s="2">
        <v>9.39</v>
      </c>
      <c r="N279" s="2">
        <v>9.39</v>
      </c>
      <c r="O279" s="2">
        <v>24.0</v>
      </c>
      <c r="P279" s="2">
        <v>20.0</v>
      </c>
      <c r="Q279" s="2" t="s">
        <v>506</v>
      </c>
      <c r="R279" s="2" t="s">
        <v>24</v>
      </c>
      <c r="S279" s="2" t="b">
        <f>COUNTIF('Marcas Target'!A:A,dados!$E279)&gt;0</f>
        <v>0</v>
      </c>
    </row>
    <row r="280" ht="15.75" customHeight="1">
      <c r="A280" s="2" t="s">
        <v>501</v>
      </c>
      <c r="B280" s="2" t="s">
        <v>502</v>
      </c>
      <c r="C280" s="2" t="s">
        <v>24</v>
      </c>
      <c r="D280" s="2" t="s">
        <v>24</v>
      </c>
      <c r="E280" s="2" t="s">
        <v>503</v>
      </c>
      <c r="F280" s="2" t="s">
        <v>24</v>
      </c>
      <c r="G280" s="2" t="s">
        <v>24</v>
      </c>
      <c r="H280" s="2" t="s">
        <v>504</v>
      </c>
      <c r="I280" s="2" t="s">
        <v>501</v>
      </c>
      <c r="J280" s="2" t="s">
        <v>26</v>
      </c>
      <c r="K280" s="2" t="s">
        <v>505</v>
      </c>
      <c r="L280" s="3">
        <v>46087.0</v>
      </c>
      <c r="M280" s="2">
        <v>7.91</v>
      </c>
      <c r="N280" s="2">
        <v>7.91</v>
      </c>
      <c r="O280" s="2">
        <v>3.0</v>
      </c>
      <c r="P280" s="2">
        <v>2.0</v>
      </c>
      <c r="Q280" s="2" t="s">
        <v>506</v>
      </c>
      <c r="R280" s="2" t="s">
        <v>24</v>
      </c>
      <c r="S280" s="2" t="b">
        <f>COUNTIF('Marcas Target'!A:A,dados!$E280)&gt;0</f>
        <v>0</v>
      </c>
    </row>
    <row r="281" ht="15.75" customHeight="1">
      <c r="A281" s="2" t="s">
        <v>507</v>
      </c>
      <c r="B281" s="2" t="s">
        <v>508</v>
      </c>
      <c r="C281" s="2" t="s">
        <v>24</v>
      </c>
      <c r="D281" s="2" t="s">
        <v>24</v>
      </c>
      <c r="E281" s="2" t="s">
        <v>227</v>
      </c>
      <c r="F281" s="2" t="s">
        <v>24</v>
      </c>
      <c r="G281" s="2" t="s">
        <v>24</v>
      </c>
      <c r="H281" s="2" t="s">
        <v>509</v>
      </c>
      <c r="I281" s="2" t="s">
        <v>507</v>
      </c>
      <c r="J281" s="2" t="s">
        <v>26</v>
      </c>
      <c r="K281" s="2" t="s">
        <v>510</v>
      </c>
      <c r="L281" s="3">
        <v>46089.0</v>
      </c>
      <c r="M281" s="2">
        <v>23.99</v>
      </c>
      <c r="N281" s="2">
        <v>23.99</v>
      </c>
      <c r="O281" s="2">
        <v>22.0</v>
      </c>
      <c r="P281" s="2">
        <v>5.0</v>
      </c>
      <c r="Q281" s="2" t="s">
        <v>511</v>
      </c>
      <c r="R281" s="2" t="s">
        <v>24</v>
      </c>
      <c r="S281" s="2" t="b">
        <f>COUNTIF('Marcas Target'!A:A,dados!$E281)&gt;0</f>
        <v>0</v>
      </c>
    </row>
    <row r="282" ht="15.75" customHeight="1">
      <c r="A282" s="2" t="s">
        <v>507</v>
      </c>
      <c r="B282" s="2" t="s">
        <v>508</v>
      </c>
      <c r="C282" s="2" t="s">
        <v>24</v>
      </c>
      <c r="D282" s="2" t="s">
        <v>24</v>
      </c>
      <c r="E282" s="2" t="s">
        <v>227</v>
      </c>
      <c r="F282" s="2" t="s">
        <v>24</v>
      </c>
      <c r="G282" s="2" t="s">
        <v>24</v>
      </c>
      <c r="H282" s="2" t="s">
        <v>509</v>
      </c>
      <c r="I282" s="2" t="s">
        <v>507</v>
      </c>
      <c r="J282" s="2" t="s">
        <v>26</v>
      </c>
      <c r="K282" s="2" t="s">
        <v>510</v>
      </c>
      <c r="L282" s="3">
        <v>46088.0</v>
      </c>
      <c r="M282" s="2">
        <v>23.99</v>
      </c>
      <c r="N282" s="2">
        <v>23.99</v>
      </c>
      <c r="O282" s="2">
        <v>24.0</v>
      </c>
      <c r="P282" s="2">
        <v>16.0</v>
      </c>
      <c r="Q282" s="2" t="s">
        <v>511</v>
      </c>
      <c r="R282" s="2" t="s">
        <v>24</v>
      </c>
      <c r="S282" s="2" t="b">
        <f>COUNTIF('Marcas Target'!A:A,dados!$E282)&gt;0</f>
        <v>0</v>
      </c>
    </row>
    <row r="283" ht="15.75" customHeight="1">
      <c r="A283" s="2" t="s">
        <v>507</v>
      </c>
      <c r="B283" s="2" t="s">
        <v>508</v>
      </c>
      <c r="C283" s="2" t="s">
        <v>24</v>
      </c>
      <c r="D283" s="2" t="s">
        <v>24</v>
      </c>
      <c r="E283" s="2" t="s">
        <v>227</v>
      </c>
      <c r="F283" s="2" t="s">
        <v>24</v>
      </c>
      <c r="G283" s="2" t="s">
        <v>24</v>
      </c>
      <c r="H283" s="2" t="s">
        <v>509</v>
      </c>
      <c r="I283" s="2" t="s">
        <v>507</v>
      </c>
      <c r="J283" s="2" t="s">
        <v>26</v>
      </c>
      <c r="K283" s="2" t="s">
        <v>510</v>
      </c>
      <c r="L283" s="3">
        <v>46087.0</v>
      </c>
      <c r="M283" s="2">
        <v>23.99</v>
      </c>
      <c r="N283" s="2">
        <v>23.99</v>
      </c>
      <c r="O283" s="2">
        <v>3.0</v>
      </c>
      <c r="P283" s="2">
        <v>1.0</v>
      </c>
      <c r="Q283" s="2" t="s">
        <v>511</v>
      </c>
      <c r="R283" s="2" t="s">
        <v>24</v>
      </c>
      <c r="S283" s="2" t="b">
        <f>COUNTIF('Marcas Target'!A:A,dados!$E283)&gt;0</f>
        <v>0</v>
      </c>
    </row>
    <row r="284" ht="15.75" customHeight="1">
      <c r="A284" s="2" t="s">
        <v>512</v>
      </c>
      <c r="B284" s="2" t="s">
        <v>513</v>
      </c>
      <c r="C284" s="2" t="s">
        <v>24</v>
      </c>
      <c r="D284" s="2" t="s">
        <v>24</v>
      </c>
      <c r="E284" s="2" t="s">
        <v>145</v>
      </c>
      <c r="F284" s="2" t="s">
        <v>24</v>
      </c>
      <c r="G284" s="2" t="s">
        <v>24</v>
      </c>
      <c r="H284" s="2" t="s">
        <v>514</v>
      </c>
      <c r="I284" s="2" t="s">
        <v>512</v>
      </c>
      <c r="J284" s="2" t="s">
        <v>26</v>
      </c>
      <c r="K284" s="2" t="s">
        <v>515</v>
      </c>
      <c r="L284" s="3">
        <v>46089.0</v>
      </c>
      <c r="M284" s="2" t="s">
        <v>24</v>
      </c>
      <c r="N284" s="2" t="s">
        <v>24</v>
      </c>
      <c r="O284" s="2">
        <v>22.0</v>
      </c>
      <c r="P284" s="2">
        <v>0.0</v>
      </c>
      <c r="Q284" s="2" t="s">
        <v>516</v>
      </c>
      <c r="R284" s="2" t="s">
        <v>24</v>
      </c>
      <c r="S284" s="2" t="b">
        <f>COUNTIF('Marcas Target'!A:A,dados!$E284)&gt;0</f>
        <v>1</v>
      </c>
    </row>
    <row r="285" ht="15.75" customHeight="1">
      <c r="A285" s="2" t="s">
        <v>512</v>
      </c>
      <c r="B285" s="2" t="s">
        <v>513</v>
      </c>
      <c r="C285" s="2" t="s">
        <v>24</v>
      </c>
      <c r="D285" s="2" t="s">
        <v>24</v>
      </c>
      <c r="E285" s="2" t="s">
        <v>145</v>
      </c>
      <c r="F285" s="2" t="s">
        <v>24</v>
      </c>
      <c r="G285" s="2" t="s">
        <v>24</v>
      </c>
      <c r="H285" s="2" t="s">
        <v>514</v>
      </c>
      <c r="I285" s="2" t="s">
        <v>512</v>
      </c>
      <c r="J285" s="2" t="s">
        <v>26</v>
      </c>
      <c r="K285" s="2" t="s">
        <v>515</v>
      </c>
      <c r="L285" s="3">
        <v>46088.0</v>
      </c>
      <c r="M285" s="2">
        <v>17.99</v>
      </c>
      <c r="N285" s="2">
        <v>17.99</v>
      </c>
      <c r="O285" s="2">
        <v>24.0</v>
      </c>
      <c r="P285" s="2">
        <v>2.0</v>
      </c>
      <c r="Q285" s="2" t="s">
        <v>516</v>
      </c>
      <c r="R285" s="2" t="s">
        <v>24</v>
      </c>
      <c r="S285" s="2" t="b">
        <f>COUNTIF('Marcas Target'!A:A,dados!$E285)&gt;0</f>
        <v>1</v>
      </c>
    </row>
    <row r="286" ht="15.75" customHeight="1">
      <c r="A286" s="2" t="s">
        <v>512</v>
      </c>
      <c r="B286" s="2" t="s">
        <v>513</v>
      </c>
      <c r="C286" s="2" t="s">
        <v>24</v>
      </c>
      <c r="D286" s="2" t="s">
        <v>24</v>
      </c>
      <c r="E286" s="2" t="s">
        <v>145</v>
      </c>
      <c r="F286" s="2" t="s">
        <v>24</v>
      </c>
      <c r="G286" s="2" t="s">
        <v>24</v>
      </c>
      <c r="H286" s="2" t="s">
        <v>514</v>
      </c>
      <c r="I286" s="2" t="s">
        <v>512</v>
      </c>
      <c r="J286" s="2" t="s">
        <v>26</v>
      </c>
      <c r="K286" s="2" t="s">
        <v>515</v>
      </c>
      <c r="L286" s="3">
        <v>46087.0</v>
      </c>
      <c r="M286" s="2" t="s">
        <v>24</v>
      </c>
      <c r="N286" s="2" t="s">
        <v>24</v>
      </c>
      <c r="O286" s="2">
        <v>3.0</v>
      </c>
      <c r="P286" s="2">
        <v>0.0</v>
      </c>
      <c r="Q286" s="2" t="s">
        <v>516</v>
      </c>
      <c r="R286" s="2" t="s">
        <v>24</v>
      </c>
      <c r="S286" s="2" t="b">
        <f>COUNTIF('Marcas Target'!A:A,dados!$E286)&gt;0</f>
        <v>1</v>
      </c>
    </row>
    <row r="287" ht="15.75" customHeight="1">
      <c r="A287" s="2" t="s">
        <v>517</v>
      </c>
      <c r="B287" s="2" t="s">
        <v>518</v>
      </c>
      <c r="C287" s="2" t="s">
        <v>24</v>
      </c>
      <c r="D287" s="2" t="s">
        <v>24</v>
      </c>
      <c r="E287" s="2" t="s">
        <v>227</v>
      </c>
      <c r="F287" s="2" t="s">
        <v>24</v>
      </c>
      <c r="G287" s="2" t="s">
        <v>24</v>
      </c>
      <c r="H287" s="2" t="s">
        <v>519</v>
      </c>
      <c r="I287" s="2" t="s">
        <v>517</v>
      </c>
      <c r="J287" s="2" t="s">
        <v>26</v>
      </c>
      <c r="K287" s="2" t="s">
        <v>520</v>
      </c>
      <c r="L287" s="3">
        <v>46089.0</v>
      </c>
      <c r="M287" s="2">
        <v>23.99</v>
      </c>
      <c r="N287" s="2">
        <v>23.99</v>
      </c>
      <c r="O287" s="2">
        <v>22.0</v>
      </c>
      <c r="P287" s="2">
        <v>11.0</v>
      </c>
      <c r="Q287" s="2" t="s">
        <v>521</v>
      </c>
      <c r="R287" s="2" t="s">
        <v>24</v>
      </c>
      <c r="S287" s="2" t="b">
        <f>COUNTIF('Marcas Target'!A:A,dados!$E287)&gt;0</f>
        <v>0</v>
      </c>
    </row>
    <row r="288" ht="15.75" customHeight="1">
      <c r="A288" s="2" t="s">
        <v>517</v>
      </c>
      <c r="B288" s="2" t="s">
        <v>518</v>
      </c>
      <c r="C288" s="2" t="s">
        <v>24</v>
      </c>
      <c r="D288" s="2" t="s">
        <v>24</v>
      </c>
      <c r="E288" s="2" t="s">
        <v>227</v>
      </c>
      <c r="F288" s="2" t="s">
        <v>24</v>
      </c>
      <c r="G288" s="2" t="s">
        <v>24</v>
      </c>
      <c r="H288" s="2" t="s">
        <v>519</v>
      </c>
      <c r="I288" s="2" t="s">
        <v>517</v>
      </c>
      <c r="J288" s="2" t="s">
        <v>26</v>
      </c>
      <c r="K288" s="2" t="s">
        <v>520</v>
      </c>
      <c r="L288" s="3">
        <v>46088.0</v>
      </c>
      <c r="M288" s="2">
        <v>23.99</v>
      </c>
      <c r="N288" s="2">
        <v>23.99</v>
      </c>
      <c r="O288" s="2">
        <v>24.0</v>
      </c>
      <c r="P288" s="2">
        <v>17.0</v>
      </c>
      <c r="Q288" s="2" t="s">
        <v>521</v>
      </c>
      <c r="R288" s="2" t="s">
        <v>24</v>
      </c>
      <c r="S288" s="2" t="b">
        <f>COUNTIF('Marcas Target'!A:A,dados!$E288)&gt;0</f>
        <v>0</v>
      </c>
    </row>
    <row r="289" ht="15.75" customHeight="1">
      <c r="A289" s="2" t="s">
        <v>517</v>
      </c>
      <c r="B289" s="2" t="s">
        <v>518</v>
      </c>
      <c r="C289" s="2" t="s">
        <v>24</v>
      </c>
      <c r="D289" s="2" t="s">
        <v>24</v>
      </c>
      <c r="E289" s="2" t="s">
        <v>227</v>
      </c>
      <c r="F289" s="2" t="s">
        <v>24</v>
      </c>
      <c r="G289" s="2" t="s">
        <v>24</v>
      </c>
      <c r="H289" s="2" t="s">
        <v>519</v>
      </c>
      <c r="I289" s="2" t="s">
        <v>517</v>
      </c>
      <c r="J289" s="2" t="s">
        <v>26</v>
      </c>
      <c r="K289" s="2" t="s">
        <v>520</v>
      </c>
      <c r="L289" s="3">
        <v>46087.0</v>
      </c>
      <c r="M289" s="2">
        <v>23.99</v>
      </c>
      <c r="N289" s="2">
        <v>23.99</v>
      </c>
      <c r="O289" s="2">
        <v>3.0</v>
      </c>
      <c r="P289" s="2">
        <v>2.0</v>
      </c>
      <c r="Q289" s="2" t="s">
        <v>521</v>
      </c>
      <c r="R289" s="2" t="s">
        <v>24</v>
      </c>
      <c r="S289" s="2" t="b">
        <f>COUNTIF('Marcas Target'!A:A,dados!$E289)&gt;0</f>
        <v>0</v>
      </c>
    </row>
    <row r="290" ht="15.75" customHeight="1">
      <c r="A290" s="2" t="s">
        <v>522</v>
      </c>
      <c r="B290" s="2" t="s">
        <v>523</v>
      </c>
      <c r="C290" s="2" t="s">
        <v>21</v>
      </c>
      <c r="D290" s="2" t="s">
        <v>22</v>
      </c>
      <c r="E290" s="2" t="s">
        <v>145</v>
      </c>
      <c r="F290" s="2" t="s">
        <v>24</v>
      </c>
      <c r="G290" s="2" t="s">
        <v>24</v>
      </c>
      <c r="H290" s="2" t="s">
        <v>524</v>
      </c>
      <c r="I290" s="2" t="s">
        <v>522</v>
      </c>
      <c r="J290" s="2" t="s">
        <v>26</v>
      </c>
      <c r="K290" s="2" t="s">
        <v>525</v>
      </c>
      <c r="L290" s="3">
        <v>46089.0</v>
      </c>
      <c r="M290" s="2">
        <v>49.99</v>
      </c>
      <c r="N290" s="2">
        <v>49.99</v>
      </c>
      <c r="O290" s="2">
        <v>22.0</v>
      </c>
      <c r="P290" s="2">
        <v>22.0</v>
      </c>
      <c r="Q290" s="2" t="s">
        <v>526</v>
      </c>
      <c r="R290" s="2" t="s">
        <v>24</v>
      </c>
      <c r="S290" s="2" t="b">
        <f>COUNTIF('Marcas Target'!A:A,dados!$E290)&gt;0</f>
        <v>1</v>
      </c>
    </row>
    <row r="291" ht="15.75" customHeight="1">
      <c r="A291" s="2" t="s">
        <v>522</v>
      </c>
      <c r="B291" s="2" t="s">
        <v>523</v>
      </c>
      <c r="C291" s="2" t="s">
        <v>21</v>
      </c>
      <c r="D291" s="2" t="s">
        <v>22</v>
      </c>
      <c r="E291" s="2" t="s">
        <v>145</v>
      </c>
      <c r="F291" s="2" t="s">
        <v>24</v>
      </c>
      <c r="G291" s="2" t="s">
        <v>24</v>
      </c>
      <c r="H291" s="2" t="s">
        <v>524</v>
      </c>
      <c r="I291" s="2" t="s">
        <v>522</v>
      </c>
      <c r="J291" s="2" t="s">
        <v>26</v>
      </c>
      <c r="K291" s="2" t="s">
        <v>525</v>
      </c>
      <c r="L291" s="3">
        <v>46088.0</v>
      </c>
      <c r="M291" s="2">
        <v>49.99</v>
      </c>
      <c r="N291" s="2">
        <v>49.99</v>
      </c>
      <c r="O291" s="2">
        <v>24.0</v>
      </c>
      <c r="P291" s="2">
        <v>24.0</v>
      </c>
      <c r="Q291" s="2" t="s">
        <v>526</v>
      </c>
      <c r="R291" s="2" t="s">
        <v>24</v>
      </c>
      <c r="S291" s="2" t="b">
        <f>COUNTIF('Marcas Target'!A:A,dados!$E291)&gt;0</f>
        <v>1</v>
      </c>
    </row>
    <row r="292" ht="15.75" customHeight="1">
      <c r="A292" s="2" t="s">
        <v>522</v>
      </c>
      <c r="B292" s="2" t="s">
        <v>523</v>
      </c>
      <c r="C292" s="2" t="s">
        <v>21</v>
      </c>
      <c r="D292" s="2" t="s">
        <v>22</v>
      </c>
      <c r="E292" s="2" t="s">
        <v>145</v>
      </c>
      <c r="F292" s="2" t="s">
        <v>24</v>
      </c>
      <c r="G292" s="2" t="s">
        <v>24</v>
      </c>
      <c r="H292" s="2" t="s">
        <v>524</v>
      </c>
      <c r="I292" s="2" t="s">
        <v>522</v>
      </c>
      <c r="J292" s="2" t="s">
        <v>26</v>
      </c>
      <c r="K292" s="2" t="s">
        <v>525</v>
      </c>
      <c r="L292" s="3">
        <v>46087.0</v>
      </c>
      <c r="M292" s="2">
        <v>49.99</v>
      </c>
      <c r="N292" s="2">
        <v>49.99</v>
      </c>
      <c r="O292" s="2">
        <v>3.0</v>
      </c>
      <c r="P292" s="2">
        <v>2.0</v>
      </c>
      <c r="Q292" s="2" t="s">
        <v>526</v>
      </c>
      <c r="R292" s="2" t="s">
        <v>24</v>
      </c>
      <c r="S292" s="2" t="b">
        <f>COUNTIF('Marcas Target'!A:A,dados!$E292)&gt;0</f>
        <v>1</v>
      </c>
    </row>
    <row r="293" ht="15.75" customHeight="1">
      <c r="A293" s="2" t="s">
        <v>527</v>
      </c>
      <c r="B293" s="2" t="s">
        <v>528</v>
      </c>
      <c r="C293" s="2" t="s">
        <v>21</v>
      </c>
      <c r="D293" s="2" t="s">
        <v>22</v>
      </c>
      <c r="E293" s="2" t="s">
        <v>529</v>
      </c>
      <c r="F293" s="2" t="s">
        <v>24</v>
      </c>
      <c r="G293" s="2" t="s">
        <v>24</v>
      </c>
      <c r="H293" s="2" t="s">
        <v>530</v>
      </c>
      <c r="I293" s="2" t="s">
        <v>527</v>
      </c>
      <c r="J293" s="2" t="s">
        <v>26</v>
      </c>
      <c r="K293" s="2" t="s">
        <v>531</v>
      </c>
      <c r="L293" s="3">
        <v>46089.0</v>
      </c>
      <c r="M293" s="2">
        <v>28.59</v>
      </c>
      <c r="N293" s="2">
        <v>28.59</v>
      </c>
      <c r="O293" s="2">
        <v>22.0</v>
      </c>
      <c r="P293" s="2">
        <v>22.0</v>
      </c>
      <c r="Q293" s="2" t="s">
        <v>532</v>
      </c>
      <c r="R293" s="2" t="s">
        <v>24</v>
      </c>
      <c r="S293" s="2" t="b">
        <f>COUNTIF('Marcas Target'!A:A,dados!$E293)&gt;0</f>
        <v>0</v>
      </c>
    </row>
    <row r="294" ht="15.75" customHeight="1">
      <c r="A294" s="2" t="s">
        <v>527</v>
      </c>
      <c r="B294" s="2" t="s">
        <v>528</v>
      </c>
      <c r="C294" s="2" t="s">
        <v>21</v>
      </c>
      <c r="D294" s="2" t="s">
        <v>22</v>
      </c>
      <c r="E294" s="2" t="s">
        <v>529</v>
      </c>
      <c r="F294" s="2" t="s">
        <v>24</v>
      </c>
      <c r="G294" s="2" t="s">
        <v>24</v>
      </c>
      <c r="H294" s="2" t="s">
        <v>530</v>
      </c>
      <c r="I294" s="2" t="s">
        <v>527</v>
      </c>
      <c r="J294" s="2" t="s">
        <v>26</v>
      </c>
      <c r="K294" s="2" t="s">
        <v>531</v>
      </c>
      <c r="L294" s="3">
        <v>46088.0</v>
      </c>
      <c r="M294" s="2">
        <v>37.57</v>
      </c>
      <c r="N294" s="2">
        <v>37.57</v>
      </c>
      <c r="O294" s="2">
        <v>24.0</v>
      </c>
      <c r="P294" s="2">
        <v>24.0</v>
      </c>
      <c r="Q294" s="2" t="s">
        <v>532</v>
      </c>
      <c r="R294" s="2" t="s">
        <v>24</v>
      </c>
      <c r="S294" s="2" t="b">
        <f>COUNTIF('Marcas Target'!A:A,dados!$E294)&gt;0</f>
        <v>0</v>
      </c>
    </row>
    <row r="295" ht="15.75" customHeight="1">
      <c r="A295" s="2" t="s">
        <v>527</v>
      </c>
      <c r="B295" s="2" t="s">
        <v>528</v>
      </c>
      <c r="C295" s="2" t="s">
        <v>21</v>
      </c>
      <c r="D295" s="2" t="s">
        <v>22</v>
      </c>
      <c r="E295" s="2" t="s">
        <v>529</v>
      </c>
      <c r="F295" s="2" t="s">
        <v>24</v>
      </c>
      <c r="G295" s="2" t="s">
        <v>24</v>
      </c>
      <c r="H295" s="2" t="s">
        <v>530</v>
      </c>
      <c r="I295" s="2" t="s">
        <v>527</v>
      </c>
      <c r="J295" s="2" t="s">
        <v>26</v>
      </c>
      <c r="K295" s="2" t="s">
        <v>531</v>
      </c>
      <c r="L295" s="3">
        <v>46087.0</v>
      </c>
      <c r="M295" s="2">
        <v>28.59</v>
      </c>
      <c r="N295" s="2">
        <v>28.59</v>
      </c>
      <c r="O295" s="2">
        <v>3.0</v>
      </c>
      <c r="P295" s="2">
        <v>2.0</v>
      </c>
      <c r="Q295" s="2" t="s">
        <v>532</v>
      </c>
      <c r="R295" s="2" t="s">
        <v>24</v>
      </c>
      <c r="S295" s="2" t="b">
        <f>COUNTIF('Marcas Target'!A:A,dados!$E295)&gt;0</f>
        <v>0</v>
      </c>
    </row>
    <row r="296" ht="15.75" customHeight="1">
      <c r="A296" s="2" t="s">
        <v>533</v>
      </c>
      <c r="B296" s="2" t="s">
        <v>534</v>
      </c>
      <c r="C296" s="2" t="s">
        <v>21</v>
      </c>
      <c r="D296" s="2" t="s">
        <v>22</v>
      </c>
      <c r="E296" s="2" t="s">
        <v>294</v>
      </c>
      <c r="F296" s="2" t="s">
        <v>24</v>
      </c>
      <c r="G296" s="2" t="s">
        <v>24</v>
      </c>
      <c r="H296" s="2" t="s">
        <v>535</v>
      </c>
      <c r="I296" s="2" t="s">
        <v>533</v>
      </c>
      <c r="J296" s="2" t="s">
        <v>26</v>
      </c>
      <c r="K296" s="2" t="s">
        <v>536</v>
      </c>
      <c r="L296" s="3">
        <v>46089.0</v>
      </c>
      <c r="M296" s="2">
        <v>24.99</v>
      </c>
      <c r="N296" s="2">
        <v>24.99</v>
      </c>
      <c r="O296" s="2">
        <v>22.0</v>
      </c>
      <c r="P296" s="2">
        <v>22.0</v>
      </c>
      <c r="Q296" s="2" t="s">
        <v>537</v>
      </c>
      <c r="R296" s="2" t="s">
        <v>24</v>
      </c>
      <c r="S296" s="2" t="b">
        <f>COUNTIF('Marcas Target'!A:A,dados!$E296)&gt;0</f>
        <v>1</v>
      </c>
    </row>
    <row r="297" ht="15.75" customHeight="1">
      <c r="A297" s="2" t="s">
        <v>533</v>
      </c>
      <c r="B297" s="2" t="s">
        <v>534</v>
      </c>
      <c r="C297" s="2" t="s">
        <v>21</v>
      </c>
      <c r="D297" s="2" t="s">
        <v>22</v>
      </c>
      <c r="E297" s="2" t="s">
        <v>294</v>
      </c>
      <c r="F297" s="2" t="s">
        <v>24</v>
      </c>
      <c r="G297" s="2" t="s">
        <v>24</v>
      </c>
      <c r="H297" s="2" t="s">
        <v>535</v>
      </c>
      <c r="I297" s="2" t="s">
        <v>533</v>
      </c>
      <c r="J297" s="2" t="s">
        <v>26</v>
      </c>
      <c r="K297" s="2" t="s">
        <v>536</v>
      </c>
      <c r="L297" s="3">
        <v>46088.0</v>
      </c>
      <c r="M297" s="2">
        <v>24.99</v>
      </c>
      <c r="N297" s="2">
        <v>24.99</v>
      </c>
      <c r="O297" s="2">
        <v>24.0</v>
      </c>
      <c r="P297" s="2">
        <v>24.0</v>
      </c>
      <c r="Q297" s="2" t="s">
        <v>537</v>
      </c>
      <c r="R297" s="2" t="s">
        <v>24</v>
      </c>
      <c r="S297" s="2" t="b">
        <f>COUNTIF('Marcas Target'!A:A,dados!$E297)&gt;0</f>
        <v>1</v>
      </c>
    </row>
    <row r="298" ht="15.75" customHeight="1">
      <c r="A298" s="2" t="s">
        <v>533</v>
      </c>
      <c r="B298" s="2" t="s">
        <v>534</v>
      </c>
      <c r="C298" s="2" t="s">
        <v>21</v>
      </c>
      <c r="D298" s="2" t="s">
        <v>22</v>
      </c>
      <c r="E298" s="2" t="s">
        <v>294</v>
      </c>
      <c r="F298" s="2" t="s">
        <v>24</v>
      </c>
      <c r="G298" s="2" t="s">
        <v>24</v>
      </c>
      <c r="H298" s="2" t="s">
        <v>535</v>
      </c>
      <c r="I298" s="2" t="s">
        <v>533</v>
      </c>
      <c r="J298" s="2" t="s">
        <v>26</v>
      </c>
      <c r="K298" s="2" t="s">
        <v>536</v>
      </c>
      <c r="L298" s="3">
        <v>46087.0</v>
      </c>
      <c r="M298" s="2">
        <v>24.99</v>
      </c>
      <c r="N298" s="2">
        <v>24.99</v>
      </c>
      <c r="O298" s="2">
        <v>3.0</v>
      </c>
      <c r="P298" s="2">
        <v>2.0</v>
      </c>
      <c r="Q298" s="2" t="s">
        <v>537</v>
      </c>
      <c r="R298" s="2" t="s">
        <v>24</v>
      </c>
      <c r="S298" s="2" t="b">
        <f>COUNTIF('Marcas Target'!A:A,dados!$E298)&gt;0</f>
        <v>1</v>
      </c>
    </row>
    <row r="299" ht="15.75" customHeight="1">
      <c r="A299" s="2" t="s">
        <v>538</v>
      </c>
      <c r="B299" s="2" t="s">
        <v>539</v>
      </c>
      <c r="C299" s="2" t="s">
        <v>21</v>
      </c>
      <c r="D299" s="2" t="s">
        <v>22</v>
      </c>
      <c r="E299" s="2" t="s">
        <v>294</v>
      </c>
      <c r="F299" s="2" t="s">
        <v>24</v>
      </c>
      <c r="G299" s="2" t="s">
        <v>24</v>
      </c>
      <c r="H299" s="2" t="s">
        <v>540</v>
      </c>
      <c r="I299" s="2" t="s">
        <v>538</v>
      </c>
      <c r="J299" s="2" t="s">
        <v>26</v>
      </c>
      <c r="K299" s="2" t="s">
        <v>541</v>
      </c>
      <c r="L299" s="3">
        <v>46089.0</v>
      </c>
      <c r="M299" s="2">
        <v>24.99</v>
      </c>
      <c r="N299" s="2">
        <v>24.99</v>
      </c>
      <c r="O299" s="2">
        <v>22.0</v>
      </c>
      <c r="P299" s="2">
        <v>22.0</v>
      </c>
      <c r="Q299" s="2" t="s">
        <v>542</v>
      </c>
      <c r="R299" s="2" t="s">
        <v>24</v>
      </c>
      <c r="S299" s="2" t="b">
        <f>COUNTIF('Marcas Target'!A:A,dados!$E299)&gt;0</f>
        <v>1</v>
      </c>
    </row>
    <row r="300" ht="15.75" customHeight="1">
      <c r="A300" s="2" t="s">
        <v>538</v>
      </c>
      <c r="B300" s="2" t="s">
        <v>539</v>
      </c>
      <c r="C300" s="2" t="s">
        <v>21</v>
      </c>
      <c r="D300" s="2" t="s">
        <v>22</v>
      </c>
      <c r="E300" s="2" t="s">
        <v>294</v>
      </c>
      <c r="F300" s="2" t="s">
        <v>24</v>
      </c>
      <c r="G300" s="2" t="s">
        <v>24</v>
      </c>
      <c r="H300" s="2" t="s">
        <v>540</v>
      </c>
      <c r="I300" s="2" t="s">
        <v>538</v>
      </c>
      <c r="J300" s="2" t="s">
        <v>26</v>
      </c>
      <c r="K300" s="2" t="s">
        <v>541</v>
      </c>
      <c r="L300" s="3">
        <v>46088.0</v>
      </c>
      <c r="M300" s="2">
        <v>24.99</v>
      </c>
      <c r="N300" s="2">
        <v>24.99</v>
      </c>
      <c r="O300" s="2">
        <v>24.0</v>
      </c>
      <c r="P300" s="2">
        <v>24.0</v>
      </c>
      <c r="Q300" s="2" t="s">
        <v>542</v>
      </c>
      <c r="R300" s="2" t="s">
        <v>24</v>
      </c>
      <c r="S300" s="2" t="b">
        <f>COUNTIF('Marcas Target'!A:A,dados!$E300)&gt;0</f>
        <v>1</v>
      </c>
    </row>
    <row r="301" ht="15.75" customHeight="1">
      <c r="A301" s="2" t="s">
        <v>538</v>
      </c>
      <c r="B301" s="2" t="s">
        <v>539</v>
      </c>
      <c r="C301" s="2" t="s">
        <v>21</v>
      </c>
      <c r="D301" s="2" t="s">
        <v>22</v>
      </c>
      <c r="E301" s="2" t="s">
        <v>294</v>
      </c>
      <c r="F301" s="2" t="s">
        <v>24</v>
      </c>
      <c r="G301" s="2" t="s">
        <v>24</v>
      </c>
      <c r="H301" s="2" t="s">
        <v>540</v>
      </c>
      <c r="I301" s="2" t="s">
        <v>538</v>
      </c>
      <c r="J301" s="2" t="s">
        <v>26</v>
      </c>
      <c r="K301" s="2" t="s">
        <v>541</v>
      </c>
      <c r="L301" s="3">
        <v>46087.0</v>
      </c>
      <c r="M301" s="2">
        <v>24.99</v>
      </c>
      <c r="N301" s="2">
        <v>24.99</v>
      </c>
      <c r="O301" s="2">
        <v>3.0</v>
      </c>
      <c r="P301" s="2">
        <v>2.0</v>
      </c>
      <c r="Q301" s="2" t="s">
        <v>542</v>
      </c>
      <c r="R301" s="2" t="s">
        <v>24</v>
      </c>
      <c r="S301" s="2" t="b">
        <f>COUNTIF('Marcas Target'!A:A,dados!$E301)&gt;0</f>
        <v>1</v>
      </c>
    </row>
    <row r="302" ht="15.75" customHeight="1">
      <c r="A302" s="2" t="s">
        <v>543</v>
      </c>
      <c r="B302" s="2" t="s">
        <v>544</v>
      </c>
      <c r="C302" s="2" t="s">
        <v>21</v>
      </c>
      <c r="D302" s="2" t="s">
        <v>22</v>
      </c>
      <c r="E302" s="2" t="s">
        <v>227</v>
      </c>
      <c r="F302" s="2" t="s">
        <v>24</v>
      </c>
      <c r="G302" s="2" t="s">
        <v>24</v>
      </c>
      <c r="H302" s="2" t="s">
        <v>545</v>
      </c>
      <c r="I302" s="2" t="s">
        <v>543</v>
      </c>
      <c r="J302" s="2" t="s">
        <v>26</v>
      </c>
      <c r="K302" s="2" t="s">
        <v>546</v>
      </c>
      <c r="L302" s="3">
        <v>46089.0</v>
      </c>
      <c r="M302" s="2">
        <v>27.19</v>
      </c>
      <c r="N302" s="2">
        <v>27.19</v>
      </c>
      <c r="O302" s="2">
        <v>22.0</v>
      </c>
      <c r="P302" s="2">
        <v>20.0</v>
      </c>
      <c r="Q302" s="2" t="s">
        <v>547</v>
      </c>
      <c r="R302" s="2" t="s">
        <v>24</v>
      </c>
      <c r="S302" s="2" t="b">
        <f>COUNTIF('Marcas Target'!A:A,dados!$E302)&gt;0</f>
        <v>0</v>
      </c>
    </row>
    <row r="303" ht="15.75" customHeight="1">
      <c r="A303" s="2" t="s">
        <v>543</v>
      </c>
      <c r="B303" s="2" t="s">
        <v>544</v>
      </c>
      <c r="C303" s="2" t="s">
        <v>21</v>
      </c>
      <c r="D303" s="2" t="s">
        <v>22</v>
      </c>
      <c r="E303" s="2" t="s">
        <v>227</v>
      </c>
      <c r="F303" s="2" t="s">
        <v>24</v>
      </c>
      <c r="G303" s="2" t="s">
        <v>24</v>
      </c>
      <c r="H303" s="2" t="s">
        <v>545</v>
      </c>
      <c r="I303" s="2" t="s">
        <v>543</v>
      </c>
      <c r="J303" s="2" t="s">
        <v>26</v>
      </c>
      <c r="K303" s="2" t="s">
        <v>546</v>
      </c>
      <c r="L303" s="3">
        <v>46088.0</v>
      </c>
      <c r="M303" s="2">
        <v>31.48</v>
      </c>
      <c r="N303" s="2">
        <v>31.48</v>
      </c>
      <c r="O303" s="2">
        <v>24.0</v>
      </c>
      <c r="P303" s="2">
        <v>19.0</v>
      </c>
      <c r="Q303" s="2" t="s">
        <v>547</v>
      </c>
      <c r="R303" s="2" t="s">
        <v>24</v>
      </c>
      <c r="S303" s="2" t="b">
        <f>COUNTIF('Marcas Target'!A:A,dados!$E303)&gt;0</f>
        <v>0</v>
      </c>
    </row>
    <row r="304" ht="15.75" customHeight="1">
      <c r="A304" s="2" t="s">
        <v>543</v>
      </c>
      <c r="B304" s="2" t="s">
        <v>544</v>
      </c>
      <c r="C304" s="2" t="s">
        <v>21</v>
      </c>
      <c r="D304" s="2" t="s">
        <v>22</v>
      </c>
      <c r="E304" s="2" t="s">
        <v>227</v>
      </c>
      <c r="F304" s="2" t="s">
        <v>24</v>
      </c>
      <c r="G304" s="2" t="s">
        <v>24</v>
      </c>
      <c r="H304" s="2" t="s">
        <v>545</v>
      </c>
      <c r="I304" s="2" t="s">
        <v>543</v>
      </c>
      <c r="J304" s="2" t="s">
        <v>26</v>
      </c>
      <c r="K304" s="2" t="s">
        <v>546</v>
      </c>
      <c r="L304" s="3">
        <v>46087.0</v>
      </c>
      <c r="M304" s="2">
        <v>27.19</v>
      </c>
      <c r="N304" s="2">
        <v>27.19</v>
      </c>
      <c r="O304" s="2">
        <v>3.0</v>
      </c>
      <c r="P304" s="2">
        <v>3.0</v>
      </c>
      <c r="Q304" s="2" t="s">
        <v>547</v>
      </c>
      <c r="R304" s="2" t="s">
        <v>24</v>
      </c>
      <c r="S304" s="2" t="b">
        <f>COUNTIF('Marcas Target'!A:A,dados!$E304)&gt;0</f>
        <v>0</v>
      </c>
    </row>
    <row r="305" ht="15.75" customHeight="1">
      <c r="A305" s="2" t="s">
        <v>548</v>
      </c>
      <c r="B305" s="2" t="s">
        <v>549</v>
      </c>
      <c r="C305" s="2" t="s">
        <v>21</v>
      </c>
      <c r="D305" s="2" t="s">
        <v>22</v>
      </c>
      <c r="E305" s="2" t="s">
        <v>145</v>
      </c>
      <c r="F305" s="2" t="s">
        <v>24</v>
      </c>
      <c r="G305" s="2" t="s">
        <v>24</v>
      </c>
      <c r="H305" s="2" t="s">
        <v>550</v>
      </c>
      <c r="I305" s="2" t="s">
        <v>548</v>
      </c>
      <c r="J305" s="2" t="s">
        <v>26</v>
      </c>
      <c r="K305" s="2" t="s">
        <v>551</v>
      </c>
      <c r="L305" s="3">
        <v>46089.0</v>
      </c>
      <c r="M305" s="2">
        <v>47.99</v>
      </c>
      <c r="N305" s="2">
        <v>47.99</v>
      </c>
      <c r="O305" s="2">
        <v>22.0</v>
      </c>
      <c r="P305" s="2">
        <v>22.0</v>
      </c>
      <c r="Q305" s="2" t="s">
        <v>552</v>
      </c>
      <c r="R305" s="2" t="s">
        <v>24</v>
      </c>
      <c r="S305" s="2" t="b">
        <f>COUNTIF('Marcas Target'!A:A,dados!$E305)&gt;0</f>
        <v>1</v>
      </c>
    </row>
    <row r="306" ht="15.75" customHeight="1">
      <c r="A306" s="2" t="s">
        <v>548</v>
      </c>
      <c r="B306" s="2" t="s">
        <v>549</v>
      </c>
      <c r="C306" s="2" t="s">
        <v>21</v>
      </c>
      <c r="D306" s="2" t="s">
        <v>22</v>
      </c>
      <c r="E306" s="2" t="s">
        <v>145</v>
      </c>
      <c r="F306" s="2" t="s">
        <v>24</v>
      </c>
      <c r="G306" s="2" t="s">
        <v>24</v>
      </c>
      <c r="H306" s="2" t="s">
        <v>550</v>
      </c>
      <c r="I306" s="2" t="s">
        <v>548</v>
      </c>
      <c r="J306" s="2" t="s">
        <v>26</v>
      </c>
      <c r="K306" s="2" t="s">
        <v>551</v>
      </c>
      <c r="L306" s="3">
        <v>46088.0</v>
      </c>
      <c r="M306" s="2">
        <v>47.99</v>
      </c>
      <c r="N306" s="2">
        <v>47.99</v>
      </c>
      <c r="O306" s="2">
        <v>24.0</v>
      </c>
      <c r="P306" s="2">
        <v>24.0</v>
      </c>
      <c r="Q306" s="2" t="s">
        <v>552</v>
      </c>
      <c r="R306" s="2" t="s">
        <v>24</v>
      </c>
      <c r="S306" s="2" t="b">
        <f>COUNTIF('Marcas Target'!A:A,dados!$E306)&gt;0</f>
        <v>1</v>
      </c>
    </row>
    <row r="307" ht="15.75" customHeight="1">
      <c r="A307" s="2" t="s">
        <v>548</v>
      </c>
      <c r="B307" s="2" t="s">
        <v>549</v>
      </c>
      <c r="C307" s="2" t="s">
        <v>21</v>
      </c>
      <c r="D307" s="2" t="s">
        <v>22</v>
      </c>
      <c r="E307" s="2" t="s">
        <v>145</v>
      </c>
      <c r="F307" s="2" t="s">
        <v>24</v>
      </c>
      <c r="G307" s="2" t="s">
        <v>24</v>
      </c>
      <c r="H307" s="2" t="s">
        <v>550</v>
      </c>
      <c r="I307" s="2" t="s">
        <v>548</v>
      </c>
      <c r="J307" s="2" t="s">
        <v>26</v>
      </c>
      <c r="K307" s="2" t="s">
        <v>551</v>
      </c>
      <c r="L307" s="3">
        <v>46087.0</v>
      </c>
      <c r="M307" s="2">
        <v>47.99</v>
      </c>
      <c r="N307" s="2">
        <v>47.99</v>
      </c>
      <c r="O307" s="2">
        <v>3.0</v>
      </c>
      <c r="P307" s="2">
        <v>3.0</v>
      </c>
      <c r="Q307" s="2" t="s">
        <v>552</v>
      </c>
      <c r="R307" s="2" t="s">
        <v>24</v>
      </c>
      <c r="S307" s="2" t="b">
        <f>COUNTIF('Marcas Target'!A:A,dados!$E307)&gt;0</f>
        <v>1</v>
      </c>
    </row>
    <row r="308" ht="15.75" customHeight="1">
      <c r="A308" s="2" t="s">
        <v>553</v>
      </c>
      <c r="B308" s="2" t="s">
        <v>554</v>
      </c>
      <c r="C308" s="2" t="s">
        <v>21</v>
      </c>
      <c r="D308" s="2" t="s">
        <v>22</v>
      </c>
      <c r="E308" s="2" t="s">
        <v>555</v>
      </c>
      <c r="F308" s="2" t="s">
        <v>24</v>
      </c>
      <c r="G308" s="2" t="s">
        <v>24</v>
      </c>
      <c r="H308" s="2" t="s">
        <v>556</v>
      </c>
      <c r="I308" s="2" t="s">
        <v>553</v>
      </c>
      <c r="J308" s="2" t="s">
        <v>26</v>
      </c>
      <c r="K308" s="2" t="s">
        <v>557</v>
      </c>
      <c r="L308" s="3">
        <v>46089.0</v>
      </c>
      <c r="M308" s="2" t="s">
        <v>24</v>
      </c>
      <c r="N308" s="2" t="s">
        <v>24</v>
      </c>
      <c r="O308" s="2">
        <v>23.0</v>
      </c>
      <c r="P308" s="2">
        <v>0.0</v>
      </c>
      <c r="Q308" s="2" t="s">
        <v>558</v>
      </c>
      <c r="R308" s="2" t="s">
        <v>24</v>
      </c>
      <c r="S308" s="2" t="b">
        <f>COUNTIF('Marcas Target'!A:A,dados!$E308)&gt;0</f>
        <v>0</v>
      </c>
    </row>
    <row r="309" ht="15.75" customHeight="1">
      <c r="A309" s="2" t="s">
        <v>553</v>
      </c>
      <c r="B309" s="2" t="s">
        <v>554</v>
      </c>
      <c r="C309" s="2" t="s">
        <v>21</v>
      </c>
      <c r="D309" s="2" t="s">
        <v>22</v>
      </c>
      <c r="E309" s="2" t="s">
        <v>555</v>
      </c>
      <c r="F309" s="2" t="s">
        <v>24</v>
      </c>
      <c r="G309" s="2" t="s">
        <v>24</v>
      </c>
      <c r="H309" s="2" t="s">
        <v>556</v>
      </c>
      <c r="I309" s="2" t="s">
        <v>553</v>
      </c>
      <c r="J309" s="2" t="s">
        <v>26</v>
      </c>
      <c r="K309" s="2" t="s">
        <v>557</v>
      </c>
      <c r="L309" s="3">
        <v>46088.0</v>
      </c>
      <c r="M309" s="2" t="s">
        <v>24</v>
      </c>
      <c r="N309" s="2" t="s">
        <v>24</v>
      </c>
      <c r="O309" s="2">
        <v>23.0</v>
      </c>
      <c r="P309" s="2">
        <v>0.0</v>
      </c>
      <c r="Q309" s="2" t="s">
        <v>558</v>
      </c>
      <c r="R309" s="2" t="s">
        <v>24</v>
      </c>
      <c r="S309" s="2" t="b">
        <f>COUNTIF('Marcas Target'!A:A,dados!$E309)&gt;0</f>
        <v>0</v>
      </c>
    </row>
    <row r="310" ht="15.75" customHeight="1">
      <c r="A310" s="2" t="s">
        <v>553</v>
      </c>
      <c r="B310" s="2" t="s">
        <v>554</v>
      </c>
      <c r="C310" s="2" t="s">
        <v>21</v>
      </c>
      <c r="D310" s="2" t="s">
        <v>22</v>
      </c>
      <c r="E310" s="2" t="s">
        <v>555</v>
      </c>
      <c r="F310" s="2" t="s">
        <v>24</v>
      </c>
      <c r="G310" s="2" t="s">
        <v>24</v>
      </c>
      <c r="H310" s="2" t="s">
        <v>556</v>
      </c>
      <c r="I310" s="2" t="s">
        <v>553</v>
      </c>
      <c r="J310" s="2" t="s">
        <v>26</v>
      </c>
      <c r="K310" s="2" t="s">
        <v>557</v>
      </c>
      <c r="L310" s="3">
        <v>46087.0</v>
      </c>
      <c r="M310" s="2" t="s">
        <v>24</v>
      </c>
      <c r="N310" s="2" t="s">
        <v>24</v>
      </c>
      <c r="O310" s="2">
        <v>3.0</v>
      </c>
      <c r="P310" s="2">
        <v>0.0</v>
      </c>
      <c r="Q310" s="2" t="s">
        <v>558</v>
      </c>
      <c r="R310" s="2" t="s">
        <v>24</v>
      </c>
      <c r="S310" s="2" t="b">
        <f>COUNTIF('Marcas Target'!A:A,dados!$E310)&gt;0</f>
        <v>0</v>
      </c>
    </row>
    <row r="311" ht="15.75" customHeight="1">
      <c r="A311" s="2" t="s">
        <v>559</v>
      </c>
      <c r="B311" s="2" t="s">
        <v>560</v>
      </c>
      <c r="C311" s="2" t="s">
        <v>21</v>
      </c>
      <c r="D311" s="2" t="s">
        <v>22</v>
      </c>
      <c r="E311" s="2" t="s">
        <v>139</v>
      </c>
      <c r="F311" s="2" t="s">
        <v>24</v>
      </c>
      <c r="G311" s="2" t="s">
        <v>24</v>
      </c>
      <c r="H311" s="2" t="s">
        <v>561</v>
      </c>
      <c r="I311" s="2" t="s">
        <v>559</v>
      </c>
      <c r="J311" s="2" t="s">
        <v>26</v>
      </c>
      <c r="K311" s="2" t="s">
        <v>562</v>
      </c>
      <c r="L311" s="3">
        <v>46089.0</v>
      </c>
      <c r="M311" s="2">
        <v>41.52</v>
      </c>
      <c r="N311" s="2">
        <v>41.52</v>
      </c>
      <c r="O311" s="2">
        <v>22.0</v>
      </c>
      <c r="P311" s="2">
        <v>21.0</v>
      </c>
      <c r="Q311" s="2" t="s">
        <v>563</v>
      </c>
      <c r="R311" s="2" t="s">
        <v>24</v>
      </c>
      <c r="S311" s="2" t="b">
        <f>COUNTIF('Marcas Target'!A:A,dados!$E311)&gt;0</f>
        <v>0</v>
      </c>
    </row>
    <row r="312" ht="15.75" customHeight="1">
      <c r="A312" s="2" t="s">
        <v>559</v>
      </c>
      <c r="B312" s="2" t="s">
        <v>560</v>
      </c>
      <c r="C312" s="2" t="s">
        <v>21</v>
      </c>
      <c r="D312" s="2" t="s">
        <v>22</v>
      </c>
      <c r="E312" s="2" t="s">
        <v>139</v>
      </c>
      <c r="F312" s="2" t="s">
        <v>24</v>
      </c>
      <c r="G312" s="2" t="s">
        <v>24</v>
      </c>
      <c r="H312" s="2" t="s">
        <v>561</v>
      </c>
      <c r="I312" s="2" t="s">
        <v>559</v>
      </c>
      <c r="J312" s="2" t="s">
        <v>26</v>
      </c>
      <c r="K312" s="2" t="s">
        <v>562</v>
      </c>
      <c r="L312" s="3">
        <v>46088.0</v>
      </c>
      <c r="M312" s="2">
        <v>47.39</v>
      </c>
      <c r="N312" s="2">
        <v>47.39</v>
      </c>
      <c r="O312" s="2">
        <v>24.0</v>
      </c>
      <c r="P312" s="2">
        <v>23.0</v>
      </c>
      <c r="Q312" s="2" t="s">
        <v>563</v>
      </c>
      <c r="R312" s="2" t="s">
        <v>24</v>
      </c>
      <c r="S312" s="2" t="b">
        <f>COUNTIF('Marcas Target'!A:A,dados!$E312)&gt;0</f>
        <v>0</v>
      </c>
    </row>
    <row r="313" ht="15.75" customHeight="1">
      <c r="A313" s="2" t="s">
        <v>559</v>
      </c>
      <c r="B313" s="2" t="s">
        <v>560</v>
      </c>
      <c r="C313" s="2" t="s">
        <v>21</v>
      </c>
      <c r="D313" s="2" t="s">
        <v>22</v>
      </c>
      <c r="E313" s="2" t="s">
        <v>139</v>
      </c>
      <c r="F313" s="2" t="s">
        <v>24</v>
      </c>
      <c r="G313" s="2" t="s">
        <v>24</v>
      </c>
      <c r="H313" s="2" t="s">
        <v>561</v>
      </c>
      <c r="I313" s="2" t="s">
        <v>559</v>
      </c>
      <c r="J313" s="2" t="s">
        <v>26</v>
      </c>
      <c r="K313" s="2" t="s">
        <v>562</v>
      </c>
      <c r="L313" s="3">
        <v>46087.0</v>
      </c>
      <c r="M313" s="2">
        <v>41.52</v>
      </c>
      <c r="N313" s="2">
        <v>41.52</v>
      </c>
      <c r="O313" s="2">
        <v>3.0</v>
      </c>
      <c r="P313" s="2">
        <v>2.0</v>
      </c>
      <c r="Q313" s="2" t="s">
        <v>563</v>
      </c>
      <c r="R313" s="2" t="s">
        <v>24</v>
      </c>
      <c r="S313" s="2" t="b">
        <f>COUNTIF('Marcas Target'!A:A,dados!$E313)&gt;0</f>
        <v>0</v>
      </c>
    </row>
    <row r="314" ht="15.75" customHeight="1">
      <c r="A314" s="2" t="s">
        <v>564</v>
      </c>
      <c r="B314" s="2" t="s">
        <v>565</v>
      </c>
      <c r="C314" s="2" t="s">
        <v>21</v>
      </c>
      <c r="D314" s="2" t="s">
        <v>22</v>
      </c>
      <c r="E314" s="2" t="s">
        <v>145</v>
      </c>
      <c r="F314" s="2" t="s">
        <v>24</v>
      </c>
      <c r="G314" s="2" t="s">
        <v>24</v>
      </c>
      <c r="H314" s="2" t="s">
        <v>566</v>
      </c>
      <c r="I314" s="2" t="s">
        <v>564</v>
      </c>
      <c r="J314" s="2" t="s">
        <v>26</v>
      </c>
      <c r="K314" s="2" t="s">
        <v>567</v>
      </c>
      <c r="L314" s="3">
        <v>46089.0</v>
      </c>
      <c r="M314" s="2">
        <v>44.99</v>
      </c>
      <c r="N314" s="2">
        <v>44.99</v>
      </c>
      <c r="O314" s="2">
        <v>22.0</v>
      </c>
      <c r="P314" s="2">
        <v>21.0</v>
      </c>
      <c r="Q314" s="2" t="s">
        <v>568</v>
      </c>
      <c r="R314" s="2" t="s">
        <v>24</v>
      </c>
      <c r="S314" s="2" t="b">
        <f>COUNTIF('Marcas Target'!A:A,dados!$E314)&gt;0</f>
        <v>1</v>
      </c>
    </row>
    <row r="315" ht="15.75" customHeight="1">
      <c r="A315" s="2" t="s">
        <v>564</v>
      </c>
      <c r="B315" s="2" t="s">
        <v>565</v>
      </c>
      <c r="C315" s="2" t="s">
        <v>21</v>
      </c>
      <c r="D315" s="2" t="s">
        <v>22</v>
      </c>
      <c r="E315" s="2" t="s">
        <v>145</v>
      </c>
      <c r="F315" s="2" t="s">
        <v>24</v>
      </c>
      <c r="G315" s="2" t="s">
        <v>24</v>
      </c>
      <c r="H315" s="2" t="s">
        <v>566</v>
      </c>
      <c r="I315" s="2" t="s">
        <v>564</v>
      </c>
      <c r="J315" s="2" t="s">
        <v>26</v>
      </c>
      <c r="K315" s="2" t="s">
        <v>567</v>
      </c>
      <c r="L315" s="3">
        <v>46088.0</v>
      </c>
      <c r="M315" s="2">
        <v>44.99</v>
      </c>
      <c r="N315" s="2">
        <v>44.99</v>
      </c>
      <c r="O315" s="2">
        <v>24.0</v>
      </c>
      <c r="P315" s="2">
        <v>23.0</v>
      </c>
      <c r="Q315" s="2" t="s">
        <v>568</v>
      </c>
      <c r="R315" s="2" t="s">
        <v>24</v>
      </c>
      <c r="S315" s="2" t="b">
        <f>COUNTIF('Marcas Target'!A:A,dados!$E315)&gt;0</f>
        <v>1</v>
      </c>
    </row>
    <row r="316" ht="15.75" customHeight="1">
      <c r="A316" s="2" t="s">
        <v>564</v>
      </c>
      <c r="B316" s="2" t="s">
        <v>565</v>
      </c>
      <c r="C316" s="2" t="s">
        <v>21</v>
      </c>
      <c r="D316" s="2" t="s">
        <v>22</v>
      </c>
      <c r="E316" s="2" t="s">
        <v>145</v>
      </c>
      <c r="F316" s="2" t="s">
        <v>24</v>
      </c>
      <c r="G316" s="2" t="s">
        <v>24</v>
      </c>
      <c r="H316" s="2" t="s">
        <v>566</v>
      </c>
      <c r="I316" s="2" t="s">
        <v>564</v>
      </c>
      <c r="J316" s="2" t="s">
        <v>26</v>
      </c>
      <c r="K316" s="2" t="s">
        <v>567</v>
      </c>
      <c r="L316" s="3">
        <v>46087.0</v>
      </c>
      <c r="M316" s="2">
        <v>44.99</v>
      </c>
      <c r="N316" s="2">
        <v>44.99</v>
      </c>
      <c r="O316" s="2">
        <v>3.0</v>
      </c>
      <c r="P316" s="2">
        <v>3.0</v>
      </c>
      <c r="Q316" s="2" t="s">
        <v>568</v>
      </c>
      <c r="R316" s="2" t="s">
        <v>24</v>
      </c>
      <c r="S316" s="2" t="b">
        <f>COUNTIF('Marcas Target'!A:A,dados!$E316)&gt;0</f>
        <v>1</v>
      </c>
    </row>
    <row r="317" ht="15.75" customHeight="1">
      <c r="A317" s="2" t="s">
        <v>569</v>
      </c>
      <c r="B317" s="2" t="s">
        <v>570</v>
      </c>
      <c r="C317" s="2" t="s">
        <v>21</v>
      </c>
      <c r="D317" s="2" t="s">
        <v>22</v>
      </c>
      <c r="E317" s="2" t="s">
        <v>227</v>
      </c>
      <c r="F317" s="2" t="s">
        <v>24</v>
      </c>
      <c r="G317" s="2" t="s">
        <v>24</v>
      </c>
      <c r="H317" s="2" t="s">
        <v>571</v>
      </c>
      <c r="I317" s="2" t="s">
        <v>569</v>
      </c>
      <c r="J317" s="2" t="s">
        <v>26</v>
      </c>
      <c r="K317" s="2" t="s">
        <v>572</v>
      </c>
      <c r="L317" s="3">
        <v>46089.0</v>
      </c>
      <c r="M317" s="2">
        <v>27.99</v>
      </c>
      <c r="N317" s="2">
        <v>27.99</v>
      </c>
      <c r="O317" s="2">
        <v>22.0</v>
      </c>
      <c r="P317" s="2">
        <v>19.0</v>
      </c>
      <c r="Q317" s="2" t="s">
        <v>573</v>
      </c>
      <c r="R317" s="2" t="s">
        <v>24</v>
      </c>
      <c r="S317" s="2" t="b">
        <f>COUNTIF('Marcas Target'!A:A,dados!$E317)&gt;0</f>
        <v>0</v>
      </c>
    </row>
    <row r="318" ht="15.75" customHeight="1">
      <c r="A318" s="2" t="s">
        <v>569</v>
      </c>
      <c r="B318" s="2" t="s">
        <v>570</v>
      </c>
      <c r="C318" s="2" t="s">
        <v>21</v>
      </c>
      <c r="D318" s="2" t="s">
        <v>22</v>
      </c>
      <c r="E318" s="2" t="s">
        <v>227</v>
      </c>
      <c r="F318" s="2" t="s">
        <v>24</v>
      </c>
      <c r="G318" s="2" t="s">
        <v>24</v>
      </c>
      <c r="H318" s="2" t="s">
        <v>571</v>
      </c>
      <c r="I318" s="2" t="s">
        <v>569</v>
      </c>
      <c r="J318" s="2" t="s">
        <v>26</v>
      </c>
      <c r="K318" s="2" t="s">
        <v>572</v>
      </c>
      <c r="L318" s="3">
        <v>46088.0</v>
      </c>
      <c r="M318" s="2">
        <v>27.99</v>
      </c>
      <c r="N318" s="2">
        <v>27.99</v>
      </c>
      <c r="O318" s="2">
        <v>24.0</v>
      </c>
      <c r="P318" s="2">
        <v>20.0</v>
      </c>
      <c r="Q318" s="2" t="s">
        <v>573</v>
      </c>
      <c r="R318" s="2" t="s">
        <v>24</v>
      </c>
      <c r="S318" s="2" t="b">
        <f>COUNTIF('Marcas Target'!A:A,dados!$E318)&gt;0</f>
        <v>0</v>
      </c>
    </row>
    <row r="319" ht="15.75" customHeight="1">
      <c r="A319" s="2" t="s">
        <v>569</v>
      </c>
      <c r="B319" s="2" t="s">
        <v>570</v>
      </c>
      <c r="C319" s="2" t="s">
        <v>21</v>
      </c>
      <c r="D319" s="2" t="s">
        <v>22</v>
      </c>
      <c r="E319" s="2" t="s">
        <v>227</v>
      </c>
      <c r="F319" s="2" t="s">
        <v>24</v>
      </c>
      <c r="G319" s="2" t="s">
        <v>24</v>
      </c>
      <c r="H319" s="2" t="s">
        <v>571</v>
      </c>
      <c r="I319" s="2" t="s">
        <v>569</v>
      </c>
      <c r="J319" s="2" t="s">
        <v>26</v>
      </c>
      <c r="K319" s="2" t="s">
        <v>572</v>
      </c>
      <c r="L319" s="3">
        <v>46087.0</v>
      </c>
      <c r="M319" s="2">
        <v>27.99</v>
      </c>
      <c r="N319" s="2">
        <v>27.99</v>
      </c>
      <c r="O319" s="2">
        <v>3.0</v>
      </c>
      <c r="P319" s="2">
        <v>2.0</v>
      </c>
      <c r="Q319" s="2" t="s">
        <v>573</v>
      </c>
      <c r="R319" s="2" t="s">
        <v>24</v>
      </c>
      <c r="S319" s="2" t="b">
        <f>COUNTIF('Marcas Target'!A:A,dados!$E319)&gt;0</f>
        <v>0</v>
      </c>
    </row>
    <row r="320" ht="15.75" customHeight="1">
      <c r="A320" s="2" t="s">
        <v>574</v>
      </c>
      <c r="B320" s="2" t="s">
        <v>575</v>
      </c>
      <c r="C320" s="2" t="s">
        <v>21</v>
      </c>
      <c r="D320" s="2" t="s">
        <v>22</v>
      </c>
      <c r="E320" s="2" t="s">
        <v>145</v>
      </c>
      <c r="F320" s="2" t="s">
        <v>24</v>
      </c>
      <c r="G320" s="2" t="s">
        <v>24</v>
      </c>
      <c r="H320" s="2" t="s">
        <v>576</v>
      </c>
      <c r="I320" s="2" t="s">
        <v>574</v>
      </c>
      <c r="J320" s="2" t="s">
        <v>26</v>
      </c>
      <c r="K320" s="2" t="s">
        <v>577</v>
      </c>
      <c r="L320" s="3">
        <v>46089.0</v>
      </c>
      <c r="M320" s="2">
        <v>33.99</v>
      </c>
      <c r="N320" s="2">
        <v>33.99</v>
      </c>
      <c r="O320" s="2">
        <v>23.0</v>
      </c>
      <c r="P320" s="2">
        <v>23.0</v>
      </c>
      <c r="Q320" s="2" t="s">
        <v>578</v>
      </c>
      <c r="R320" s="2" t="s">
        <v>24</v>
      </c>
      <c r="S320" s="2" t="b">
        <f>COUNTIF('Marcas Target'!A:A,dados!$E320)&gt;0</f>
        <v>1</v>
      </c>
    </row>
    <row r="321" ht="15.75" customHeight="1">
      <c r="A321" s="2" t="s">
        <v>574</v>
      </c>
      <c r="B321" s="2" t="s">
        <v>575</v>
      </c>
      <c r="C321" s="2" t="s">
        <v>21</v>
      </c>
      <c r="D321" s="2" t="s">
        <v>22</v>
      </c>
      <c r="E321" s="2" t="s">
        <v>145</v>
      </c>
      <c r="F321" s="2" t="s">
        <v>24</v>
      </c>
      <c r="G321" s="2" t="s">
        <v>24</v>
      </c>
      <c r="H321" s="2" t="s">
        <v>576</v>
      </c>
      <c r="I321" s="2" t="s">
        <v>574</v>
      </c>
      <c r="J321" s="2" t="s">
        <v>26</v>
      </c>
      <c r="K321" s="2" t="s">
        <v>577</v>
      </c>
      <c r="L321" s="3">
        <v>46088.0</v>
      </c>
      <c r="M321" s="2">
        <v>33.99</v>
      </c>
      <c r="N321" s="2">
        <v>33.99</v>
      </c>
      <c r="O321" s="2">
        <v>24.0</v>
      </c>
      <c r="P321" s="2">
        <v>12.0</v>
      </c>
      <c r="Q321" s="2" t="s">
        <v>578</v>
      </c>
      <c r="R321" s="2" t="s">
        <v>24</v>
      </c>
      <c r="S321" s="2" t="b">
        <f>COUNTIF('Marcas Target'!A:A,dados!$E321)&gt;0</f>
        <v>1</v>
      </c>
    </row>
    <row r="322" ht="15.75" customHeight="1">
      <c r="A322" s="2" t="s">
        <v>574</v>
      </c>
      <c r="B322" s="2" t="s">
        <v>575</v>
      </c>
      <c r="C322" s="2" t="s">
        <v>21</v>
      </c>
      <c r="D322" s="2" t="s">
        <v>22</v>
      </c>
      <c r="E322" s="2" t="s">
        <v>145</v>
      </c>
      <c r="F322" s="2" t="s">
        <v>24</v>
      </c>
      <c r="G322" s="2" t="s">
        <v>24</v>
      </c>
      <c r="H322" s="2" t="s">
        <v>576</v>
      </c>
      <c r="I322" s="2" t="s">
        <v>574</v>
      </c>
      <c r="J322" s="2" t="s">
        <v>26</v>
      </c>
      <c r="K322" s="2" t="s">
        <v>577</v>
      </c>
      <c r="L322" s="3">
        <v>46087.0</v>
      </c>
      <c r="M322" s="2" t="s">
        <v>24</v>
      </c>
      <c r="N322" s="2" t="s">
        <v>24</v>
      </c>
      <c r="O322" s="2">
        <v>3.0</v>
      </c>
      <c r="P322" s="2">
        <v>0.0</v>
      </c>
      <c r="Q322" s="2" t="s">
        <v>578</v>
      </c>
      <c r="R322" s="2" t="s">
        <v>24</v>
      </c>
      <c r="S322" s="2" t="b">
        <f>COUNTIF('Marcas Target'!A:A,dados!$E322)&gt;0</f>
        <v>1</v>
      </c>
    </row>
    <row r="323" ht="15.75" customHeight="1">
      <c r="A323" s="2" t="s">
        <v>579</v>
      </c>
      <c r="B323" s="2" t="s">
        <v>580</v>
      </c>
      <c r="C323" s="2" t="s">
        <v>21</v>
      </c>
      <c r="D323" s="2" t="s">
        <v>22</v>
      </c>
      <c r="E323" s="2" t="s">
        <v>227</v>
      </c>
      <c r="F323" s="2" t="s">
        <v>24</v>
      </c>
      <c r="G323" s="2" t="s">
        <v>24</v>
      </c>
      <c r="H323" s="2" t="s">
        <v>581</v>
      </c>
      <c r="I323" s="2" t="s">
        <v>579</v>
      </c>
      <c r="J323" s="2" t="s">
        <v>26</v>
      </c>
      <c r="K323" s="2" t="s">
        <v>582</v>
      </c>
      <c r="L323" s="3">
        <v>46089.0</v>
      </c>
      <c r="M323" s="2">
        <v>29.99</v>
      </c>
      <c r="N323" s="2">
        <v>29.99</v>
      </c>
      <c r="O323" s="2">
        <v>22.0</v>
      </c>
      <c r="P323" s="2">
        <v>22.0</v>
      </c>
      <c r="Q323" s="2" t="s">
        <v>583</v>
      </c>
      <c r="R323" s="2" t="s">
        <v>24</v>
      </c>
      <c r="S323" s="2" t="b">
        <f>COUNTIF('Marcas Target'!A:A,dados!$E323)&gt;0</f>
        <v>0</v>
      </c>
    </row>
    <row r="324" ht="15.75" customHeight="1">
      <c r="A324" s="2" t="s">
        <v>579</v>
      </c>
      <c r="B324" s="2" t="s">
        <v>580</v>
      </c>
      <c r="C324" s="2" t="s">
        <v>21</v>
      </c>
      <c r="D324" s="2" t="s">
        <v>22</v>
      </c>
      <c r="E324" s="2" t="s">
        <v>227</v>
      </c>
      <c r="F324" s="2" t="s">
        <v>24</v>
      </c>
      <c r="G324" s="2" t="s">
        <v>24</v>
      </c>
      <c r="H324" s="2" t="s">
        <v>581</v>
      </c>
      <c r="I324" s="2" t="s">
        <v>579</v>
      </c>
      <c r="J324" s="2" t="s">
        <v>26</v>
      </c>
      <c r="K324" s="2" t="s">
        <v>582</v>
      </c>
      <c r="L324" s="3">
        <v>46088.0</v>
      </c>
      <c r="M324" s="2">
        <v>29.99</v>
      </c>
      <c r="N324" s="2">
        <v>29.99</v>
      </c>
      <c r="O324" s="2">
        <v>24.0</v>
      </c>
      <c r="P324" s="2">
        <v>23.0</v>
      </c>
      <c r="Q324" s="2" t="s">
        <v>583</v>
      </c>
      <c r="R324" s="2" t="s">
        <v>24</v>
      </c>
      <c r="S324" s="2" t="b">
        <f>COUNTIF('Marcas Target'!A:A,dados!$E324)&gt;0</f>
        <v>0</v>
      </c>
    </row>
    <row r="325" ht="15.75" customHeight="1">
      <c r="A325" s="2" t="s">
        <v>579</v>
      </c>
      <c r="B325" s="2" t="s">
        <v>580</v>
      </c>
      <c r="C325" s="2" t="s">
        <v>21</v>
      </c>
      <c r="D325" s="2" t="s">
        <v>22</v>
      </c>
      <c r="E325" s="2" t="s">
        <v>227</v>
      </c>
      <c r="F325" s="2" t="s">
        <v>24</v>
      </c>
      <c r="G325" s="2" t="s">
        <v>24</v>
      </c>
      <c r="H325" s="2" t="s">
        <v>581</v>
      </c>
      <c r="I325" s="2" t="s">
        <v>579</v>
      </c>
      <c r="J325" s="2" t="s">
        <v>26</v>
      </c>
      <c r="K325" s="2" t="s">
        <v>582</v>
      </c>
      <c r="L325" s="3">
        <v>46087.0</v>
      </c>
      <c r="M325" s="2">
        <v>29.99</v>
      </c>
      <c r="N325" s="2">
        <v>29.99</v>
      </c>
      <c r="O325" s="2">
        <v>3.0</v>
      </c>
      <c r="P325" s="2">
        <v>2.0</v>
      </c>
      <c r="Q325" s="2" t="s">
        <v>583</v>
      </c>
      <c r="R325" s="2" t="s">
        <v>24</v>
      </c>
      <c r="S325" s="2" t="b">
        <f>COUNTIF('Marcas Target'!A:A,dados!$E325)&gt;0</f>
        <v>0</v>
      </c>
    </row>
    <row r="326" ht="15.75" customHeight="1">
      <c r="A326" s="2" t="s">
        <v>584</v>
      </c>
      <c r="B326" s="2" t="s">
        <v>585</v>
      </c>
      <c r="C326" s="2" t="s">
        <v>21</v>
      </c>
      <c r="D326" s="2" t="s">
        <v>22</v>
      </c>
      <c r="E326" s="2" t="s">
        <v>227</v>
      </c>
      <c r="F326" s="2" t="s">
        <v>24</v>
      </c>
      <c r="G326" s="2" t="s">
        <v>24</v>
      </c>
      <c r="H326" s="2" t="s">
        <v>586</v>
      </c>
      <c r="I326" s="2" t="s">
        <v>584</v>
      </c>
      <c r="J326" s="2" t="s">
        <v>26</v>
      </c>
      <c r="K326" s="2" t="s">
        <v>587</v>
      </c>
      <c r="L326" s="3">
        <v>46089.0</v>
      </c>
      <c r="M326" s="2">
        <v>23.99</v>
      </c>
      <c r="N326" s="2">
        <v>23.99</v>
      </c>
      <c r="O326" s="2">
        <v>22.0</v>
      </c>
      <c r="P326" s="2">
        <v>22.0</v>
      </c>
      <c r="Q326" s="2" t="s">
        <v>588</v>
      </c>
      <c r="R326" s="2" t="s">
        <v>24</v>
      </c>
      <c r="S326" s="2" t="b">
        <f>COUNTIF('Marcas Target'!A:A,dados!$E326)&gt;0</f>
        <v>0</v>
      </c>
    </row>
    <row r="327" ht="15.75" customHeight="1">
      <c r="A327" s="2" t="s">
        <v>584</v>
      </c>
      <c r="B327" s="2" t="s">
        <v>585</v>
      </c>
      <c r="C327" s="2" t="s">
        <v>21</v>
      </c>
      <c r="D327" s="2" t="s">
        <v>22</v>
      </c>
      <c r="E327" s="2" t="s">
        <v>227</v>
      </c>
      <c r="F327" s="2" t="s">
        <v>24</v>
      </c>
      <c r="G327" s="2" t="s">
        <v>24</v>
      </c>
      <c r="H327" s="2" t="s">
        <v>586</v>
      </c>
      <c r="I327" s="2" t="s">
        <v>584</v>
      </c>
      <c r="J327" s="2" t="s">
        <v>26</v>
      </c>
      <c r="K327" s="2" t="s">
        <v>587</v>
      </c>
      <c r="L327" s="3">
        <v>46088.0</v>
      </c>
      <c r="M327" s="2">
        <v>23.99</v>
      </c>
      <c r="N327" s="2">
        <v>23.99</v>
      </c>
      <c r="O327" s="2">
        <v>24.0</v>
      </c>
      <c r="P327" s="2">
        <v>24.0</v>
      </c>
      <c r="Q327" s="2" t="s">
        <v>588</v>
      </c>
      <c r="R327" s="2" t="s">
        <v>24</v>
      </c>
      <c r="S327" s="2" t="b">
        <f>COUNTIF('Marcas Target'!A:A,dados!$E327)&gt;0</f>
        <v>0</v>
      </c>
    </row>
    <row r="328" ht="15.75" customHeight="1">
      <c r="A328" s="2" t="s">
        <v>584</v>
      </c>
      <c r="B328" s="2" t="s">
        <v>585</v>
      </c>
      <c r="C328" s="2" t="s">
        <v>21</v>
      </c>
      <c r="D328" s="2" t="s">
        <v>22</v>
      </c>
      <c r="E328" s="2" t="s">
        <v>227</v>
      </c>
      <c r="F328" s="2" t="s">
        <v>24</v>
      </c>
      <c r="G328" s="2" t="s">
        <v>24</v>
      </c>
      <c r="H328" s="2" t="s">
        <v>586</v>
      </c>
      <c r="I328" s="2" t="s">
        <v>584</v>
      </c>
      <c r="J328" s="2" t="s">
        <v>26</v>
      </c>
      <c r="K328" s="2" t="s">
        <v>587</v>
      </c>
      <c r="L328" s="3">
        <v>46087.0</v>
      </c>
      <c r="M328" s="2">
        <v>23.99</v>
      </c>
      <c r="N328" s="2">
        <v>23.99</v>
      </c>
      <c r="O328" s="2">
        <v>3.0</v>
      </c>
      <c r="P328" s="2">
        <v>3.0</v>
      </c>
      <c r="Q328" s="2" t="s">
        <v>588</v>
      </c>
      <c r="R328" s="2" t="s">
        <v>24</v>
      </c>
      <c r="S328" s="2" t="b">
        <f>COUNTIF('Marcas Target'!A:A,dados!$E328)&gt;0</f>
        <v>0</v>
      </c>
    </row>
    <row r="329" ht="15.75" customHeight="1">
      <c r="A329" s="2" t="s">
        <v>589</v>
      </c>
      <c r="B329" s="2" t="s">
        <v>590</v>
      </c>
      <c r="C329" s="2" t="s">
        <v>21</v>
      </c>
      <c r="D329" s="2" t="s">
        <v>22</v>
      </c>
      <c r="E329" s="2" t="s">
        <v>128</v>
      </c>
      <c r="F329" s="2" t="s">
        <v>24</v>
      </c>
      <c r="G329" s="2" t="s">
        <v>24</v>
      </c>
      <c r="H329" s="2" t="s">
        <v>591</v>
      </c>
      <c r="I329" s="2" t="s">
        <v>589</v>
      </c>
      <c r="J329" s="2" t="s">
        <v>26</v>
      </c>
      <c r="K329" s="2" t="s">
        <v>592</v>
      </c>
      <c r="L329" s="3">
        <v>46089.0</v>
      </c>
      <c r="M329" s="2">
        <v>21.44</v>
      </c>
      <c r="N329" s="2">
        <v>21.44</v>
      </c>
      <c r="O329" s="2">
        <v>22.0</v>
      </c>
      <c r="P329" s="2">
        <v>14.0</v>
      </c>
      <c r="Q329" s="2" t="s">
        <v>593</v>
      </c>
      <c r="R329" s="2" t="s">
        <v>24</v>
      </c>
      <c r="S329" s="2" t="b">
        <f>COUNTIF('Marcas Target'!A:A,dados!$E329)&gt;0</f>
        <v>1</v>
      </c>
    </row>
    <row r="330" ht="15.75" customHeight="1">
      <c r="A330" s="2" t="s">
        <v>589</v>
      </c>
      <c r="B330" s="2" t="s">
        <v>590</v>
      </c>
      <c r="C330" s="2" t="s">
        <v>21</v>
      </c>
      <c r="D330" s="2" t="s">
        <v>22</v>
      </c>
      <c r="E330" s="2" t="s">
        <v>128</v>
      </c>
      <c r="F330" s="2" t="s">
        <v>24</v>
      </c>
      <c r="G330" s="2" t="s">
        <v>24</v>
      </c>
      <c r="H330" s="2" t="s">
        <v>591</v>
      </c>
      <c r="I330" s="2" t="s">
        <v>589</v>
      </c>
      <c r="J330" s="2" t="s">
        <v>26</v>
      </c>
      <c r="K330" s="2" t="s">
        <v>592</v>
      </c>
      <c r="L330" s="3">
        <v>46088.0</v>
      </c>
      <c r="M330" s="2">
        <v>29.14</v>
      </c>
      <c r="N330" s="2">
        <v>29.14</v>
      </c>
      <c r="O330" s="2">
        <v>24.0</v>
      </c>
      <c r="P330" s="2">
        <v>21.0</v>
      </c>
      <c r="Q330" s="2" t="s">
        <v>593</v>
      </c>
      <c r="R330" s="2" t="s">
        <v>24</v>
      </c>
      <c r="S330" s="2" t="b">
        <f>COUNTIF('Marcas Target'!A:A,dados!$E330)&gt;0</f>
        <v>1</v>
      </c>
    </row>
    <row r="331" ht="15.75" customHeight="1">
      <c r="A331" s="2" t="s">
        <v>589</v>
      </c>
      <c r="B331" s="2" t="s">
        <v>590</v>
      </c>
      <c r="C331" s="2" t="s">
        <v>21</v>
      </c>
      <c r="D331" s="2" t="s">
        <v>22</v>
      </c>
      <c r="E331" s="2" t="s">
        <v>128</v>
      </c>
      <c r="F331" s="2" t="s">
        <v>24</v>
      </c>
      <c r="G331" s="2" t="s">
        <v>24</v>
      </c>
      <c r="H331" s="2" t="s">
        <v>591</v>
      </c>
      <c r="I331" s="2" t="s">
        <v>589</v>
      </c>
      <c r="J331" s="2" t="s">
        <v>26</v>
      </c>
      <c r="K331" s="2" t="s">
        <v>592</v>
      </c>
      <c r="L331" s="3">
        <v>46087.0</v>
      </c>
      <c r="M331" s="2">
        <v>21.44</v>
      </c>
      <c r="N331" s="2">
        <v>21.44</v>
      </c>
      <c r="O331" s="2">
        <v>3.0</v>
      </c>
      <c r="P331" s="2">
        <v>2.0</v>
      </c>
      <c r="Q331" s="2" t="s">
        <v>593</v>
      </c>
      <c r="R331" s="2" t="s">
        <v>24</v>
      </c>
      <c r="S331" s="2" t="b">
        <f>COUNTIF('Marcas Target'!A:A,dados!$E331)&gt;0</f>
        <v>1</v>
      </c>
    </row>
    <row r="332" ht="15.75" customHeight="1">
      <c r="A332" s="2" t="s">
        <v>594</v>
      </c>
      <c r="B332" s="2" t="s">
        <v>595</v>
      </c>
      <c r="C332" s="2" t="s">
        <v>21</v>
      </c>
      <c r="D332" s="2" t="s">
        <v>22</v>
      </c>
      <c r="E332" s="2" t="s">
        <v>336</v>
      </c>
      <c r="F332" s="2" t="s">
        <v>24</v>
      </c>
      <c r="G332" s="2" t="s">
        <v>24</v>
      </c>
      <c r="H332" s="2" t="s">
        <v>596</v>
      </c>
      <c r="I332" s="2" t="s">
        <v>594</v>
      </c>
      <c r="J332" s="2" t="s">
        <v>26</v>
      </c>
      <c r="K332" s="2" t="s">
        <v>597</v>
      </c>
      <c r="L332" s="3">
        <v>46089.0</v>
      </c>
      <c r="M332" s="2">
        <v>28.99</v>
      </c>
      <c r="N332" s="2">
        <v>28.99</v>
      </c>
      <c r="O332" s="2">
        <v>22.0</v>
      </c>
      <c r="P332" s="2">
        <v>22.0</v>
      </c>
      <c r="Q332" s="2" t="s">
        <v>598</v>
      </c>
      <c r="R332" s="2" t="s">
        <v>24</v>
      </c>
      <c r="S332" s="2" t="b">
        <f>COUNTIF('Marcas Target'!A:A,dados!$E332)&gt;0</f>
        <v>0</v>
      </c>
    </row>
    <row r="333" ht="15.75" customHeight="1">
      <c r="A333" s="2" t="s">
        <v>594</v>
      </c>
      <c r="B333" s="2" t="s">
        <v>595</v>
      </c>
      <c r="C333" s="2" t="s">
        <v>21</v>
      </c>
      <c r="D333" s="2" t="s">
        <v>22</v>
      </c>
      <c r="E333" s="2" t="s">
        <v>336</v>
      </c>
      <c r="F333" s="2" t="s">
        <v>24</v>
      </c>
      <c r="G333" s="2" t="s">
        <v>24</v>
      </c>
      <c r="H333" s="2" t="s">
        <v>596</v>
      </c>
      <c r="I333" s="2" t="s">
        <v>594</v>
      </c>
      <c r="J333" s="2" t="s">
        <v>26</v>
      </c>
      <c r="K333" s="2" t="s">
        <v>597</v>
      </c>
      <c r="L333" s="3">
        <v>46088.0</v>
      </c>
      <c r="M333" s="2">
        <v>28.99</v>
      </c>
      <c r="N333" s="2">
        <v>28.99</v>
      </c>
      <c r="O333" s="2">
        <v>24.0</v>
      </c>
      <c r="P333" s="2">
        <v>23.0</v>
      </c>
      <c r="Q333" s="2" t="s">
        <v>598</v>
      </c>
      <c r="R333" s="2" t="s">
        <v>24</v>
      </c>
      <c r="S333" s="2" t="b">
        <f>COUNTIF('Marcas Target'!A:A,dados!$E333)&gt;0</f>
        <v>0</v>
      </c>
    </row>
    <row r="334" ht="15.75" customHeight="1">
      <c r="A334" s="2" t="s">
        <v>594</v>
      </c>
      <c r="B334" s="2" t="s">
        <v>595</v>
      </c>
      <c r="C334" s="2" t="s">
        <v>21</v>
      </c>
      <c r="D334" s="2" t="s">
        <v>22</v>
      </c>
      <c r="E334" s="2" t="s">
        <v>336</v>
      </c>
      <c r="F334" s="2" t="s">
        <v>24</v>
      </c>
      <c r="G334" s="2" t="s">
        <v>24</v>
      </c>
      <c r="H334" s="2" t="s">
        <v>596</v>
      </c>
      <c r="I334" s="2" t="s">
        <v>594</v>
      </c>
      <c r="J334" s="2" t="s">
        <v>26</v>
      </c>
      <c r="K334" s="2" t="s">
        <v>597</v>
      </c>
      <c r="L334" s="3">
        <v>46087.0</v>
      </c>
      <c r="M334" s="2">
        <v>28.99</v>
      </c>
      <c r="N334" s="2">
        <v>28.99</v>
      </c>
      <c r="O334" s="2">
        <v>3.0</v>
      </c>
      <c r="P334" s="2">
        <v>3.0</v>
      </c>
      <c r="Q334" s="2" t="s">
        <v>598</v>
      </c>
      <c r="R334" s="2" t="s">
        <v>24</v>
      </c>
      <c r="S334" s="2" t="b">
        <f>COUNTIF('Marcas Target'!A:A,dados!$E334)&gt;0</f>
        <v>0</v>
      </c>
    </row>
    <row r="335" ht="15.75" customHeight="1">
      <c r="A335" s="2" t="s">
        <v>599</v>
      </c>
      <c r="B335" s="2" t="s">
        <v>600</v>
      </c>
      <c r="C335" s="2" t="s">
        <v>21</v>
      </c>
      <c r="D335" s="2" t="s">
        <v>22</v>
      </c>
      <c r="E335" s="2" t="s">
        <v>294</v>
      </c>
      <c r="F335" s="2" t="s">
        <v>24</v>
      </c>
      <c r="G335" s="2" t="s">
        <v>24</v>
      </c>
      <c r="H335" s="2" t="s">
        <v>601</v>
      </c>
      <c r="I335" s="2" t="s">
        <v>599</v>
      </c>
      <c r="J335" s="2" t="s">
        <v>26</v>
      </c>
      <c r="K335" s="2" t="s">
        <v>602</v>
      </c>
      <c r="L335" s="3">
        <v>46089.0</v>
      </c>
      <c r="M335" s="2">
        <v>24.99</v>
      </c>
      <c r="N335" s="2">
        <v>24.99</v>
      </c>
      <c r="O335" s="2">
        <v>22.0</v>
      </c>
      <c r="P335" s="2">
        <v>22.0</v>
      </c>
      <c r="Q335" s="2" t="s">
        <v>603</v>
      </c>
      <c r="R335" s="2" t="s">
        <v>24</v>
      </c>
      <c r="S335" s="2" t="b">
        <f>COUNTIF('Marcas Target'!A:A,dados!$E335)&gt;0</f>
        <v>1</v>
      </c>
    </row>
    <row r="336" ht="15.75" customHeight="1">
      <c r="A336" s="2" t="s">
        <v>599</v>
      </c>
      <c r="B336" s="2" t="s">
        <v>600</v>
      </c>
      <c r="C336" s="2" t="s">
        <v>21</v>
      </c>
      <c r="D336" s="2" t="s">
        <v>22</v>
      </c>
      <c r="E336" s="2" t="s">
        <v>294</v>
      </c>
      <c r="F336" s="2" t="s">
        <v>24</v>
      </c>
      <c r="G336" s="2" t="s">
        <v>24</v>
      </c>
      <c r="H336" s="2" t="s">
        <v>601</v>
      </c>
      <c r="I336" s="2" t="s">
        <v>599</v>
      </c>
      <c r="J336" s="2" t="s">
        <v>26</v>
      </c>
      <c r="K336" s="2" t="s">
        <v>602</v>
      </c>
      <c r="L336" s="3">
        <v>46088.0</v>
      </c>
      <c r="M336" s="2">
        <v>24.99</v>
      </c>
      <c r="N336" s="2">
        <v>24.99</v>
      </c>
      <c r="O336" s="2">
        <v>24.0</v>
      </c>
      <c r="P336" s="2">
        <v>24.0</v>
      </c>
      <c r="Q336" s="2" t="s">
        <v>603</v>
      </c>
      <c r="R336" s="2" t="s">
        <v>24</v>
      </c>
      <c r="S336" s="2" t="b">
        <f>COUNTIF('Marcas Target'!A:A,dados!$E336)&gt;0</f>
        <v>1</v>
      </c>
    </row>
    <row r="337" ht="15.75" customHeight="1">
      <c r="A337" s="2" t="s">
        <v>599</v>
      </c>
      <c r="B337" s="2" t="s">
        <v>600</v>
      </c>
      <c r="C337" s="2" t="s">
        <v>21</v>
      </c>
      <c r="D337" s="2" t="s">
        <v>22</v>
      </c>
      <c r="E337" s="2" t="s">
        <v>294</v>
      </c>
      <c r="F337" s="2" t="s">
        <v>24</v>
      </c>
      <c r="G337" s="2" t="s">
        <v>24</v>
      </c>
      <c r="H337" s="2" t="s">
        <v>601</v>
      </c>
      <c r="I337" s="2" t="s">
        <v>599</v>
      </c>
      <c r="J337" s="2" t="s">
        <v>26</v>
      </c>
      <c r="K337" s="2" t="s">
        <v>602</v>
      </c>
      <c r="L337" s="3">
        <v>46087.0</v>
      </c>
      <c r="M337" s="2">
        <v>24.99</v>
      </c>
      <c r="N337" s="2">
        <v>24.99</v>
      </c>
      <c r="O337" s="2">
        <v>3.0</v>
      </c>
      <c r="P337" s="2">
        <v>2.0</v>
      </c>
      <c r="Q337" s="2" t="s">
        <v>603</v>
      </c>
      <c r="R337" s="2" t="s">
        <v>24</v>
      </c>
      <c r="S337" s="2" t="b">
        <f>COUNTIF('Marcas Target'!A:A,dados!$E337)&gt;0</f>
        <v>1</v>
      </c>
    </row>
    <row r="338" ht="15.75" customHeight="1">
      <c r="A338" s="2" t="s">
        <v>604</v>
      </c>
      <c r="B338" s="2" t="s">
        <v>605</v>
      </c>
      <c r="C338" s="2" t="s">
        <v>21</v>
      </c>
      <c r="D338" s="2" t="s">
        <v>22</v>
      </c>
      <c r="E338" s="2" t="s">
        <v>128</v>
      </c>
      <c r="F338" s="2" t="s">
        <v>24</v>
      </c>
      <c r="G338" s="2" t="s">
        <v>24</v>
      </c>
      <c r="H338" s="2" t="s">
        <v>606</v>
      </c>
      <c r="I338" s="2" t="s">
        <v>604</v>
      </c>
      <c r="J338" s="2" t="s">
        <v>26</v>
      </c>
      <c r="K338" s="2" t="s">
        <v>607</v>
      </c>
      <c r="L338" s="3">
        <v>46089.0</v>
      </c>
      <c r="M338" s="2">
        <v>25.99</v>
      </c>
      <c r="N338" s="2">
        <v>25.99</v>
      </c>
      <c r="O338" s="2">
        <v>22.0</v>
      </c>
      <c r="P338" s="2">
        <v>22.0</v>
      </c>
      <c r="Q338" s="2" t="s">
        <v>608</v>
      </c>
      <c r="R338" s="2" t="s">
        <v>24</v>
      </c>
      <c r="S338" s="2" t="b">
        <f>COUNTIF('Marcas Target'!A:A,dados!$E338)&gt;0</f>
        <v>1</v>
      </c>
    </row>
    <row r="339" ht="15.75" customHeight="1">
      <c r="A339" s="2" t="s">
        <v>604</v>
      </c>
      <c r="B339" s="2" t="s">
        <v>605</v>
      </c>
      <c r="C339" s="2" t="s">
        <v>21</v>
      </c>
      <c r="D339" s="2" t="s">
        <v>22</v>
      </c>
      <c r="E339" s="2" t="s">
        <v>128</v>
      </c>
      <c r="F339" s="2" t="s">
        <v>24</v>
      </c>
      <c r="G339" s="2" t="s">
        <v>24</v>
      </c>
      <c r="H339" s="2" t="s">
        <v>606</v>
      </c>
      <c r="I339" s="2" t="s">
        <v>604</v>
      </c>
      <c r="J339" s="2" t="s">
        <v>26</v>
      </c>
      <c r="K339" s="2" t="s">
        <v>607</v>
      </c>
      <c r="L339" s="3">
        <v>46088.0</v>
      </c>
      <c r="M339" s="2">
        <v>34.74</v>
      </c>
      <c r="N339" s="2">
        <v>34.74</v>
      </c>
      <c r="O339" s="2">
        <v>24.0</v>
      </c>
      <c r="P339" s="2">
        <v>24.0</v>
      </c>
      <c r="Q339" s="2" t="s">
        <v>608</v>
      </c>
      <c r="R339" s="2" t="s">
        <v>24</v>
      </c>
      <c r="S339" s="2" t="b">
        <f>COUNTIF('Marcas Target'!A:A,dados!$E339)&gt;0</f>
        <v>1</v>
      </c>
    </row>
    <row r="340" ht="15.75" customHeight="1">
      <c r="A340" s="2" t="s">
        <v>604</v>
      </c>
      <c r="B340" s="2" t="s">
        <v>605</v>
      </c>
      <c r="C340" s="2" t="s">
        <v>21</v>
      </c>
      <c r="D340" s="2" t="s">
        <v>22</v>
      </c>
      <c r="E340" s="2" t="s">
        <v>128</v>
      </c>
      <c r="F340" s="2" t="s">
        <v>24</v>
      </c>
      <c r="G340" s="2" t="s">
        <v>24</v>
      </c>
      <c r="H340" s="2" t="s">
        <v>606</v>
      </c>
      <c r="I340" s="2" t="s">
        <v>604</v>
      </c>
      <c r="J340" s="2" t="s">
        <v>26</v>
      </c>
      <c r="K340" s="2" t="s">
        <v>607</v>
      </c>
      <c r="L340" s="3">
        <v>46087.0</v>
      </c>
      <c r="M340" s="2">
        <v>25.99</v>
      </c>
      <c r="N340" s="2">
        <v>25.99</v>
      </c>
      <c r="O340" s="2">
        <v>3.0</v>
      </c>
      <c r="P340" s="2">
        <v>2.0</v>
      </c>
      <c r="Q340" s="2" t="s">
        <v>608</v>
      </c>
      <c r="R340" s="2" t="s">
        <v>24</v>
      </c>
      <c r="S340" s="2" t="b">
        <f>COUNTIF('Marcas Target'!A:A,dados!$E340)&gt;0</f>
        <v>1</v>
      </c>
    </row>
    <row r="341" ht="15.75" customHeight="1">
      <c r="A341" s="2" t="s">
        <v>609</v>
      </c>
      <c r="B341" s="2" t="s">
        <v>610</v>
      </c>
      <c r="C341" s="2" t="s">
        <v>21</v>
      </c>
      <c r="D341" s="2" t="s">
        <v>22</v>
      </c>
      <c r="E341" s="2" t="s">
        <v>227</v>
      </c>
      <c r="F341" s="2" t="s">
        <v>24</v>
      </c>
      <c r="G341" s="2" t="s">
        <v>24</v>
      </c>
      <c r="H341" s="2" t="s">
        <v>611</v>
      </c>
      <c r="I341" s="2" t="s">
        <v>609</v>
      </c>
      <c r="J341" s="2" t="s">
        <v>26</v>
      </c>
      <c r="K341" s="2" t="s">
        <v>612</v>
      </c>
      <c r="L341" s="3">
        <v>46089.0</v>
      </c>
      <c r="M341" s="2">
        <v>19.99</v>
      </c>
      <c r="N341" s="2">
        <v>19.99</v>
      </c>
      <c r="O341" s="2">
        <v>23.0</v>
      </c>
      <c r="P341" s="2">
        <v>8.0</v>
      </c>
      <c r="Q341" s="2" t="s">
        <v>613</v>
      </c>
      <c r="R341" s="2" t="s">
        <v>24</v>
      </c>
      <c r="S341" s="2" t="b">
        <f>COUNTIF('Marcas Target'!A:A,dados!$E341)&gt;0</f>
        <v>0</v>
      </c>
    </row>
    <row r="342" ht="15.75" customHeight="1">
      <c r="A342" s="2" t="s">
        <v>609</v>
      </c>
      <c r="B342" s="2" t="s">
        <v>610</v>
      </c>
      <c r="C342" s="2" t="s">
        <v>21</v>
      </c>
      <c r="D342" s="2" t="s">
        <v>22</v>
      </c>
      <c r="E342" s="2" t="s">
        <v>227</v>
      </c>
      <c r="F342" s="2" t="s">
        <v>24</v>
      </c>
      <c r="G342" s="2" t="s">
        <v>24</v>
      </c>
      <c r="H342" s="2" t="s">
        <v>611</v>
      </c>
      <c r="I342" s="2" t="s">
        <v>609</v>
      </c>
      <c r="J342" s="2" t="s">
        <v>26</v>
      </c>
      <c r="K342" s="2" t="s">
        <v>612</v>
      </c>
      <c r="L342" s="3">
        <v>46088.0</v>
      </c>
      <c r="M342" s="2">
        <v>19.99</v>
      </c>
      <c r="N342" s="2">
        <v>19.99</v>
      </c>
      <c r="O342" s="2">
        <v>23.0</v>
      </c>
      <c r="P342" s="2">
        <v>13.0</v>
      </c>
      <c r="Q342" s="2" t="s">
        <v>613</v>
      </c>
      <c r="R342" s="2" t="s">
        <v>24</v>
      </c>
      <c r="S342" s="2" t="b">
        <f>COUNTIF('Marcas Target'!A:A,dados!$E342)&gt;0</f>
        <v>0</v>
      </c>
    </row>
    <row r="343" ht="15.75" customHeight="1">
      <c r="A343" s="2" t="s">
        <v>609</v>
      </c>
      <c r="B343" s="2" t="s">
        <v>610</v>
      </c>
      <c r="C343" s="2" t="s">
        <v>21</v>
      </c>
      <c r="D343" s="2" t="s">
        <v>22</v>
      </c>
      <c r="E343" s="2" t="s">
        <v>227</v>
      </c>
      <c r="F343" s="2" t="s">
        <v>24</v>
      </c>
      <c r="G343" s="2" t="s">
        <v>24</v>
      </c>
      <c r="H343" s="2" t="s">
        <v>611</v>
      </c>
      <c r="I343" s="2" t="s">
        <v>609</v>
      </c>
      <c r="J343" s="2" t="s">
        <v>26</v>
      </c>
      <c r="K343" s="2" t="s">
        <v>612</v>
      </c>
      <c r="L343" s="3">
        <v>46087.0</v>
      </c>
      <c r="M343" s="2">
        <v>19.99</v>
      </c>
      <c r="N343" s="2">
        <v>19.99</v>
      </c>
      <c r="O343" s="2">
        <v>3.0</v>
      </c>
      <c r="P343" s="2">
        <v>1.0</v>
      </c>
      <c r="Q343" s="2" t="s">
        <v>613</v>
      </c>
      <c r="R343" s="2" t="s">
        <v>24</v>
      </c>
      <c r="S343" s="2" t="b">
        <f>COUNTIF('Marcas Target'!A:A,dados!$E343)&gt;0</f>
        <v>0</v>
      </c>
    </row>
    <row r="344" ht="15.75" customHeight="1">
      <c r="A344" s="2" t="s">
        <v>614</v>
      </c>
      <c r="B344" s="2" t="s">
        <v>615</v>
      </c>
      <c r="C344" s="2" t="s">
        <v>21</v>
      </c>
      <c r="D344" s="2" t="s">
        <v>22</v>
      </c>
      <c r="E344" s="2" t="s">
        <v>227</v>
      </c>
      <c r="F344" s="2" t="s">
        <v>24</v>
      </c>
      <c r="G344" s="2" t="s">
        <v>24</v>
      </c>
      <c r="H344" s="2" t="s">
        <v>616</v>
      </c>
      <c r="I344" s="2" t="s">
        <v>614</v>
      </c>
      <c r="J344" s="2" t="s">
        <v>26</v>
      </c>
      <c r="K344" s="2" t="s">
        <v>617</v>
      </c>
      <c r="L344" s="3">
        <v>46089.0</v>
      </c>
      <c r="M344" s="2">
        <v>23.99</v>
      </c>
      <c r="N344" s="2">
        <v>23.99</v>
      </c>
      <c r="O344" s="2">
        <v>22.0</v>
      </c>
      <c r="P344" s="2">
        <v>22.0</v>
      </c>
      <c r="Q344" s="2" t="s">
        <v>618</v>
      </c>
      <c r="R344" s="2" t="s">
        <v>24</v>
      </c>
      <c r="S344" s="2" t="b">
        <f>COUNTIF('Marcas Target'!A:A,dados!$E344)&gt;0</f>
        <v>0</v>
      </c>
    </row>
    <row r="345" ht="15.75" customHeight="1">
      <c r="A345" s="2" t="s">
        <v>614</v>
      </c>
      <c r="B345" s="2" t="s">
        <v>615</v>
      </c>
      <c r="C345" s="2" t="s">
        <v>21</v>
      </c>
      <c r="D345" s="2" t="s">
        <v>22</v>
      </c>
      <c r="E345" s="2" t="s">
        <v>227</v>
      </c>
      <c r="F345" s="2" t="s">
        <v>24</v>
      </c>
      <c r="G345" s="2" t="s">
        <v>24</v>
      </c>
      <c r="H345" s="2" t="s">
        <v>616</v>
      </c>
      <c r="I345" s="2" t="s">
        <v>614</v>
      </c>
      <c r="J345" s="2" t="s">
        <v>26</v>
      </c>
      <c r="K345" s="2" t="s">
        <v>617</v>
      </c>
      <c r="L345" s="3">
        <v>46088.0</v>
      </c>
      <c r="M345" s="2">
        <v>23.99</v>
      </c>
      <c r="N345" s="2">
        <v>23.99</v>
      </c>
      <c r="O345" s="2">
        <v>24.0</v>
      </c>
      <c r="P345" s="2">
        <v>23.0</v>
      </c>
      <c r="Q345" s="2" t="s">
        <v>618</v>
      </c>
      <c r="R345" s="2" t="s">
        <v>24</v>
      </c>
      <c r="S345" s="2" t="b">
        <f>COUNTIF('Marcas Target'!A:A,dados!$E345)&gt;0</f>
        <v>0</v>
      </c>
    </row>
    <row r="346" ht="15.75" customHeight="1">
      <c r="A346" s="2" t="s">
        <v>614</v>
      </c>
      <c r="B346" s="2" t="s">
        <v>615</v>
      </c>
      <c r="C346" s="2" t="s">
        <v>21</v>
      </c>
      <c r="D346" s="2" t="s">
        <v>22</v>
      </c>
      <c r="E346" s="2" t="s">
        <v>227</v>
      </c>
      <c r="F346" s="2" t="s">
        <v>24</v>
      </c>
      <c r="G346" s="2" t="s">
        <v>24</v>
      </c>
      <c r="H346" s="2" t="s">
        <v>616</v>
      </c>
      <c r="I346" s="2" t="s">
        <v>614</v>
      </c>
      <c r="J346" s="2" t="s">
        <v>26</v>
      </c>
      <c r="K346" s="2" t="s">
        <v>617</v>
      </c>
      <c r="L346" s="3">
        <v>46087.0</v>
      </c>
      <c r="M346" s="2">
        <v>23.99</v>
      </c>
      <c r="N346" s="2">
        <v>23.99</v>
      </c>
      <c r="O346" s="2">
        <v>3.0</v>
      </c>
      <c r="P346" s="2">
        <v>3.0</v>
      </c>
      <c r="Q346" s="2" t="s">
        <v>618</v>
      </c>
      <c r="R346" s="2" t="s">
        <v>24</v>
      </c>
      <c r="S346" s="2" t="b">
        <f>COUNTIF('Marcas Target'!A:A,dados!$E346)&gt;0</f>
        <v>0</v>
      </c>
    </row>
    <row r="347" ht="15.75" customHeight="1">
      <c r="A347" s="2" t="s">
        <v>619</v>
      </c>
      <c r="B347" s="2" t="s">
        <v>620</v>
      </c>
      <c r="C347" s="2" t="s">
        <v>21</v>
      </c>
      <c r="D347" s="2" t="s">
        <v>22</v>
      </c>
      <c r="E347" s="2" t="s">
        <v>294</v>
      </c>
      <c r="F347" s="2" t="s">
        <v>24</v>
      </c>
      <c r="G347" s="2" t="s">
        <v>24</v>
      </c>
      <c r="H347" s="2" t="s">
        <v>621</v>
      </c>
      <c r="I347" s="2" t="s">
        <v>619</v>
      </c>
      <c r="J347" s="2" t="s">
        <v>26</v>
      </c>
      <c r="K347" s="2" t="s">
        <v>622</v>
      </c>
      <c r="L347" s="3">
        <v>46089.0</v>
      </c>
      <c r="M347" s="2">
        <v>39.99</v>
      </c>
      <c r="N347" s="2">
        <v>39.99</v>
      </c>
      <c r="O347" s="2">
        <v>22.0</v>
      </c>
      <c r="P347" s="2">
        <v>22.0</v>
      </c>
      <c r="Q347" s="2" t="s">
        <v>623</v>
      </c>
      <c r="R347" s="2" t="s">
        <v>24</v>
      </c>
      <c r="S347" s="2" t="b">
        <f>COUNTIF('Marcas Target'!A:A,dados!$E347)&gt;0</f>
        <v>1</v>
      </c>
    </row>
    <row r="348" ht="15.75" customHeight="1">
      <c r="A348" s="2" t="s">
        <v>619</v>
      </c>
      <c r="B348" s="2" t="s">
        <v>620</v>
      </c>
      <c r="C348" s="2" t="s">
        <v>21</v>
      </c>
      <c r="D348" s="2" t="s">
        <v>22</v>
      </c>
      <c r="E348" s="2" t="s">
        <v>294</v>
      </c>
      <c r="F348" s="2" t="s">
        <v>24</v>
      </c>
      <c r="G348" s="2" t="s">
        <v>24</v>
      </c>
      <c r="H348" s="2" t="s">
        <v>621</v>
      </c>
      <c r="I348" s="2" t="s">
        <v>619</v>
      </c>
      <c r="J348" s="2" t="s">
        <v>26</v>
      </c>
      <c r="K348" s="2" t="s">
        <v>622</v>
      </c>
      <c r="L348" s="3">
        <v>46088.0</v>
      </c>
      <c r="M348" s="2">
        <v>39.99</v>
      </c>
      <c r="N348" s="2">
        <v>39.99</v>
      </c>
      <c r="O348" s="2">
        <v>24.0</v>
      </c>
      <c r="P348" s="2">
        <v>24.0</v>
      </c>
      <c r="Q348" s="2" t="s">
        <v>623</v>
      </c>
      <c r="R348" s="2" t="s">
        <v>24</v>
      </c>
      <c r="S348" s="2" t="b">
        <f>COUNTIF('Marcas Target'!A:A,dados!$E348)&gt;0</f>
        <v>1</v>
      </c>
    </row>
    <row r="349" ht="15.75" customHeight="1">
      <c r="A349" s="2" t="s">
        <v>619</v>
      </c>
      <c r="B349" s="2" t="s">
        <v>620</v>
      </c>
      <c r="C349" s="2" t="s">
        <v>21</v>
      </c>
      <c r="D349" s="2" t="s">
        <v>22</v>
      </c>
      <c r="E349" s="2" t="s">
        <v>294</v>
      </c>
      <c r="F349" s="2" t="s">
        <v>24</v>
      </c>
      <c r="G349" s="2" t="s">
        <v>24</v>
      </c>
      <c r="H349" s="2" t="s">
        <v>621</v>
      </c>
      <c r="I349" s="2" t="s">
        <v>619</v>
      </c>
      <c r="J349" s="2" t="s">
        <v>26</v>
      </c>
      <c r="K349" s="2" t="s">
        <v>622</v>
      </c>
      <c r="L349" s="3">
        <v>46087.0</v>
      </c>
      <c r="M349" s="2">
        <v>39.99</v>
      </c>
      <c r="N349" s="2">
        <v>39.99</v>
      </c>
      <c r="O349" s="2">
        <v>3.0</v>
      </c>
      <c r="P349" s="2">
        <v>3.0</v>
      </c>
      <c r="Q349" s="2" t="s">
        <v>623</v>
      </c>
      <c r="R349" s="2" t="s">
        <v>24</v>
      </c>
      <c r="S349" s="2" t="b">
        <f>COUNTIF('Marcas Target'!A:A,dados!$E349)&gt;0</f>
        <v>1</v>
      </c>
    </row>
    <row r="350" ht="15.75" customHeight="1">
      <c r="A350" s="2" t="s">
        <v>624</v>
      </c>
      <c r="B350" s="2" t="s">
        <v>625</v>
      </c>
      <c r="C350" s="2" t="s">
        <v>21</v>
      </c>
      <c r="D350" s="2" t="s">
        <v>22</v>
      </c>
      <c r="E350" s="2" t="s">
        <v>128</v>
      </c>
      <c r="F350" s="2" t="s">
        <v>24</v>
      </c>
      <c r="G350" s="2" t="s">
        <v>24</v>
      </c>
      <c r="H350" s="2" t="s">
        <v>626</v>
      </c>
      <c r="I350" s="2" t="s">
        <v>624</v>
      </c>
      <c r="J350" s="2" t="s">
        <v>26</v>
      </c>
      <c r="K350" s="2" t="s">
        <v>627</v>
      </c>
      <c r="L350" s="3">
        <v>46089.0</v>
      </c>
      <c r="M350" s="2">
        <v>30.99</v>
      </c>
      <c r="N350" s="2">
        <v>30.99</v>
      </c>
      <c r="O350" s="2">
        <v>22.0</v>
      </c>
      <c r="P350" s="2">
        <v>22.0</v>
      </c>
      <c r="Q350" s="2" t="s">
        <v>628</v>
      </c>
      <c r="R350" s="2" t="s">
        <v>24</v>
      </c>
      <c r="S350" s="2" t="b">
        <f>COUNTIF('Marcas Target'!A:A,dados!$E350)&gt;0</f>
        <v>1</v>
      </c>
    </row>
    <row r="351" ht="15.75" customHeight="1">
      <c r="A351" s="2" t="s">
        <v>624</v>
      </c>
      <c r="B351" s="2" t="s">
        <v>625</v>
      </c>
      <c r="C351" s="2" t="s">
        <v>21</v>
      </c>
      <c r="D351" s="2" t="s">
        <v>22</v>
      </c>
      <c r="E351" s="2" t="s">
        <v>128</v>
      </c>
      <c r="F351" s="2" t="s">
        <v>24</v>
      </c>
      <c r="G351" s="2" t="s">
        <v>24</v>
      </c>
      <c r="H351" s="2" t="s">
        <v>626</v>
      </c>
      <c r="I351" s="2" t="s">
        <v>624</v>
      </c>
      <c r="J351" s="2" t="s">
        <v>26</v>
      </c>
      <c r="K351" s="2" t="s">
        <v>627</v>
      </c>
      <c r="L351" s="3">
        <v>46088.0</v>
      </c>
      <c r="M351" s="2">
        <v>30.99</v>
      </c>
      <c r="N351" s="2">
        <v>30.99</v>
      </c>
      <c r="O351" s="2">
        <v>24.0</v>
      </c>
      <c r="P351" s="2">
        <v>23.0</v>
      </c>
      <c r="Q351" s="2" t="s">
        <v>628</v>
      </c>
      <c r="R351" s="2" t="s">
        <v>24</v>
      </c>
      <c r="S351" s="2" t="b">
        <f>COUNTIF('Marcas Target'!A:A,dados!$E351)&gt;0</f>
        <v>1</v>
      </c>
    </row>
    <row r="352" ht="15.75" customHeight="1">
      <c r="A352" s="2" t="s">
        <v>624</v>
      </c>
      <c r="B352" s="2" t="s">
        <v>625</v>
      </c>
      <c r="C352" s="2" t="s">
        <v>21</v>
      </c>
      <c r="D352" s="2" t="s">
        <v>22</v>
      </c>
      <c r="E352" s="2" t="s">
        <v>128</v>
      </c>
      <c r="F352" s="2" t="s">
        <v>24</v>
      </c>
      <c r="G352" s="2" t="s">
        <v>24</v>
      </c>
      <c r="H352" s="2" t="s">
        <v>626</v>
      </c>
      <c r="I352" s="2" t="s">
        <v>624</v>
      </c>
      <c r="J352" s="2" t="s">
        <v>26</v>
      </c>
      <c r="K352" s="2" t="s">
        <v>627</v>
      </c>
      <c r="L352" s="3">
        <v>46087.0</v>
      </c>
      <c r="M352" s="2">
        <v>30.99</v>
      </c>
      <c r="N352" s="2">
        <v>30.99</v>
      </c>
      <c r="O352" s="2">
        <v>3.0</v>
      </c>
      <c r="P352" s="2">
        <v>2.0</v>
      </c>
      <c r="Q352" s="2" t="s">
        <v>628</v>
      </c>
      <c r="R352" s="2" t="s">
        <v>24</v>
      </c>
      <c r="S352" s="2" t="b">
        <f>COUNTIF('Marcas Target'!A:A,dados!$E352)&gt;0</f>
        <v>1</v>
      </c>
    </row>
    <row r="353" ht="15.75" customHeight="1">
      <c r="A353" s="2" t="s">
        <v>629</v>
      </c>
      <c r="B353" s="2" t="s">
        <v>630</v>
      </c>
      <c r="C353" s="2" t="s">
        <v>21</v>
      </c>
      <c r="D353" s="2" t="s">
        <v>22</v>
      </c>
      <c r="E353" s="2" t="s">
        <v>128</v>
      </c>
      <c r="F353" s="2" t="s">
        <v>24</v>
      </c>
      <c r="G353" s="2" t="s">
        <v>24</v>
      </c>
      <c r="H353" s="2" t="s">
        <v>631</v>
      </c>
      <c r="I353" s="2" t="s">
        <v>629</v>
      </c>
      <c r="J353" s="2" t="s">
        <v>26</v>
      </c>
      <c r="K353" s="2" t="s">
        <v>632</v>
      </c>
      <c r="L353" s="3">
        <v>46089.0</v>
      </c>
      <c r="M353" s="2">
        <v>9.09</v>
      </c>
      <c r="N353" s="2">
        <v>9.09</v>
      </c>
      <c r="O353" s="2">
        <v>22.0</v>
      </c>
      <c r="P353" s="2">
        <v>9.0</v>
      </c>
      <c r="Q353" s="2" t="s">
        <v>633</v>
      </c>
      <c r="R353" s="2" t="s">
        <v>24</v>
      </c>
      <c r="S353" s="2" t="b">
        <f>COUNTIF('Marcas Target'!A:A,dados!$E353)&gt;0</f>
        <v>1</v>
      </c>
    </row>
    <row r="354" ht="15.75" customHeight="1">
      <c r="A354" s="2" t="s">
        <v>629</v>
      </c>
      <c r="B354" s="2" t="s">
        <v>630</v>
      </c>
      <c r="C354" s="2" t="s">
        <v>21</v>
      </c>
      <c r="D354" s="2" t="s">
        <v>22</v>
      </c>
      <c r="E354" s="2" t="s">
        <v>128</v>
      </c>
      <c r="F354" s="2" t="s">
        <v>24</v>
      </c>
      <c r="G354" s="2" t="s">
        <v>24</v>
      </c>
      <c r="H354" s="2" t="s">
        <v>631</v>
      </c>
      <c r="I354" s="2" t="s">
        <v>629</v>
      </c>
      <c r="J354" s="2" t="s">
        <v>26</v>
      </c>
      <c r="K354" s="2" t="s">
        <v>632</v>
      </c>
      <c r="L354" s="3">
        <v>46088.0</v>
      </c>
      <c r="M354" s="2">
        <v>12.59</v>
      </c>
      <c r="N354" s="2">
        <v>12.59</v>
      </c>
      <c r="O354" s="2">
        <v>24.0</v>
      </c>
      <c r="P354" s="2">
        <v>21.0</v>
      </c>
      <c r="Q354" s="2" t="s">
        <v>633</v>
      </c>
      <c r="R354" s="2" t="s">
        <v>24</v>
      </c>
      <c r="S354" s="2" t="b">
        <f>COUNTIF('Marcas Target'!A:A,dados!$E354)&gt;0</f>
        <v>1</v>
      </c>
    </row>
    <row r="355" ht="15.75" customHeight="1">
      <c r="A355" s="2" t="s">
        <v>629</v>
      </c>
      <c r="B355" s="2" t="s">
        <v>630</v>
      </c>
      <c r="C355" s="2" t="s">
        <v>21</v>
      </c>
      <c r="D355" s="2" t="s">
        <v>22</v>
      </c>
      <c r="E355" s="2" t="s">
        <v>128</v>
      </c>
      <c r="F355" s="2" t="s">
        <v>24</v>
      </c>
      <c r="G355" s="2" t="s">
        <v>24</v>
      </c>
      <c r="H355" s="2" t="s">
        <v>631</v>
      </c>
      <c r="I355" s="2" t="s">
        <v>629</v>
      </c>
      <c r="J355" s="2" t="s">
        <v>26</v>
      </c>
      <c r="K355" s="2" t="s">
        <v>632</v>
      </c>
      <c r="L355" s="3">
        <v>46087.0</v>
      </c>
      <c r="M355" s="2">
        <v>9.09</v>
      </c>
      <c r="N355" s="2">
        <v>9.09</v>
      </c>
      <c r="O355" s="2">
        <v>3.0</v>
      </c>
      <c r="P355" s="2">
        <v>2.0</v>
      </c>
      <c r="Q355" s="2" t="s">
        <v>633</v>
      </c>
      <c r="R355" s="2" t="s">
        <v>24</v>
      </c>
      <c r="S355" s="2" t="b">
        <f>COUNTIF('Marcas Target'!A:A,dados!$E355)&gt;0</f>
        <v>1</v>
      </c>
    </row>
    <row r="356" ht="15.75" customHeight="1">
      <c r="A356" s="2" t="s">
        <v>634</v>
      </c>
      <c r="B356" s="2" t="s">
        <v>635</v>
      </c>
      <c r="C356" s="2" t="s">
        <v>21</v>
      </c>
      <c r="D356" s="2" t="s">
        <v>22</v>
      </c>
      <c r="E356" s="2" t="s">
        <v>128</v>
      </c>
      <c r="F356" s="2" t="s">
        <v>24</v>
      </c>
      <c r="G356" s="2" t="s">
        <v>24</v>
      </c>
      <c r="H356" s="2" t="s">
        <v>636</v>
      </c>
      <c r="I356" s="2" t="s">
        <v>634</v>
      </c>
      <c r="J356" s="2" t="s">
        <v>26</v>
      </c>
      <c r="K356" s="2" t="s">
        <v>637</v>
      </c>
      <c r="L356" s="3">
        <v>46089.0</v>
      </c>
      <c r="M356" s="2">
        <v>19.49</v>
      </c>
      <c r="N356" s="2">
        <v>19.49</v>
      </c>
      <c r="O356" s="2">
        <v>22.0</v>
      </c>
      <c r="P356" s="2">
        <v>22.0</v>
      </c>
      <c r="Q356" s="2" t="s">
        <v>638</v>
      </c>
      <c r="R356" s="2" t="s">
        <v>24</v>
      </c>
      <c r="S356" s="2" t="b">
        <f>COUNTIF('Marcas Target'!A:A,dados!$E356)&gt;0</f>
        <v>1</v>
      </c>
    </row>
    <row r="357" ht="15.75" customHeight="1">
      <c r="A357" s="2" t="s">
        <v>634</v>
      </c>
      <c r="B357" s="2" t="s">
        <v>635</v>
      </c>
      <c r="C357" s="2" t="s">
        <v>21</v>
      </c>
      <c r="D357" s="2" t="s">
        <v>22</v>
      </c>
      <c r="E357" s="2" t="s">
        <v>128</v>
      </c>
      <c r="F357" s="2" t="s">
        <v>24</v>
      </c>
      <c r="G357" s="2" t="s">
        <v>24</v>
      </c>
      <c r="H357" s="2" t="s">
        <v>636</v>
      </c>
      <c r="I357" s="2" t="s">
        <v>634</v>
      </c>
      <c r="J357" s="2" t="s">
        <v>26</v>
      </c>
      <c r="K357" s="2" t="s">
        <v>637</v>
      </c>
      <c r="L357" s="3">
        <v>46088.0</v>
      </c>
      <c r="M357" s="2">
        <v>25.61</v>
      </c>
      <c r="N357" s="2">
        <v>25.61</v>
      </c>
      <c r="O357" s="2">
        <v>24.0</v>
      </c>
      <c r="P357" s="2">
        <v>24.0</v>
      </c>
      <c r="Q357" s="2" t="s">
        <v>638</v>
      </c>
      <c r="R357" s="2" t="s">
        <v>24</v>
      </c>
      <c r="S357" s="2" t="b">
        <f>COUNTIF('Marcas Target'!A:A,dados!$E357)&gt;0</f>
        <v>1</v>
      </c>
    </row>
    <row r="358" ht="15.75" customHeight="1">
      <c r="A358" s="2" t="s">
        <v>634</v>
      </c>
      <c r="B358" s="2" t="s">
        <v>635</v>
      </c>
      <c r="C358" s="2" t="s">
        <v>21</v>
      </c>
      <c r="D358" s="2" t="s">
        <v>22</v>
      </c>
      <c r="E358" s="2" t="s">
        <v>128</v>
      </c>
      <c r="F358" s="2" t="s">
        <v>24</v>
      </c>
      <c r="G358" s="2" t="s">
        <v>24</v>
      </c>
      <c r="H358" s="2" t="s">
        <v>636</v>
      </c>
      <c r="I358" s="2" t="s">
        <v>634</v>
      </c>
      <c r="J358" s="2" t="s">
        <v>26</v>
      </c>
      <c r="K358" s="2" t="s">
        <v>637</v>
      </c>
      <c r="L358" s="3">
        <v>46087.0</v>
      </c>
      <c r="M358" s="2">
        <v>19.49</v>
      </c>
      <c r="N358" s="2">
        <v>19.49</v>
      </c>
      <c r="O358" s="2">
        <v>3.0</v>
      </c>
      <c r="P358" s="2">
        <v>2.0</v>
      </c>
      <c r="Q358" s="2" t="s">
        <v>638</v>
      </c>
      <c r="R358" s="2" t="s">
        <v>24</v>
      </c>
      <c r="S358" s="2" t="b">
        <f>COUNTIF('Marcas Target'!A:A,dados!$E358)&gt;0</f>
        <v>1</v>
      </c>
    </row>
    <row r="359" ht="15.75" customHeight="1">
      <c r="A359" s="2" t="s">
        <v>639</v>
      </c>
      <c r="B359" s="2" t="s">
        <v>640</v>
      </c>
      <c r="C359" s="2" t="s">
        <v>21</v>
      </c>
      <c r="D359" s="2" t="s">
        <v>22</v>
      </c>
      <c r="E359" s="2" t="s">
        <v>294</v>
      </c>
      <c r="F359" s="2" t="s">
        <v>24</v>
      </c>
      <c r="G359" s="2" t="s">
        <v>24</v>
      </c>
      <c r="H359" s="2" t="s">
        <v>641</v>
      </c>
      <c r="I359" s="2" t="s">
        <v>639</v>
      </c>
      <c r="J359" s="2" t="s">
        <v>26</v>
      </c>
      <c r="K359" s="2" t="s">
        <v>642</v>
      </c>
      <c r="L359" s="3">
        <v>46089.0</v>
      </c>
      <c r="M359" s="2">
        <v>24.99</v>
      </c>
      <c r="N359" s="2">
        <v>24.99</v>
      </c>
      <c r="O359" s="2">
        <v>22.0</v>
      </c>
      <c r="P359" s="2">
        <v>22.0</v>
      </c>
      <c r="Q359" s="2" t="s">
        <v>643</v>
      </c>
      <c r="R359" s="2" t="s">
        <v>24</v>
      </c>
      <c r="S359" s="2" t="b">
        <f>COUNTIF('Marcas Target'!A:A,dados!$E359)&gt;0</f>
        <v>1</v>
      </c>
    </row>
    <row r="360" ht="15.75" customHeight="1">
      <c r="A360" s="2" t="s">
        <v>639</v>
      </c>
      <c r="B360" s="2" t="s">
        <v>640</v>
      </c>
      <c r="C360" s="2" t="s">
        <v>21</v>
      </c>
      <c r="D360" s="2" t="s">
        <v>22</v>
      </c>
      <c r="E360" s="2" t="s">
        <v>294</v>
      </c>
      <c r="F360" s="2" t="s">
        <v>24</v>
      </c>
      <c r="G360" s="2" t="s">
        <v>24</v>
      </c>
      <c r="H360" s="2" t="s">
        <v>641</v>
      </c>
      <c r="I360" s="2" t="s">
        <v>639</v>
      </c>
      <c r="J360" s="2" t="s">
        <v>26</v>
      </c>
      <c r="K360" s="2" t="s">
        <v>642</v>
      </c>
      <c r="L360" s="3">
        <v>46088.0</v>
      </c>
      <c r="M360" s="2">
        <v>24.99</v>
      </c>
      <c r="N360" s="2">
        <v>24.99</v>
      </c>
      <c r="O360" s="2">
        <v>24.0</v>
      </c>
      <c r="P360" s="2">
        <v>23.0</v>
      </c>
      <c r="Q360" s="2" t="s">
        <v>643</v>
      </c>
      <c r="R360" s="2" t="s">
        <v>24</v>
      </c>
      <c r="S360" s="2" t="b">
        <f>COUNTIF('Marcas Target'!A:A,dados!$E360)&gt;0</f>
        <v>1</v>
      </c>
    </row>
    <row r="361" ht="15.75" customHeight="1">
      <c r="A361" s="2" t="s">
        <v>639</v>
      </c>
      <c r="B361" s="2" t="s">
        <v>640</v>
      </c>
      <c r="C361" s="2" t="s">
        <v>21</v>
      </c>
      <c r="D361" s="2" t="s">
        <v>22</v>
      </c>
      <c r="E361" s="2" t="s">
        <v>294</v>
      </c>
      <c r="F361" s="2" t="s">
        <v>24</v>
      </c>
      <c r="G361" s="2" t="s">
        <v>24</v>
      </c>
      <c r="H361" s="2" t="s">
        <v>641</v>
      </c>
      <c r="I361" s="2" t="s">
        <v>639</v>
      </c>
      <c r="J361" s="2" t="s">
        <v>26</v>
      </c>
      <c r="K361" s="2" t="s">
        <v>642</v>
      </c>
      <c r="L361" s="3">
        <v>46087.0</v>
      </c>
      <c r="M361" s="2">
        <v>24.99</v>
      </c>
      <c r="N361" s="2">
        <v>24.99</v>
      </c>
      <c r="O361" s="2">
        <v>3.0</v>
      </c>
      <c r="P361" s="2">
        <v>2.0</v>
      </c>
      <c r="Q361" s="2" t="s">
        <v>643</v>
      </c>
      <c r="R361" s="2" t="s">
        <v>24</v>
      </c>
      <c r="S361" s="2" t="b">
        <f>COUNTIF('Marcas Target'!A:A,dados!$E361)&gt;0</f>
        <v>1</v>
      </c>
    </row>
    <row r="362" ht="15.75" customHeight="1">
      <c r="A362" s="2" t="s">
        <v>644</v>
      </c>
      <c r="B362" s="2" t="s">
        <v>645</v>
      </c>
      <c r="C362" s="2" t="s">
        <v>21</v>
      </c>
      <c r="D362" s="2" t="s">
        <v>22</v>
      </c>
      <c r="E362" s="2" t="s">
        <v>503</v>
      </c>
      <c r="F362" s="2" t="s">
        <v>24</v>
      </c>
      <c r="G362" s="2" t="s">
        <v>24</v>
      </c>
      <c r="H362" s="2" t="s">
        <v>646</v>
      </c>
      <c r="I362" s="2" t="s">
        <v>644</v>
      </c>
      <c r="J362" s="2" t="s">
        <v>26</v>
      </c>
      <c r="K362" s="2" t="s">
        <v>647</v>
      </c>
      <c r="L362" s="3">
        <v>46089.0</v>
      </c>
      <c r="M362" s="2">
        <v>29.99</v>
      </c>
      <c r="N362" s="2">
        <v>29.99</v>
      </c>
      <c r="O362" s="2">
        <v>22.0</v>
      </c>
      <c r="P362" s="2">
        <v>22.0</v>
      </c>
      <c r="Q362" s="2" t="s">
        <v>648</v>
      </c>
      <c r="R362" s="2" t="s">
        <v>24</v>
      </c>
      <c r="S362" s="2" t="b">
        <f>COUNTIF('Marcas Target'!A:A,dados!$E362)&gt;0</f>
        <v>0</v>
      </c>
    </row>
    <row r="363" ht="15.75" customHeight="1">
      <c r="A363" s="2" t="s">
        <v>644</v>
      </c>
      <c r="B363" s="2" t="s">
        <v>645</v>
      </c>
      <c r="C363" s="2" t="s">
        <v>21</v>
      </c>
      <c r="D363" s="2" t="s">
        <v>22</v>
      </c>
      <c r="E363" s="2" t="s">
        <v>503</v>
      </c>
      <c r="F363" s="2" t="s">
        <v>24</v>
      </c>
      <c r="G363" s="2" t="s">
        <v>24</v>
      </c>
      <c r="H363" s="2" t="s">
        <v>646</v>
      </c>
      <c r="I363" s="2" t="s">
        <v>644</v>
      </c>
      <c r="J363" s="2" t="s">
        <v>26</v>
      </c>
      <c r="K363" s="2" t="s">
        <v>647</v>
      </c>
      <c r="L363" s="3">
        <v>46088.0</v>
      </c>
      <c r="M363" s="2">
        <v>29.99</v>
      </c>
      <c r="N363" s="2">
        <v>29.99</v>
      </c>
      <c r="O363" s="2">
        <v>24.0</v>
      </c>
      <c r="P363" s="2">
        <v>23.0</v>
      </c>
      <c r="Q363" s="2" t="s">
        <v>648</v>
      </c>
      <c r="R363" s="2" t="s">
        <v>24</v>
      </c>
      <c r="S363" s="2" t="b">
        <f>COUNTIF('Marcas Target'!A:A,dados!$E363)&gt;0</f>
        <v>0</v>
      </c>
    </row>
    <row r="364" ht="15.75" customHeight="1">
      <c r="A364" s="2" t="s">
        <v>644</v>
      </c>
      <c r="B364" s="2" t="s">
        <v>645</v>
      </c>
      <c r="C364" s="2" t="s">
        <v>21</v>
      </c>
      <c r="D364" s="2" t="s">
        <v>22</v>
      </c>
      <c r="E364" s="2" t="s">
        <v>503</v>
      </c>
      <c r="F364" s="2" t="s">
        <v>24</v>
      </c>
      <c r="G364" s="2" t="s">
        <v>24</v>
      </c>
      <c r="H364" s="2" t="s">
        <v>646</v>
      </c>
      <c r="I364" s="2" t="s">
        <v>644</v>
      </c>
      <c r="J364" s="2" t="s">
        <v>26</v>
      </c>
      <c r="K364" s="2" t="s">
        <v>647</v>
      </c>
      <c r="L364" s="3">
        <v>46087.0</v>
      </c>
      <c r="M364" s="2">
        <v>29.99</v>
      </c>
      <c r="N364" s="2">
        <v>29.99</v>
      </c>
      <c r="O364" s="2">
        <v>3.0</v>
      </c>
      <c r="P364" s="2">
        <v>3.0</v>
      </c>
      <c r="Q364" s="2" t="s">
        <v>648</v>
      </c>
      <c r="R364" s="2" t="s">
        <v>24</v>
      </c>
      <c r="S364" s="2" t="b">
        <f>COUNTIF('Marcas Target'!A:A,dados!$E364)&gt;0</f>
        <v>0</v>
      </c>
    </row>
    <row r="365" ht="15.75" customHeight="1">
      <c r="A365" s="2" t="s">
        <v>649</v>
      </c>
      <c r="B365" s="2" t="s">
        <v>650</v>
      </c>
      <c r="C365" s="2" t="s">
        <v>21</v>
      </c>
      <c r="D365" s="2" t="s">
        <v>22</v>
      </c>
      <c r="E365" s="2" t="s">
        <v>378</v>
      </c>
      <c r="F365" s="2" t="s">
        <v>24</v>
      </c>
      <c r="G365" s="2" t="s">
        <v>24</v>
      </c>
      <c r="H365" s="2" t="s">
        <v>651</v>
      </c>
      <c r="I365" s="2" t="s">
        <v>649</v>
      </c>
      <c r="J365" s="2" t="s">
        <v>26</v>
      </c>
      <c r="K365" s="2" t="s">
        <v>652</v>
      </c>
      <c r="L365" s="3">
        <v>46089.0</v>
      </c>
      <c r="M365" s="2">
        <v>31.99</v>
      </c>
      <c r="N365" s="2">
        <v>31.99</v>
      </c>
      <c r="O365" s="2">
        <v>22.0</v>
      </c>
      <c r="P365" s="2">
        <v>22.0</v>
      </c>
      <c r="Q365" s="2" t="s">
        <v>653</v>
      </c>
      <c r="R365" s="2" t="s">
        <v>24</v>
      </c>
      <c r="S365" s="2" t="b">
        <f>COUNTIF('Marcas Target'!A:A,dados!$E365)&gt;0</f>
        <v>0</v>
      </c>
    </row>
    <row r="366" ht="15.75" customHeight="1">
      <c r="A366" s="2" t="s">
        <v>649</v>
      </c>
      <c r="B366" s="2" t="s">
        <v>650</v>
      </c>
      <c r="C366" s="2" t="s">
        <v>21</v>
      </c>
      <c r="D366" s="2" t="s">
        <v>22</v>
      </c>
      <c r="E366" s="2" t="s">
        <v>378</v>
      </c>
      <c r="F366" s="2" t="s">
        <v>24</v>
      </c>
      <c r="G366" s="2" t="s">
        <v>24</v>
      </c>
      <c r="H366" s="2" t="s">
        <v>651</v>
      </c>
      <c r="I366" s="2" t="s">
        <v>649</v>
      </c>
      <c r="J366" s="2" t="s">
        <v>26</v>
      </c>
      <c r="K366" s="2" t="s">
        <v>652</v>
      </c>
      <c r="L366" s="3">
        <v>46088.0</v>
      </c>
      <c r="M366" s="2">
        <v>31.99</v>
      </c>
      <c r="N366" s="2">
        <v>31.99</v>
      </c>
      <c r="O366" s="2">
        <v>24.0</v>
      </c>
      <c r="P366" s="2">
        <v>23.0</v>
      </c>
      <c r="Q366" s="2" t="s">
        <v>653</v>
      </c>
      <c r="R366" s="2" t="s">
        <v>24</v>
      </c>
      <c r="S366" s="2" t="b">
        <f>COUNTIF('Marcas Target'!A:A,dados!$E366)&gt;0</f>
        <v>0</v>
      </c>
    </row>
    <row r="367" ht="15.75" customHeight="1">
      <c r="A367" s="2" t="s">
        <v>649</v>
      </c>
      <c r="B367" s="2" t="s">
        <v>650</v>
      </c>
      <c r="C367" s="2" t="s">
        <v>21</v>
      </c>
      <c r="D367" s="2" t="s">
        <v>22</v>
      </c>
      <c r="E367" s="2" t="s">
        <v>378</v>
      </c>
      <c r="F367" s="2" t="s">
        <v>24</v>
      </c>
      <c r="G367" s="2" t="s">
        <v>24</v>
      </c>
      <c r="H367" s="2" t="s">
        <v>651</v>
      </c>
      <c r="I367" s="2" t="s">
        <v>649</v>
      </c>
      <c r="J367" s="2" t="s">
        <v>26</v>
      </c>
      <c r="K367" s="2" t="s">
        <v>652</v>
      </c>
      <c r="L367" s="3">
        <v>46087.0</v>
      </c>
      <c r="M367" s="2">
        <v>31.99</v>
      </c>
      <c r="N367" s="2">
        <v>31.99</v>
      </c>
      <c r="O367" s="2">
        <v>3.0</v>
      </c>
      <c r="P367" s="2">
        <v>2.0</v>
      </c>
      <c r="Q367" s="2" t="s">
        <v>653</v>
      </c>
      <c r="R367" s="2" t="s">
        <v>24</v>
      </c>
      <c r="S367" s="2" t="b">
        <f>COUNTIF('Marcas Target'!A:A,dados!$E367)&gt;0</f>
        <v>0</v>
      </c>
    </row>
    <row r="368" ht="15.75" customHeight="1">
      <c r="A368" s="2" t="s">
        <v>654</v>
      </c>
      <c r="B368" s="2" t="s">
        <v>655</v>
      </c>
      <c r="C368" s="2" t="s">
        <v>21</v>
      </c>
      <c r="D368" s="2" t="s">
        <v>22</v>
      </c>
      <c r="E368" s="2" t="s">
        <v>378</v>
      </c>
      <c r="F368" s="2" t="s">
        <v>24</v>
      </c>
      <c r="G368" s="2" t="s">
        <v>24</v>
      </c>
      <c r="H368" s="2" t="s">
        <v>656</v>
      </c>
      <c r="I368" s="2" t="s">
        <v>654</v>
      </c>
      <c r="J368" s="2" t="s">
        <v>26</v>
      </c>
      <c r="K368" s="2" t="s">
        <v>657</v>
      </c>
      <c r="L368" s="3">
        <v>46089.0</v>
      </c>
      <c r="M368" s="2">
        <v>85.9</v>
      </c>
      <c r="N368" s="2">
        <v>85.9</v>
      </c>
      <c r="O368" s="2">
        <v>22.0</v>
      </c>
      <c r="P368" s="2">
        <v>1.0</v>
      </c>
      <c r="Q368" s="2" t="s">
        <v>658</v>
      </c>
      <c r="R368" s="2" t="s">
        <v>24</v>
      </c>
      <c r="S368" s="2" t="b">
        <f>COUNTIF('Marcas Target'!A:A,dados!$E368)&gt;0</f>
        <v>0</v>
      </c>
    </row>
    <row r="369" ht="15.75" customHeight="1">
      <c r="A369" s="2" t="s">
        <v>654</v>
      </c>
      <c r="B369" s="2" t="s">
        <v>655</v>
      </c>
      <c r="C369" s="2" t="s">
        <v>21</v>
      </c>
      <c r="D369" s="2" t="s">
        <v>22</v>
      </c>
      <c r="E369" s="2" t="s">
        <v>378</v>
      </c>
      <c r="F369" s="2" t="s">
        <v>24</v>
      </c>
      <c r="G369" s="2" t="s">
        <v>24</v>
      </c>
      <c r="H369" s="2" t="s">
        <v>656</v>
      </c>
      <c r="I369" s="2" t="s">
        <v>654</v>
      </c>
      <c r="J369" s="2" t="s">
        <v>26</v>
      </c>
      <c r="K369" s="2" t="s">
        <v>657</v>
      </c>
      <c r="L369" s="3">
        <v>46088.0</v>
      </c>
      <c r="M369" s="2">
        <v>5.49</v>
      </c>
      <c r="N369" s="2">
        <v>5.49</v>
      </c>
      <c r="O369" s="2">
        <v>24.0</v>
      </c>
      <c r="P369" s="2">
        <v>1.0</v>
      </c>
      <c r="Q369" s="2" t="s">
        <v>658</v>
      </c>
      <c r="R369" s="2" t="s">
        <v>24</v>
      </c>
      <c r="S369" s="2" t="b">
        <f>COUNTIF('Marcas Target'!A:A,dados!$E369)&gt;0</f>
        <v>0</v>
      </c>
    </row>
    <row r="370" ht="15.75" customHeight="1">
      <c r="A370" s="2" t="s">
        <v>654</v>
      </c>
      <c r="B370" s="2" t="s">
        <v>655</v>
      </c>
      <c r="C370" s="2" t="s">
        <v>21</v>
      </c>
      <c r="D370" s="2" t="s">
        <v>22</v>
      </c>
      <c r="E370" s="2" t="s">
        <v>378</v>
      </c>
      <c r="F370" s="2" t="s">
        <v>24</v>
      </c>
      <c r="G370" s="2" t="s">
        <v>24</v>
      </c>
      <c r="H370" s="2" t="s">
        <v>656</v>
      </c>
      <c r="I370" s="2" t="s">
        <v>654</v>
      </c>
      <c r="J370" s="2" t="s">
        <v>26</v>
      </c>
      <c r="K370" s="2" t="s">
        <v>657</v>
      </c>
      <c r="L370" s="3">
        <v>46087.0</v>
      </c>
      <c r="M370" s="2" t="s">
        <v>24</v>
      </c>
      <c r="N370" s="2" t="s">
        <v>24</v>
      </c>
      <c r="O370" s="2">
        <v>3.0</v>
      </c>
      <c r="P370" s="2">
        <v>0.0</v>
      </c>
      <c r="Q370" s="2" t="s">
        <v>658</v>
      </c>
      <c r="R370" s="2" t="s">
        <v>24</v>
      </c>
      <c r="S370" s="2" t="b">
        <f>COUNTIF('Marcas Target'!A:A,dados!$E370)&gt;0</f>
        <v>0</v>
      </c>
    </row>
    <row r="371" ht="15.75" customHeight="1">
      <c r="A371" s="2" t="s">
        <v>659</v>
      </c>
      <c r="B371" s="2" t="s">
        <v>660</v>
      </c>
      <c r="C371" s="2" t="s">
        <v>21</v>
      </c>
      <c r="D371" s="2" t="s">
        <v>22</v>
      </c>
      <c r="E371" s="2" t="s">
        <v>378</v>
      </c>
      <c r="F371" s="2" t="s">
        <v>24</v>
      </c>
      <c r="G371" s="2" t="s">
        <v>24</v>
      </c>
      <c r="H371" s="2" t="s">
        <v>661</v>
      </c>
      <c r="I371" s="2" t="s">
        <v>659</v>
      </c>
      <c r="J371" s="2" t="s">
        <v>26</v>
      </c>
      <c r="K371" s="2" t="s">
        <v>662</v>
      </c>
      <c r="L371" s="3">
        <v>46089.0</v>
      </c>
      <c r="M371" s="2">
        <v>25.99</v>
      </c>
      <c r="N371" s="2">
        <v>25.99</v>
      </c>
      <c r="O371" s="2">
        <v>22.0</v>
      </c>
      <c r="P371" s="2">
        <v>22.0</v>
      </c>
      <c r="Q371" s="2" t="s">
        <v>663</v>
      </c>
      <c r="R371" s="2" t="s">
        <v>24</v>
      </c>
      <c r="S371" s="2" t="b">
        <f>COUNTIF('Marcas Target'!A:A,dados!$E371)&gt;0</f>
        <v>0</v>
      </c>
    </row>
    <row r="372" ht="15.75" customHeight="1">
      <c r="A372" s="2" t="s">
        <v>659</v>
      </c>
      <c r="B372" s="2" t="s">
        <v>660</v>
      </c>
      <c r="C372" s="2" t="s">
        <v>21</v>
      </c>
      <c r="D372" s="2" t="s">
        <v>22</v>
      </c>
      <c r="E372" s="2" t="s">
        <v>378</v>
      </c>
      <c r="F372" s="2" t="s">
        <v>24</v>
      </c>
      <c r="G372" s="2" t="s">
        <v>24</v>
      </c>
      <c r="H372" s="2" t="s">
        <v>661</v>
      </c>
      <c r="I372" s="2" t="s">
        <v>659</v>
      </c>
      <c r="J372" s="2" t="s">
        <v>26</v>
      </c>
      <c r="K372" s="2" t="s">
        <v>662</v>
      </c>
      <c r="L372" s="3">
        <v>46088.0</v>
      </c>
      <c r="M372" s="2">
        <v>25.99</v>
      </c>
      <c r="N372" s="2">
        <v>25.99</v>
      </c>
      <c r="O372" s="2">
        <v>24.0</v>
      </c>
      <c r="P372" s="2">
        <v>16.0</v>
      </c>
      <c r="Q372" s="2" t="s">
        <v>663</v>
      </c>
      <c r="R372" s="2" t="s">
        <v>24</v>
      </c>
      <c r="S372" s="2" t="b">
        <f>COUNTIF('Marcas Target'!A:A,dados!$E372)&gt;0</f>
        <v>0</v>
      </c>
    </row>
    <row r="373" ht="15.75" customHeight="1">
      <c r="A373" s="2" t="s">
        <v>659</v>
      </c>
      <c r="B373" s="2" t="s">
        <v>660</v>
      </c>
      <c r="C373" s="2" t="s">
        <v>21</v>
      </c>
      <c r="D373" s="2" t="s">
        <v>22</v>
      </c>
      <c r="E373" s="2" t="s">
        <v>378</v>
      </c>
      <c r="F373" s="2" t="s">
        <v>24</v>
      </c>
      <c r="G373" s="2" t="s">
        <v>24</v>
      </c>
      <c r="H373" s="2" t="s">
        <v>661</v>
      </c>
      <c r="I373" s="2" t="s">
        <v>659</v>
      </c>
      <c r="J373" s="2" t="s">
        <v>26</v>
      </c>
      <c r="K373" s="2" t="s">
        <v>662</v>
      </c>
      <c r="L373" s="3">
        <v>46087.0</v>
      </c>
      <c r="M373" s="2">
        <v>25.99</v>
      </c>
      <c r="N373" s="2">
        <v>25.99</v>
      </c>
      <c r="O373" s="2">
        <v>3.0</v>
      </c>
      <c r="P373" s="2">
        <v>2.0</v>
      </c>
      <c r="Q373" s="2" t="s">
        <v>663</v>
      </c>
      <c r="R373" s="2" t="s">
        <v>24</v>
      </c>
      <c r="S373" s="2" t="b">
        <f>COUNTIF('Marcas Target'!A:A,dados!$E373)&gt;0</f>
        <v>0</v>
      </c>
    </row>
    <row r="374" ht="15.75" customHeight="1">
      <c r="A374" s="2" t="s">
        <v>664</v>
      </c>
      <c r="B374" s="2" t="s">
        <v>665</v>
      </c>
      <c r="C374" s="2" t="s">
        <v>21</v>
      </c>
      <c r="D374" s="2" t="s">
        <v>22</v>
      </c>
      <c r="E374" s="2" t="s">
        <v>666</v>
      </c>
      <c r="F374" s="2" t="s">
        <v>24</v>
      </c>
      <c r="G374" s="2" t="s">
        <v>24</v>
      </c>
      <c r="H374" s="2" t="s">
        <v>667</v>
      </c>
      <c r="I374" s="2" t="s">
        <v>664</v>
      </c>
      <c r="J374" s="2" t="s">
        <v>26</v>
      </c>
      <c r="K374" s="2" t="s">
        <v>668</v>
      </c>
      <c r="L374" s="3">
        <v>46089.0</v>
      </c>
      <c r="M374" s="2">
        <v>30.99</v>
      </c>
      <c r="N374" s="2">
        <v>30.99</v>
      </c>
      <c r="O374" s="2">
        <v>22.0</v>
      </c>
      <c r="P374" s="2">
        <v>22.0</v>
      </c>
      <c r="Q374" s="2" t="s">
        <v>669</v>
      </c>
      <c r="R374" s="2" t="s">
        <v>24</v>
      </c>
      <c r="S374" s="2" t="b">
        <f>COUNTIF('Marcas Target'!A:A,dados!$E374)&gt;0</f>
        <v>1</v>
      </c>
    </row>
    <row r="375" ht="15.75" customHeight="1">
      <c r="A375" s="2" t="s">
        <v>664</v>
      </c>
      <c r="B375" s="2" t="s">
        <v>665</v>
      </c>
      <c r="C375" s="2" t="s">
        <v>21</v>
      </c>
      <c r="D375" s="2" t="s">
        <v>22</v>
      </c>
      <c r="E375" s="2" t="s">
        <v>666</v>
      </c>
      <c r="F375" s="2" t="s">
        <v>24</v>
      </c>
      <c r="G375" s="2" t="s">
        <v>24</v>
      </c>
      <c r="H375" s="2" t="s">
        <v>667</v>
      </c>
      <c r="I375" s="2" t="s">
        <v>664</v>
      </c>
      <c r="J375" s="2" t="s">
        <v>26</v>
      </c>
      <c r="K375" s="2" t="s">
        <v>668</v>
      </c>
      <c r="L375" s="3">
        <v>46088.0</v>
      </c>
      <c r="M375" s="2">
        <v>30.99</v>
      </c>
      <c r="N375" s="2">
        <v>30.99</v>
      </c>
      <c r="O375" s="2">
        <v>24.0</v>
      </c>
      <c r="P375" s="2">
        <v>23.0</v>
      </c>
      <c r="Q375" s="2" t="s">
        <v>669</v>
      </c>
      <c r="R375" s="2" t="s">
        <v>24</v>
      </c>
      <c r="S375" s="2" t="b">
        <f>COUNTIF('Marcas Target'!A:A,dados!$E375)&gt;0</f>
        <v>1</v>
      </c>
    </row>
    <row r="376" ht="15.75" customHeight="1">
      <c r="A376" s="2" t="s">
        <v>664</v>
      </c>
      <c r="B376" s="2" t="s">
        <v>665</v>
      </c>
      <c r="C376" s="2" t="s">
        <v>21</v>
      </c>
      <c r="D376" s="2" t="s">
        <v>22</v>
      </c>
      <c r="E376" s="2" t="s">
        <v>666</v>
      </c>
      <c r="F376" s="2" t="s">
        <v>24</v>
      </c>
      <c r="G376" s="2" t="s">
        <v>24</v>
      </c>
      <c r="H376" s="2" t="s">
        <v>667</v>
      </c>
      <c r="I376" s="2" t="s">
        <v>664</v>
      </c>
      <c r="J376" s="2" t="s">
        <v>26</v>
      </c>
      <c r="K376" s="2" t="s">
        <v>668</v>
      </c>
      <c r="L376" s="3">
        <v>46087.0</v>
      </c>
      <c r="M376" s="2">
        <v>30.99</v>
      </c>
      <c r="N376" s="2">
        <v>30.99</v>
      </c>
      <c r="O376" s="2">
        <v>3.0</v>
      </c>
      <c r="P376" s="2">
        <v>3.0</v>
      </c>
      <c r="Q376" s="2" t="s">
        <v>669</v>
      </c>
      <c r="R376" s="2" t="s">
        <v>24</v>
      </c>
      <c r="S376" s="2" t="b">
        <f>COUNTIF('Marcas Target'!A:A,dados!$E376)&gt;0</f>
        <v>1</v>
      </c>
    </row>
    <row r="377" ht="15.75" customHeight="1">
      <c r="A377" s="2" t="s">
        <v>670</v>
      </c>
      <c r="B377" s="2" t="s">
        <v>671</v>
      </c>
      <c r="C377" s="2" t="s">
        <v>21</v>
      </c>
      <c r="D377" s="2" t="s">
        <v>22</v>
      </c>
      <c r="E377" s="2" t="s">
        <v>503</v>
      </c>
      <c r="F377" s="2" t="s">
        <v>24</v>
      </c>
      <c r="G377" s="2" t="s">
        <v>24</v>
      </c>
      <c r="H377" s="2" t="s">
        <v>672</v>
      </c>
      <c r="I377" s="2" t="s">
        <v>670</v>
      </c>
      <c r="J377" s="2" t="s">
        <v>26</v>
      </c>
      <c r="K377" s="2" t="s">
        <v>673</v>
      </c>
      <c r="L377" s="3">
        <v>46089.0</v>
      </c>
      <c r="M377" s="2">
        <v>7.91</v>
      </c>
      <c r="N377" s="2">
        <v>7.91</v>
      </c>
      <c r="O377" s="2">
        <v>22.0</v>
      </c>
      <c r="P377" s="2">
        <v>18.0</v>
      </c>
      <c r="Q377" s="2" t="s">
        <v>674</v>
      </c>
      <c r="R377" s="2" t="s">
        <v>24</v>
      </c>
      <c r="S377" s="2" t="b">
        <f>COUNTIF('Marcas Target'!A:A,dados!$E377)&gt;0</f>
        <v>0</v>
      </c>
    </row>
    <row r="378" ht="15.75" customHeight="1">
      <c r="A378" s="2" t="s">
        <v>670</v>
      </c>
      <c r="B378" s="2" t="s">
        <v>671</v>
      </c>
      <c r="C378" s="2" t="s">
        <v>21</v>
      </c>
      <c r="D378" s="2" t="s">
        <v>22</v>
      </c>
      <c r="E378" s="2" t="s">
        <v>503</v>
      </c>
      <c r="F378" s="2" t="s">
        <v>24</v>
      </c>
      <c r="G378" s="2" t="s">
        <v>24</v>
      </c>
      <c r="H378" s="2" t="s">
        <v>672</v>
      </c>
      <c r="I378" s="2" t="s">
        <v>670</v>
      </c>
      <c r="J378" s="2" t="s">
        <v>26</v>
      </c>
      <c r="K378" s="2" t="s">
        <v>673</v>
      </c>
      <c r="L378" s="3">
        <v>46088.0</v>
      </c>
      <c r="M378" s="2">
        <v>9.26</v>
      </c>
      <c r="N378" s="2">
        <v>9.26</v>
      </c>
      <c r="O378" s="2">
        <v>24.0</v>
      </c>
      <c r="P378" s="2">
        <v>22.0</v>
      </c>
      <c r="Q378" s="2" t="s">
        <v>674</v>
      </c>
      <c r="R378" s="2" t="s">
        <v>24</v>
      </c>
      <c r="S378" s="2" t="b">
        <f>COUNTIF('Marcas Target'!A:A,dados!$E378)&gt;0</f>
        <v>0</v>
      </c>
    </row>
    <row r="379" ht="15.75" customHeight="1">
      <c r="A379" s="2" t="s">
        <v>670</v>
      </c>
      <c r="B379" s="2" t="s">
        <v>671</v>
      </c>
      <c r="C379" s="2" t="s">
        <v>21</v>
      </c>
      <c r="D379" s="2" t="s">
        <v>22</v>
      </c>
      <c r="E379" s="2" t="s">
        <v>503</v>
      </c>
      <c r="F379" s="2" t="s">
        <v>24</v>
      </c>
      <c r="G379" s="2" t="s">
        <v>24</v>
      </c>
      <c r="H379" s="2" t="s">
        <v>672</v>
      </c>
      <c r="I379" s="2" t="s">
        <v>670</v>
      </c>
      <c r="J379" s="2" t="s">
        <v>26</v>
      </c>
      <c r="K379" s="2" t="s">
        <v>673</v>
      </c>
      <c r="L379" s="3">
        <v>46087.0</v>
      </c>
      <c r="M379" s="2">
        <v>7.91</v>
      </c>
      <c r="N379" s="2">
        <v>7.91</v>
      </c>
      <c r="O379" s="2">
        <v>3.0</v>
      </c>
      <c r="P379" s="2">
        <v>1.0</v>
      </c>
      <c r="Q379" s="2" t="s">
        <v>674</v>
      </c>
      <c r="R379" s="2" t="s">
        <v>24</v>
      </c>
      <c r="S379" s="2" t="b">
        <f>COUNTIF('Marcas Target'!A:A,dados!$E379)&gt;0</f>
        <v>0</v>
      </c>
    </row>
    <row r="380" ht="15.75" customHeight="1">
      <c r="A380" s="2" t="s">
        <v>675</v>
      </c>
      <c r="B380" s="2" t="s">
        <v>676</v>
      </c>
      <c r="C380" s="2" t="s">
        <v>21</v>
      </c>
      <c r="D380" s="2" t="s">
        <v>22</v>
      </c>
      <c r="E380" s="2" t="s">
        <v>378</v>
      </c>
      <c r="F380" s="2" t="s">
        <v>24</v>
      </c>
      <c r="G380" s="2" t="s">
        <v>24</v>
      </c>
      <c r="H380" s="2" t="s">
        <v>677</v>
      </c>
      <c r="I380" s="2" t="s">
        <v>675</v>
      </c>
      <c r="J380" s="2" t="s">
        <v>26</v>
      </c>
      <c r="K380" s="2" t="s">
        <v>678</v>
      </c>
      <c r="L380" s="3">
        <v>46089.0</v>
      </c>
      <c r="M380" s="2">
        <v>25.99</v>
      </c>
      <c r="N380" s="2">
        <v>25.99</v>
      </c>
      <c r="O380" s="2">
        <v>22.0</v>
      </c>
      <c r="P380" s="2">
        <v>22.0</v>
      </c>
      <c r="Q380" s="2" t="s">
        <v>679</v>
      </c>
      <c r="R380" s="2" t="s">
        <v>24</v>
      </c>
      <c r="S380" s="2" t="b">
        <f>COUNTIF('Marcas Target'!A:A,dados!$E380)&gt;0</f>
        <v>0</v>
      </c>
    </row>
    <row r="381" ht="15.75" customHeight="1">
      <c r="A381" s="2" t="s">
        <v>675</v>
      </c>
      <c r="B381" s="2" t="s">
        <v>676</v>
      </c>
      <c r="C381" s="2" t="s">
        <v>21</v>
      </c>
      <c r="D381" s="2" t="s">
        <v>22</v>
      </c>
      <c r="E381" s="2" t="s">
        <v>378</v>
      </c>
      <c r="F381" s="2" t="s">
        <v>24</v>
      </c>
      <c r="G381" s="2" t="s">
        <v>24</v>
      </c>
      <c r="H381" s="2" t="s">
        <v>677</v>
      </c>
      <c r="I381" s="2" t="s">
        <v>675</v>
      </c>
      <c r="J381" s="2" t="s">
        <v>26</v>
      </c>
      <c r="K381" s="2" t="s">
        <v>678</v>
      </c>
      <c r="L381" s="3">
        <v>46088.0</v>
      </c>
      <c r="M381" s="2">
        <v>25.99</v>
      </c>
      <c r="N381" s="2">
        <v>25.99</v>
      </c>
      <c r="O381" s="2">
        <v>24.0</v>
      </c>
      <c r="P381" s="2">
        <v>24.0</v>
      </c>
      <c r="Q381" s="2" t="s">
        <v>679</v>
      </c>
      <c r="R381" s="2" t="s">
        <v>24</v>
      </c>
      <c r="S381" s="2" t="b">
        <f>COUNTIF('Marcas Target'!A:A,dados!$E381)&gt;0</f>
        <v>0</v>
      </c>
    </row>
    <row r="382" ht="15.75" customHeight="1">
      <c r="A382" s="2" t="s">
        <v>675</v>
      </c>
      <c r="B382" s="2" t="s">
        <v>676</v>
      </c>
      <c r="C382" s="2" t="s">
        <v>21</v>
      </c>
      <c r="D382" s="2" t="s">
        <v>22</v>
      </c>
      <c r="E382" s="2" t="s">
        <v>378</v>
      </c>
      <c r="F382" s="2" t="s">
        <v>24</v>
      </c>
      <c r="G382" s="2" t="s">
        <v>24</v>
      </c>
      <c r="H382" s="2" t="s">
        <v>677</v>
      </c>
      <c r="I382" s="2" t="s">
        <v>675</v>
      </c>
      <c r="J382" s="2" t="s">
        <v>26</v>
      </c>
      <c r="K382" s="2" t="s">
        <v>678</v>
      </c>
      <c r="L382" s="3">
        <v>46087.0</v>
      </c>
      <c r="M382" s="2">
        <v>25.99</v>
      </c>
      <c r="N382" s="2">
        <v>25.99</v>
      </c>
      <c r="O382" s="2">
        <v>3.0</v>
      </c>
      <c r="P382" s="2">
        <v>1.0</v>
      </c>
      <c r="Q382" s="2" t="s">
        <v>679</v>
      </c>
      <c r="R382" s="2" t="s">
        <v>24</v>
      </c>
      <c r="S382" s="2" t="b">
        <f>COUNTIF('Marcas Target'!A:A,dados!$E382)&gt;0</f>
        <v>0</v>
      </c>
    </row>
    <row r="383" ht="15.75" customHeight="1">
      <c r="A383" s="2" t="s">
        <v>680</v>
      </c>
      <c r="B383" s="2" t="s">
        <v>681</v>
      </c>
      <c r="C383" s="2" t="s">
        <v>21</v>
      </c>
      <c r="D383" s="2" t="s">
        <v>22</v>
      </c>
      <c r="E383" s="2" t="s">
        <v>503</v>
      </c>
      <c r="F383" s="2" t="s">
        <v>24</v>
      </c>
      <c r="G383" s="2" t="s">
        <v>24</v>
      </c>
      <c r="H383" s="2" t="s">
        <v>682</v>
      </c>
      <c r="I383" s="2" t="s">
        <v>680</v>
      </c>
      <c r="J383" s="2" t="s">
        <v>26</v>
      </c>
      <c r="K383" s="2" t="s">
        <v>683</v>
      </c>
      <c r="L383" s="3">
        <v>46089.0</v>
      </c>
      <c r="M383" s="2">
        <v>29.99</v>
      </c>
      <c r="N383" s="2">
        <v>29.99</v>
      </c>
      <c r="O383" s="2">
        <v>22.0</v>
      </c>
      <c r="P383" s="2">
        <v>10.0</v>
      </c>
      <c r="Q383" s="2" t="s">
        <v>684</v>
      </c>
      <c r="R383" s="2" t="s">
        <v>24</v>
      </c>
      <c r="S383" s="2" t="b">
        <f>COUNTIF('Marcas Target'!A:A,dados!$E383)&gt;0</f>
        <v>0</v>
      </c>
    </row>
    <row r="384" ht="15.75" customHeight="1">
      <c r="A384" s="2" t="s">
        <v>680</v>
      </c>
      <c r="B384" s="2" t="s">
        <v>681</v>
      </c>
      <c r="C384" s="2" t="s">
        <v>21</v>
      </c>
      <c r="D384" s="2" t="s">
        <v>22</v>
      </c>
      <c r="E384" s="2" t="s">
        <v>503</v>
      </c>
      <c r="F384" s="2" t="s">
        <v>24</v>
      </c>
      <c r="G384" s="2" t="s">
        <v>24</v>
      </c>
      <c r="H384" s="2" t="s">
        <v>682</v>
      </c>
      <c r="I384" s="2" t="s">
        <v>680</v>
      </c>
      <c r="J384" s="2" t="s">
        <v>26</v>
      </c>
      <c r="K384" s="2" t="s">
        <v>683</v>
      </c>
      <c r="L384" s="3">
        <v>46088.0</v>
      </c>
      <c r="M384" s="2">
        <v>29.99</v>
      </c>
      <c r="N384" s="2">
        <v>29.99</v>
      </c>
      <c r="O384" s="2">
        <v>24.0</v>
      </c>
      <c r="P384" s="2">
        <v>19.0</v>
      </c>
      <c r="Q384" s="2" t="s">
        <v>684</v>
      </c>
      <c r="R384" s="2" t="s">
        <v>24</v>
      </c>
      <c r="S384" s="2" t="b">
        <f>COUNTIF('Marcas Target'!A:A,dados!$E384)&gt;0</f>
        <v>0</v>
      </c>
    </row>
    <row r="385" ht="15.75" customHeight="1">
      <c r="A385" s="2" t="s">
        <v>680</v>
      </c>
      <c r="B385" s="2" t="s">
        <v>681</v>
      </c>
      <c r="C385" s="2" t="s">
        <v>21</v>
      </c>
      <c r="D385" s="2" t="s">
        <v>22</v>
      </c>
      <c r="E385" s="2" t="s">
        <v>503</v>
      </c>
      <c r="F385" s="2" t="s">
        <v>24</v>
      </c>
      <c r="G385" s="2" t="s">
        <v>24</v>
      </c>
      <c r="H385" s="2" t="s">
        <v>682</v>
      </c>
      <c r="I385" s="2" t="s">
        <v>680</v>
      </c>
      <c r="J385" s="2" t="s">
        <v>26</v>
      </c>
      <c r="K385" s="2" t="s">
        <v>683</v>
      </c>
      <c r="L385" s="3">
        <v>46087.0</v>
      </c>
      <c r="M385" s="2">
        <v>29.99</v>
      </c>
      <c r="N385" s="2">
        <v>29.99</v>
      </c>
      <c r="O385" s="2">
        <v>3.0</v>
      </c>
      <c r="P385" s="2">
        <v>1.0</v>
      </c>
      <c r="Q385" s="2" t="s">
        <v>684</v>
      </c>
      <c r="R385" s="2" t="s">
        <v>24</v>
      </c>
      <c r="S385" s="2" t="b">
        <f>COUNTIF('Marcas Target'!A:A,dados!$E385)&gt;0</f>
        <v>0</v>
      </c>
    </row>
    <row r="386" ht="15.75" customHeight="1">
      <c r="A386" s="2" t="s">
        <v>685</v>
      </c>
      <c r="B386" s="2" t="s">
        <v>686</v>
      </c>
      <c r="C386" s="2" t="s">
        <v>21</v>
      </c>
      <c r="D386" s="2" t="s">
        <v>22</v>
      </c>
      <c r="E386" s="2" t="s">
        <v>128</v>
      </c>
      <c r="F386" s="2" t="s">
        <v>24</v>
      </c>
      <c r="G386" s="2" t="s">
        <v>24</v>
      </c>
      <c r="H386" s="2" t="s">
        <v>687</v>
      </c>
      <c r="I386" s="2" t="s">
        <v>685</v>
      </c>
      <c r="J386" s="2" t="s">
        <v>26</v>
      </c>
      <c r="K386" s="2" t="s">
        <v>688</v>
      </c>
      <c r="L386" s="3">
        <v>46089.0</v>
      </c>
      <c r="M386" s="2">
        <v>30.99</v>
      </c>
      <c r="N386" s="2">
        <v>30.99</v>
      </c>
      <c r="O386" s="2">
        <v>22.0</v>
      </c>
      <c r="P386" s="2">
        <v>21.0</v>
      </c>
      <c r="Q386" s="2" t="s">
        <v>689</v>
      </c>
      <c r="R386" s="2" t="s">
        <v>24</v>
      </c>
      <c r="S386" s="2" t="b">
        <f>COUNTIF('Marcas Target'!A:A,dados!$E386)&gt;0</f>
        <v>1</v>
      </c>
    </row>
    <row r="387" ht="15.75" customHeight="1">
      <c r="A387" s="2" t="s">
        <v>685</v>
      </c>
      <c r="B387" s="2" t="s">
        <v>686</v>
      </c>
      <c r="C387" s="2" t="s">
        <v>21</v>
      </c>
      <c r="D387" s="2" t="s">
        <v>22</v>
      </c>
      <c r="E387" s="2" t="s">
        <v>128</v>
      </c>
      <c r="F387" s="2" t="s">
        <v>24</v>
      </c>
      <c r="G387" s="2" t="s">
        <v>24</v>
      </c>
      <c r="H387" s="2" t="s">
        <v>687</v>
      </c>
      <c r="I387" s="2" t="s">
        <v>685</v>
      </c>
      <c r="J387" s="2" t="s">
        <v>26</v>
      </c>
      <c r="K387" s="2" t="s">
        <v>688</v>
      </c>
      <c r="L387" s="3">
        <v>46088.0</v>
      </c>
      <c r="M387" s="2">
        <v>30.99</v>
      </c>
      <c r="N387" s="2">
        <v>30.99</v>
      </c>
      <c r="O387" s="2">
        <v>24.0</v>
      </c>
      <c r="P387" s="2">
        <v>24.0</v>
      </c>
      <c r="Q387" s="2" t="s">
        <v>689</v>
      </c>
      <c r="R387" s="2" t="s">
        <v>24</v>
      </c>
      <c r="S387" s="2" t="b">
        <f>COUNTIF('Marcas Target'!A:A,dados!$E387)&gt;0</f>
        <v>1</v>
      </c>
    </row>
    <row r="388" ht="15.75" customHeight="1">
      <c r="A388" s="2" t="s">
        <v>685</v>
      </c>
      <c r="B388" s="2" t="s">
        <v>686</v>
      </c>
      <c r="C388" s="2" t="s">
        <v>21</v>
      </c>
      <c r="D388" s="2" t="s">
        <v>22</v>
      </c>
      <c r="E388" s="2" t="s">
        <v>128</v>
      </c>
      <c r="F388" s="2" t="s">
        <v>24</v>
      </c>
      <c r="G388" s="2" t="s">
        <v>24</v>
      </c>
      <c r="H388" s="2" t="s">
        <v>687</v>
      </c>
      <c r="I388" s="2" t="s">
        <v>685</v>
      </c>
      <c r="J388" s="2" t="s">
        <v>26</v>
      </c>
      <c r="K388" s="2" t="s">
        <v>688</v>
      </c>
      <c r="L388" s="3">
        <v>46087.0</v>
      </c>
      <c r="M388" s="2">
        <v>30.99</v>
      </c>
      <c r="N388" s="2">
        <v>30.99</v>
      </c>
      <c r="O388" s="2">
        <v>3.0</v>
      </c>
      <c r="P388" s="2">
        <v>2.0</v>
      </c>
      <c r="Q388" s="2" t="s">
        <v>689</v>
      </c>
      <c r="R388" s="2" t="s">
        <v>24</v>
      </c>
      <c r="S388" s="2" t="b">
        <f>COUNTIF('Marcas Target'!A:A,dados!$E388)&gt;0</f>
        <v>1</v>
      </c>
    </row>
    <row r="389" ht="15.75" customHeight="1">
      <c r="A389" s="2" t="s">
        <v>690</v>
      </c>
      <c r="B389" s="2" t="s">
        <v>691</v>
      </c>
      <c r="C389" s="2" t="s">
        <v>21</v>
      </c>
      <c r="D389" s="2" t="s">
        <v>22</v>
      </c>
      <c r="E389" s="2" t="s">
        <v>145</v>
      </c>
      <c r="F389" s="2" t="s">
        <v>24</v>
      </c>
      <c r="G389" s="2" t="s">
        <v>24</v>
      </c>
      <c r="H389" s="2" t="s">
        <v>692</v>
      </c>
      <c r="I389" s="2" t="s">
        <v>690</v>
      </c>
      <c r="J389" s="2" t="s">
        <v>26</v>
      </c>
      <c r="K389" s="2" t="s">
        <v>693</v>
      </c>
      <c r="L389" s="3">
        <v>46089.0</v>
      </c>
      <c r="M389" s="2">
        <v>30.99</v>
      </c>
      <c r="N389" s="2">
        <v>30.99</v>
      </c>
      <c r="O389" s="2">
        <v>22.0</v>
      </c>
      <c r="P389" s="2">
        <v>21.0</v>
      </c>
      <c r="Q389" s="2" t="s">
        <v>694</v>
      </c>
      <c r="R389" s="2" t="s">
        <v>24</v>
      </c>
      <c r="S389" s="2" t="b">
        <f>COUNTIF('Marcas Target'!A:A,dados!$E389)&gt;0</f>
        <v>1</v>
      </c>
    </row>
    <row r="390" ht="15.75" customHeight="1">
      <c r="A390" s="2" t="s">
        <v>690</v>
      </c>
      <c r="B390" s="2" t="s">
        <v>691</v>
      </c>
      <c r="C390" s="2" t="s">
        <v>21</v>
      </c>
      <c r="D390" s="2" t="s">
        <v>22</v>
      </c>
      <c r="E390" s="2" t="s">
        <v>145</v>
      </c>
      <c r="F390" s="2" t="s">
        <v>24</v>
      </c>
      <c r="G390" s="2" t="s">
        <v>24</v>
      </c>
      <c r="H390" s="2" t="s">
        <v>692</v>
      </c>
      <c r="I390" s="2" t="s">
        <v>690</v>
      </c>
      <c r="J390" s="2" t="s">
        <v>26</v>
      </c>
      <c r="K390" s="2" t="s">
        <v>693</v>
      </c>
      <c r="L390" s="3">
        <v>46088.0</v>
      </c>
      <c r="M390" s="2">
        <v>30.99</v>
      </c>
      <c r="N390" s="2">
        <v>30.99</v>
      </c>
      <c r="O390" s="2">
        <v>24.0</v>
      </c>
      <c r="P390" s="2">
        <v>23.0</v>
      </c>
      <c r="Q390" s="2" t="s">
        <v>694</v>
      </c>
      <c r="R390" s="2" t="s">
        <v>24</v>
      </c>
      <c r="S390" s="2" t="b">
        <f>COUNTIF('Marcas Target'!A:A,dados!$E390)&gt;0</f>
        <v>1</v>
      </c>
    </row>
    <row r="391" ht="15.75" customHeight="1">
      <c r="A391" s="2" t="s">
        <v>690</v>
      </c>
      <c r="B391" s="2" t="s">
        <v>691</v>
      </c>
      <c r="C391" s="2" t="s">
        <v>21</v>
      </c>
      <c r="D391" s="2" t="s">
        <v>22</v>
      </c>
      <c r="E391" s="2" t="s">
        <v>145</v>
      </c>
      <c r="F391" s="2" t="s">
        <v>24</v>
      </c>
      <c r="G391" s="2" t="s">
        <v>24</v>
      </c>
      <c r="H391" s="2" t="s">
        <v>692</v>
      </c>
      <c r="I391" s="2" t="s">
        <v>690</v>
      </c>
      <c r="J391" s="2" t="s">
        <v>26</v>
      </c>
      <c r="K391" s="2" t="s">
        <v>693</v>
      </c>
      <c r="L391" s="3">
        <v>46087.0</v>
      </c>
      <c r="M391" s="2">
        <v>30.99</v>
      </c>
      <c r="N391" s="2">
        <v>30.99</v>
      </c>
      <c r="O391" s="2">
        <v>3.0</v>
      </c>
      <c r="P391" s="2">
        <v>2.0</v>
      </c>
      <c r="Q391" s="2" t="s">
        <v>694</v>
      </c>
      <c r="R391" s="2" t="s">
        <v>24</v>
      </c>
      <c r="S391" s="2" t="b">
        <f>COUNTIF('Marcas Target'!A:A,dados!$E391)&gt;0</f>
        <v>1</v>
      </c>
    </row>
    <row r="392" ht="15.75" customHeight="1">
      <c r="A392" s="2" t="s">
        <v>695</v>
      </c>
      <c r="B392" s="2" t="s">
        <v>696</v>
      </c>
      <c r="C392" s="2" t="s">
        <v>21</v>
      </c>
      <c r="D392" s="2" t="s">
        <v>22</v>
      </c>
      <c r="E392" s="2" t="s">
        <v>145</v>
      </c>
      <c r="F392" s="2" t="s">
        <v>24</v>
      </c>
      <c r="G392" s="2" t="s">
        <v>24</v>
      </c>
      <c r="H392" s="2" t="s">
        <v>697</v>
      </c>
      <c r="I392" s="2" t="s">
        <v>695</v>
      </c>
      <c r="J392" s="2" t="s">
        <v>26</v>
      </c>
      <c r="K392" s="2" t="s">
        <v>698</v>
      </c>
      <c r="L392" s="3">
        <v>46089.0</v>
      </c>
      <c r="M392" s="2">
        <v>30.99</v>
      </c>
      <c r="N392" s="2">
        <v>30.99</v>
      </c>
      <c r="O392" s="2">
        <v>22.0</v>
      </c>
      <c r="P392" s="2">
        <v>22.0</v>
      </c>
      <c r="Q392" s="2" t="s">
        <v>699</v>
      </c>
      <c r="R392" s="2" t="s">
        <v>24</v>
      </c>
      <c r="S392" s="2" t="b">
        <f>COUNTIF('Marcas Target'!A:A,dados!$E392)&gt;0</f>
        <v>1</v>
      </c>
    </row>
    <row r="393" ht="15.75" customHeight="1">
      <c r="A393" s="2" t="s">
        <v>695</v>
      </c>
      <c r="B393" s="2" t="s">
        <v>696</v>
      </c>
      <c r="C393" s="2" t="s">
        <v>21</v>
      </c>
      <c r="D393" s="2" t="s">
        <v>22</v>
      </c>
      <c r="E393" s="2" t="s">
        <v>145</v>
      </c>
      <c r="F393" s="2" t="s">
        <v>24</v>
      </c>
      <c r="G393" s="2" t="s">
        <v>24</v>
      </c>
      <c r="H393" s="2" t="s">
        <v>697</v>
      </c>
      <c r="I393" s="2" t="s">
        <v>695</v>
      </c>
      <c r="J393" s="2" t="s">
        <v>26</v>
      </c>
      <c r="K393" s="2" t="s">
        <v>698</v>
      </c>
      <c r="L393" s="3">
        <v>46088.0</v>
      </c>
      <c r="M393" s="2">
        <v>30.99</v>
      </c>
      <c r="N393" s="2">
        <v>30.99</v>
      </c>
      <c r="O393" s="2">
        <v>24.0</v>
      </c>
      <c r="P393" s="2">
        <v>24.0</v>
      </c>
      <c r="Q393" s="2" t="s">
        <v>699</v>
      </c>
      <c r="R393" s="2" t="s">
        <v>24</v>
      </c>
      <c r="S393" s="2" t="b">
        <f>COUNTIF('Marcas Target'!A:A,dados!$E393)&gt;0</f>
        <v>1</v>
      </c>
    </row>
    <row r="394" ht="15.75" customHeight="1">
      <c r="A394" s="2" t="s">
        <v>695</v>
      </c>
      <c r="B394" s="2" t="s">
        <v>696</v>
      </c>
      <c r="C394" s="2" t="s">
        <v>21</v>
      </c>
      <c r="D394" s="2" t="s">
        <v>22</v>
      </c>
      <c r="E394" s="2" t="s">
        <v>145</v>
      </c>
      <c r="F394" s="2" t="s">
        <v>24</v>
      </c>
      <c r="G394" s="2" t="s">
        <v>24</v>
      </c>
      <c r="H394" s="2" t="s">
        <v>697</v>
      </c>
      <c r="I394" s="2" t="s">
        <v>695</v>
      </c>
      <c r="J394" s="2" t="s">
        <v>26</v>
      </c>
      <c r="K394" s="2" t="s">
        <v>698</v>
      </c>
      <c r="L394" s="3">
        <v>46087.0</v>
      </c>
      <c r="M394" s="2">
        <v>30.99</v>
      </c>
      <c r="N394" s="2">
        <v>30.99</v>
      </c>
      <c r="O394" s="2">
        <v>3.0</v>
      </c>
      <c r="P394" s="2">
        <v>2.0</v>
      </c>
      <c r="Q394" s="2" t="s">
        <v>699</v>
      </c>
      <c r="R394" s="2" t="s">
        <v>24</v>
      </c>
      <c r="S394" s="2" t="b">
        <f>COUNTIF('Marcas Target'!A:A,dados!$E394)&gt;0</f>
        <v>1</v>
      </c>
    </row>
    <row r="395" ht="15.75" customHeight="1">
      <c r="A395" s="2" t="s">
        <v>700</v>
      </c>
      <c r="B395" s="2" t="s">
        <v>701</v>
      </c>
      <c r="C395" s="2" t="s">
        <v>21</v>
      </c>
      <c r="D395" s="2" t="s">
        <v>22</v>
      </c>
      <c r="E395" s="2" t="s">
        <v>378</v>
      </c>
      <c r="F395" s="2" t="s">
        <v>24</v>
      </c>
      <c r="G395" s="2" t="s">
        <v>24</v>
      </c>
      <c r="H395" s="2" t="s">
        <v>702</v>
      </c>
      <c r="I395" s="2" t="s">
        <v>700</v>
      </c>
      <c r="J395" s="2" t="s">
        <v>26</v>
      </c>
      <c r="K395" s="2" t="s">
        <v>703</v>
      </c>
      <c r="L395" s="3">
        <v>46089.0</v>
      </c>
      <c r="M395" s="2">
        <v>30.99</v>
      </c>
      <c r="N395" s="2">
        <v>30.99</v>
      </c>
      <c r="O395" s="2">
        <v>22.0</v>
      </c>
      <c r="P395" s="2">
        <v>12.0</v>
      </c>
      <c r="Q395" s="2" t="s">
        <v>704</v>
      </c>
      <c r="R395" s="2" t="s">
        <v>24</v>
      </c>
      <c r="S395" s="2" t="b">
        <f>COUNTIF('Marcas Target'!A:A,dados!$E395)&gt;0</f>
        <v>0</v>
      </c>
    </row>
    <row r="396" ht="15.75" customHeight="1">
      <c r="A396" s="2" t="s">
        <v>700</v>
      </c>
      <c r="B396" s="2" t="s">
        <v>701</v>
      </c>
      <c r="C396" s="2" t="s">
        <v>21</v>
      </c>
      <c r="D396" s="2" t="s">
        <v>22</v>
      </c>
      <c r="E396" s="2" t="s">
        <v>378</v>
      </c>
      <c r="F396" s="2" t="s">
        <v>24</v>
      </c>
      <c r="G396" s="2" t="s">
        <v>24</v>
      </c>
      <c r="H396" s="2" t="s">
        <v>702</v>
      </c>
      <c r="I396" s="2" t="s">
        <v>700</v>
      </c>
      <c r="J396" s="2" t="s">
        <v>26</v>
      </c>
      <c r="K396" s="2" t="s">
        <v>703</v>
      </c>
      <c r="L396" s="3">
        <v>46088.0</v>
      </c>
      <c r="M396" s="2">
        <v>30.99</v>
      </c>
      <c r="N396" s="2">
        <v>30.99</v>
      </c>
      <c r="O396" s="2">
        <v>24.0</v>
      </c>
      <c r="P396" s="2">
        <v>18.0</v>
      </c>
      <c r="Q396" s="2" t="s">
        <v>704</v>
      </c>
      <c r="R396" s="2" t="s">
        <v>24</v>
      </c>
      <c r="S396" s="2" t="b">
        <f>COUNTIF('Marcas Target'!A:A,dados!$E396)&gt;0</f>
        <v>0</v>
      </c>
    </row>
    <row r="397" ht="15.75" customHeight="1">
      <c r="A397" s="2" t="s">
        <v>700</v>
      </c>
      <c r="B397" s="2" t="s">
        <v>701</v>
      </c>
      <c r="C397" s="2" t="s">
        <v>21</v>
      </c>
      <c r="D397" s="2" t="s">
        <v>22</v>
      </c>
      <c r="E397" s="2" t="s">
        <v>378</v>
      </c>
      <c r="F397" s="2" t="s">
        <v>24</v>
      </c>
      <c r="G397" s="2" t="s">
        <v>24</v>
      </c>
      <c r="H397" s="2" t="s">
        <v>702</v>
      </c>
      <c r="I397" s="2" t="s">
        <v>700</v>
      </c>
      <c r="J397" s="2" t="s">
        <v>26</v>
      </c>
      <c r="K397" s="2" t="s">
        <v>703</v>
      </c>
      <c r="L397" s="3">
        <v>46087.0</v>
      </c>
      <c r="M397" s="2">
        <v>30.99</v>
      </c>
      <c r="N397" s="2">
        <v>30.99</v>
      </c>
      <c r="O397" s="2">
        <v>3.0</v>
      </c>
      <c r="P397" s="2">
        <v>1.0</v>
      </c>
      <c r="Q397" s="2" t="s">
        <v>704</v>
      </c>
      <c r="R397" s="2" t="s">
        <v>24</v>
      </c>
      <c r="S397" s="2" t="b">
        <f>COUNTIF('Marcas Target'!A:A,dados!$E397)&gt;0</f>
        <v>0</v>
      </c>
    </row>
    <row r="398" ht="15.75" customHeight="1">
      <c r="A398" s="2" t="s">
        <v>705</v>
      </c>
      <c r="B398" s="2" t="s">
        <v>706</v>
      </c>
      <c r="C398" s="2" t="s">
        <v>21</v>
      </c>
      <c r="D398" s="2" t="s">
        <v>22</v>
      </c>
      <c r="E398" s="2" t="s">
        <v>227</v>
      </c>
      <c r="F398" s="2" t="s">
        <v>24</v>
      </c>
      <c r="G398" s="2" t="s">
        <v>24</v>
      </c>
      <c r="H398" s="2" t="s">
        <v>707</v>
      </c>
      <c r="I398" s="2" t="s">
        <v>705</v>
      </c>
      <c r="J398" s="2" t="s">
        <v>26</v>
      </c>
      <c r="K398" s="2" t="s">
        <v>708</v>
      </c>
      <c r="L398" s="3">
        <v>46089.0</v>
      </c>
      <c r="M398" s="2">
        <v>23.99</v>
      </c>
      <c r="N398" s="2">
        <v>23.99</v>
      </c>
      <c r="O398" s="2">
        <v>22.0</v>
      </c>
      <c r="P398" s="2">
        <v>22.0</v>
      </c>
      <c r="Q398" s="2" t="s">
        <v>709</v>
      </c>
      <c r="R398" s="2" t="s">
        <v>24</v>
      </c>
      <c r="S398" s="2" t="b">
        <f>COUNTIF('Marcas Target'!A:A,dados!$E398)&gt;0</f>
        <v>0</v>
      </c>
    </row>
    <row r="399" ht="15.75" customHeight="1">
      <c r="A399" s="2" t="s">
        <v>705</v>
      </c>
      <c r="B399" s="2" t="s">
        <v>706</v>
      </c>
      <c r="C399" s="2" t="s">
        <v>21</v>
      </c>
      <c r="D399" s="2" t="s">
        <v>22</v>
      </c>
      <c r="E399" s="2" t="s">
        <v>227</v>
      </c>
      <c r="F399" s="2" t="s">
        <v>24</v>
      </c>
      <c r="G399" s="2" t="s">
        <v>24</v>
      </c>
      <c r="H399" s="2" t="s">
        <v>707</v>
      </c>
      <c r="I399" s="2" t="s">
        <v>705</v>
      </c>
      <c r="J399" s="2" t="s">
        <v>26</v>
      </c>
      <c r="K399" s="2" t="s">
        <v>708</v>
      </c>
      <c r="L399" s="3">
        <v>46088.0</v>
      </c>
      <c r="M399" s="2">
        <v>23.99</v>
      </c>
      <c r="N399" s="2">
        <v>23.99</v>
      </c>
      <c r="O399" s="2">
        <v>23.0</v>
      </c>
      <c r="P399" s="2">
        <v>22.0</v>
      </c>
      <c r="Q399" s="2" t="s">
        <v>709</v>
      </c>
      <c r="R399" s="2" t="s">
        <v>24</v>
      </c>
      <c r="S399" s="2" t="b">
        <f>COUNTIF('Marcas Target'!A:A,dados!$E399)&gt;0</f>
        <v>0</v>
      </c>
    </row>
    <row r="400" ht="15.75" customHeight="1">
      <c r="A400" s="2" t="s">
        <v>705</v>
      </c>
      <c r="B400" s="2" t="s">
        <v>706</v>
      </c>
      <c r="C400" s="2" t="s">
        <v>21</v>
      </c>
      <c r="D400" s="2" t="s">
        <v>22</v>
      </c>
      <c r="E400" s="2" t="s">
        <v>227</v>
      </c>
      <c r="F400" s="2" t="s">
        <v>24</v>
      </c>
      <c r="G400" s="2" t="s">
        <v>24</v>
      </c>
      <c r="H400" s="2" t="s">
        <v>707</v>
      </c>
      <c r="I400" s="2" t="s">
        <v>705</v>
      </c>
      <c r="J400" s="2" t="s">
        <v>26</v>
      </c>
      <c r="K400" s="2" t="s">
        <v>708</v>
      </c>
      <c r="L400" s="3">
        <v>46087.0</v>
      </c>
      <c r="M400" s="2">
        <v>23.99</v>
      </c>
      <c r="N400" s="2">
        <v>23.99</v>
      </c>
      <c r="O400" s="2">
        <v>3.0</v>
      </c>
      <c r="P400" s="2">
        <v>2.0</v>
      </c>
      <c r="Q400" s="2" t="s">
        <v>709</v>
      </c>
      <c r="R400" s="2" t="s">
        <v>24</v>
      </c>
      <c r="S400" s="2" t="b">
        <f>COUNTIF('Marcas Target'!A:A,dados!$E400)&gt;0</f>
        <v>0</v>
      </c>
    </row>
    <row r="401" ht="15.75" customHeight="1">
      <c r="A401" s="2" t="s">
        <v>710</v>
      </c>
      <c r="B401" s="2" t="s">
        <v>711</v>
      </c>
      <c r="C401" s="2" t="s">
        <v>21</v>
      </c>
      <c r="D401" s="2" t="s">
        <v>22</v>
      </c>
      <c r="E401" s="2" t="s">
        <v>227</v>
      </c>
      <c r="F401" s="2" t="s">
        <v>24</v>
      </c>
      <c r="G401" s="2" t="s">
        <v>24</v>
      </c>
      <c r="H401" s="2" t="s">
        <v>712</v>
      </c>
      <c r="I401" s="2" t="s">
        <v>710</v>
      </c>
      <c r="J401" s="2" t="s">
        <v>26</v>
      </c>
      <c r="K401" s="2" t="s">
        <v>713</v>
      </c>
      <c r="L401" s="3">
        <v>46089.0</v>
      </c>
      <c r="M401" s="2">
        <v>25.99</v>
      </c>
      <c r="N401" s="2">
        <v>25.99</v>
      </c>
      <c r="O401" s="2">
        <v>22.0</v>
      </c>
      <c r="P401" s="2">
        <v>22.0</v>
      </c>
      <c r="Q401" s="2" t="s">
        <v>714</v>
      </c>
      <c r="R401" s="2" t="s">
        <v>24</v>
      </c>
      <c r="S401" s="2" t="b">
        <f>COUNTIF('Marcas Target'!A:A,dados!$E401)&gt;0</f>
        <v>0</v>
      </c>
    </row>
    <row r="402" ht="15.75" customHeight="1">
      <c r="A402" s="2" t="s">
        <v>710</v>
      </c>
      <c r="B402" s="2" t="s">
        <v>711</v>
      </c>
      <c r="C402" s="2" t="s">
        <v>21</v>
      </c>
      <c r="D402" s="2" t="s">
        <v>22</v>
      </c>
      <c r="E402" s="2" t="s">
        <v>227</v>
      </c>
      <c r="F402" s="2" t="s">
        <v>24</v>
      </c>
      <c r="G402" s="2" t="s">
        <v>24</v>
      </c>
      <c r="H402" s="2" t="s">
        <v>712</v>
      </c>
      <c r="I402" s="2" t="s">
        <v>710</v>
      </c>
      <c r="J402" s="2" t="s">
        <v>26</v>
      </c>
      <c r="K402" s="2" t="s">
        <v>713</v>
      </c>
      <c r="L402" s="3">
        <v>46088.0</v>
      </c>
      <c r="M402" s="2">
        <v>25.99</v>
      </c>
      <c r="N402" s="2">
        <v>25.99</v>
      </c>
      <c r="O402" s="2">
        <v>24.0</v>
      </c>
      <c r="P402" s="2">
        <v>17.0</v>
      </c>
      <c r="Q402" s="2" t="s">
        <v>714</v>
      </c>
      <c r="R402" s="2" t="s">
        <v>24</v>
      </c>
      <c r="S402" s="2" t="b">
        <f>COUNTIF('Marcas Target'!A:A,dados!$E402)&gt;0</f>
        <v>0</v>
      </c>
    </row>
    <row r="403" ht="15.75" customHeight="1">
      <c r="A403" s="2" t="s">
        <v>710</v>
      </c>
      <c r="B403" s="2" t="s">
        <v>711</v>
      </c>
      <c r="C403" s="2" t="s">
        <v>21</v>
      </c>
      <c r="D403" s="2" t="s">
        <v>22</v>
      </c>
      <c r="E403" s="2" t="s">
        <v>227</v>
      </c>
      <c r="F403" s="2" t="s">
        <v>24</v>
      </c>
      <c r="G403" s="2" t="s">
        <v>24</v>
      </c>
      <c r="H403" s="2" t="s">
        <v>712</v>
      </c>
      <c r="I403" s="2" t="s">
        <v>710</v>
      </c>
      <c r="J403" s="2" t="s">
        <v>26</v>
      </c>
      <c r="K403" s="2" t="s">
        <v>713</v>
      </c>
      <c r="L403" s="3">
        <v>46087.0</v>
      </c>
      <c r="M403" s="2">
        <v>25.99</v>
      </c>
      <c r="N403" s="2">
        <v>25.99</v>
      </c>
      <c r="O403" s="2">
        <v>3.0</v>
      </c>
      <c r="P403" s="2">
        <v>3.0</v>
      </c>
      <c r="Q403" s="2" t="s">
        <v>714</v>
      </c>
      <c r="R403" s="2" t="s">
        <v>24</v>
      </c>
      <c r="S403" s="2" t="b">
        <f>COUNTIF('Marcas Target'!A:A,dados!$E403)&gt;0</f>
        <v>0</v>
      </c>
    </row>
    <row r="404" ht="15.75" customHeight="1">
      <c r="A404" s="2" t="s">
        <v>715</v>
      </c>
      <c r="B404" s="2" t="s">
        <v>716</v>
      </c>
      <c r="C404" s="2" t="s">
        <v>21</v>
      </c>
      <c r="D404" s="2" t="s">
        <v>22</v>
      </c>
      <c r="E404" s="2" t="s">
        <v>717</v>
      </c>
      <c r="F404" s="2" t="s">
        <v>24</v>
      </c>
      <c r="G404" s="2" t="s">
        <v>24</v>
      </c>
      <c r="H404" s="2" t="s">
        <v>718</v>
      </c>
      <c r="I404" s="2" t="s">
        <v>715</v>
      </c>
      <c r="J404" s="2" t="s">
        <v>26</v>
      </c>
      <c r="K404" s="2" t="s">
        <v>719</v>
      </c>
      <c r="L404" s="3">
        <v>46089.0</v>
      </c>
      <c r="M404" s="2">
        <v>39.99</v>
      </c>
      <c r="N404" s="2">
        <v>39.99</v>
      </c>
      <c r="O404" s="2">
        <v>23.0</v>
      </c>
      <c r="P404" s="2">
        <v>20.0</v>
      </c>
      <c r="Q404" s="2" t="s">
        <v>720</v>
      </c>
      <c r="R404" s="2" t="s">
        <v>24</v>
      </c>
      <c r="S404" s="2" t="b">
        <f>COUNTIF('Marcas Target'!A:A,dados!$E404)&gt;0</f>
        <v>0</v>
      </c>
    </row>
    <row r="405" ht="15.75" customHeight="1">
      <c r="A405" s="2" t="s">
        <v>715</v>
      </c>
      <c r="B405" s="2" t="s">
        <v>716</v>
      </c>
      <c r="C405" s="2" t="s">
        <v>21</v>
      </c>
      <c r="D405" s="2" t="s">
        <v>22</v>
      </c>
      <c r="E405" s="2" t="s">
        <v>717</v>
      </c>
      <c r="F405" s="2" t="s">
        <v>24</v>
      </c>
      <c r="G405" s="2" t="s">
        <v>24</v>
      </c>
      <c r="H405" s="2" t="s">
        <v>718</v>
      </c>
      <c r="I405" s="2" t="s">
        <v>715</v>
      </c>
      <c r="J405" s="2" t="s">
        <v>26</v>
      </c>
      <c r="K405" s="2" t="s">
        <v>719</v>
      </c>
      <c r="L405" s="3">
        <v>46088.0</v>
      </c>
      <c r="M405" s="2">
        <v>39.99</v>
      </c>
      <c r="N405" s="2">
        <v>39.99</v>
      </c>
      <c r="O405" s="2">
        <v>24.0</v>
      </c>
      <c r="P405" s="2">
        <v>24.0</v>
      </c>
      <c r="Q405" s="2" t="s">
        <v>720</v>
      </c>
      <c r="R405" s="2" t="s">
        <v>24</v>
      </c>
      <c r="S405" s="2" t="b">
        <f>COUNTIF('Marcas Target'!A:A,dados!$E405)&gt;0</f>
        <v>0</v>
      </c>
    </row>
    <row r="406" ht="15.75" customHeight="1">
      <c r="A406" s="2" t="s">
        <v>715</v>
      </c>
      <c r="B406" s="2" t="s">
        <v>716</v>
      </c>
      <c r="C406" s="2" t="s">
        <v>21</v>
      </c>
      <c r="D406" s="2" t="s">
        <v>22</v>
      </c>
      <c r="E406" s="2" t="s">
        <v>717</v>
      </c>
      <c r="F406" s="2" t="s">
        <v>24</v>
      </c>
      <c r="G406" s="2" t="s">
        <v>24</v>
      </c>
      <c r="H406" s="2" t="s">
        <v>718</v>
      </c>
      <c r="I406" s="2" t="s">
        <v>715</v>
      </c>
      <c r="J406" s="2" t="s">
        <v>26</v>
      </c>
      <c r="K406" s="2" t="s">
        <v>719</v>
      </c>
      <c r="L406" s="3">
        <v>46087.0</v>
      </c>
      <c r="M406" s="2">
        <v>39.99</v>
      </c>
      <c r="N406" s="2">
        <v>39.99</v>
      </c>
      <c r="O406" s="2">
        <v>3.0</v>
      </c>
      <c r="P406" s="2">
        <v>3.0</v>
      </c>
      <c r="Q406" s="2" t="s">
        <v>720</v>
      </c>
      <c r="R406" s="2" t="s">
        <v>24</v>
      </c>
      <c r="S406" s="2" t="b">
        <f>COUNTIF('Marcas Target'!A:A,dados!$E406)&gt;0</f>
        <v>0</v>
      </c>
    </row>
    <row r="407" ht="15.75" customHeight="1">
      <c r="A407" s="2" t="s">
        <v>721</v>
      </c>
      <c r="B407" s="2" t="s">
        <v>722</v>
      </c>
      <c r="C407" s="2" t="s">
        <v>21</v>
      </c>
      <c r="D407" s="2" t="s">
        <v>22</v>
      </c>
      <c r="E407" s="2" t="s">
        <v>227</v>
      </c>
      <c r="F407" s="2" t="s">
        <v>24</v>
      </c>
      <c r="G407" s="2" t="s">
        <v>24</v>
      </c>
      <c r="H407" s="2" t="s">
        <v>723</v>
      </c>
      <c r="I407" s="2" t="s">
        <v>721</v>
      </c>
      <c r="J407" s="2" t="s">
        <v>26</v>
      </c>
      <c r="K407" s="2" t="s">
        <v>724</v>
      </c>
      <c r="L407" s="3">
        <v>46089.0</v>
      </c>
      <c r="M407" s="2">
        <v>23.99</v>
      </c>
      <c r="N407" s="2">
        <v>23.99</v>
      </c>
      <c r="O407" s="2">
        <v>22.0</v>
      </c>
      <c r="P407" s="2">
        <v>19.0</v>
      </c>
      <c r="Q407" s="2" t="s">
        <v>725</v>
      </c>
      <c r="R407" s="2" t="s">
        <v>24</v>
      </c>
      <c r="S407" s="2" t="b">
        <f>COUNTIF('Marcas Target'!A:A,dados!$E407)&gt;0</f>
        <v>0</v>
      </c>
    </row>
    <row r="408" ht="15.75" customHeight="1">
      <c r="A408" s="2" t="s">
        <v>721</v>
      </c>
      <c r="B408" s="2" t="s">
        <v>722</v>
      </c>
      <c r="C408" s="2" t="s">
        <v>21</v>
      </c>
      <c r="D408" s="2" t="s">
        <v>22</v>
      </c>
      <c r="E408" s="2" t="s">
        <v>227</v>
      </c>
      <c r="F408" s="2" t="s">
        <v>24</v>
      </c>
      <c r="G408" s="2" t="s">
        <v>24</v>
      </c>
      <c r="H408" s="2" t="s">
        <v>723</v>
      </c>
      <c r="I408" s="2" t="s">
        <v>721</v>
      </c>
      <c r="J408" s="2" t="s">
        <v>26</v>
      </c>
      <c r="K408" s="2" t="s">
        <v>724</v>
      </c>
      <c r="L408" s="3">
        <v>46088.0</v>
      </c>
      <c r="M408" s="2">
        <v>23.99</v>
      </c>
      <c r="N408" s="2">
        <v>23.99</v>
      </c>
      <c r="O408" s="2">
        <v>24.0</v>
      </c>
      <c r="P408" s="2">
        <v>20.0</v>
      </c>
      <c r="Q408" s="2" t="s">
        <v>725</v>
      </c>
      <c r="R408" s="2" t="s">
        <v>24</v>
      </c>
      <c r="S408" s="2" t="b">
        <f>COUNTIF('Marcas Target'!A:A,dados!$E408)&gt;0</f>
        <v>0</v>
      </c>
    </row>
    <row r="409" ht="15.75" customHeight="1">
      <c r="A409" s="2" t="s">
        <v>721</v>
      </c>
      <c r="B409" s="2" t="s">
        <v>722</v>
      </c>
      <c r="C409" s="2" t="s">
        <v>21</v>
      </c>
      <c r="D409" s="2" t="s">
        <v>22</v>
      </c>
      <c r="E409" s="2" t="s">
        <v>227</v>
      </c>
      <c r="F409" s="2" t="s">
        <v>24</v>
      </c>
      <c r="G409" s="2" t="s">
        <v>24</v>
      </c>
      <c r="H409" s="2" t="s">
        <v>723</v>
      </c>
      <c r="I409" s="2" t="s">
        <v>721</v>
      </c>
      <c r="J409" s="2" t="s">
        <v>26</v>
      </c>
      <c r="K409" s="2" t="s">
        <v>724</v>
      </c>
      <c r="L409" s="3">
        <v>46087.0</v>
      </c>
      <c r="M409" s="2">
        <v>23.99</v>
      </c>
      <c r="N409" s="2">
        <v>23.99</v>
      </c>
      <c r="O409" s="2">
        <v>3.0</v>
      </c>
      <c r="P409" s="2">
        <v>2.0</v>
      </c>
      <c r="Q409" s="2" t="s">
        <v>725</v>
      </c>
      <c r="R409" s="2" t="s">
        <v>24</v>
      </c>
      <c r="S409" s="2" t="b">
        <f>COUNTIF('Marcas Target'!A:A,dados!$E409)&gt;0</f>
        <v>0</v>
      </c>
    </row>
    <row r="410" ht="15.75" customHeight="1">
      <c r="A410" s="2" t="s">
        <v>726</v>
      </c>
      <c r="B410" s="2" t="s">
        <v>727</v>
      </c>
      <c r="C410" s="2" t="s">
        <v>21</v>
      </c>
      <c r="D410" s="2" t="s">
        <v>22</v>
      </c>
      <c r="E410" s="2" t="s">
        <v>336</v>
      </c>
      <c r="F410" s="2" t="s">
        <v>24</v>
      </c>
      <c r="G410" s="2" t="s">
        <v>24</v>
      </c>
      <c r="H410" s="2" t="s">
        <v>728</v>
      </c>
      <c r="I410" s="2" t="s">
        <v>726</v>
      </c>
      <c r="J410" s="2" t="s">
        <v>26</v>
      </c>
      <c r="K410" s="2" t="s">
        <v>729</v>
      </c>
      <c r="L410" s="3">
        <v>46089.0</v>
      </c>
      <c r="M410" s="2">
        <v>24.99</v>
      </c>
      <c r="N410" s="2">
        <v>24.99</v>
      </c>
      <c r="O410" s="2">
        <v>22.0</v>
      </c>
      <c r="P410" s="2">
        <v>15.0</v>
      </c>
      <c r="Q410" s="2" t="s">
        <v>730</v>
      </c>
      <c r="R410" s="2" t="s">
        <v>24</v>
      </c>
      <c r="S410" s="2" t="b">
        <f>COUNTIF('Marcas Target'!A:A,dados!$E410)&gt;0</f>
        <v>0</v>
      </c>
    </row>
    <row r="411" ht="15.75" customHeight="1">
      <c r="A411" s="2" t="s">
        <v>726</v>
      </c>
      <c r="B411" s="2" t="s">
        <v>727</v>
      </c>
      <c r="C411" s="2" t="s">
        <v>21</v>
      </c>
      <c r="D411" s="2" t="s">
        <v>22</v>
      </c>
      <c r="E411" s="2" t="s">
        <v>336</v>
      </c>
      <c r="F411" s="2" t="s">
        <v>24</v>
      </c>
      <c r="G411" s="2" t="s">
        <v>24</v>
      </c>
      <c r="H411" s="2" t="s">
        <v>728</v>
      </c>
      <c r="I411" s="2" t="s">
        <v>726</v>
      </c>
      <c r="J411" s="2" t="s">
        <v>26</v>
      </c>
      <c r="K411" s="2" t="s">
        <v>729</v>
      </c>
      <c r="L411" s="3">
        <v>46088.0</v>
      </c>
      <c r="M411" s="2">
        <v>24.99</v>
      </c>
      <c r="N411" s="2">
        <v>24.99</v>
      </c>
      <c r="O411" s="2">
        <v>24.0</v>
      </c>
      <c r="P411" s="2">
        <v>15.0</v>
      </c>
      <c r="Q411" s="2" t="s">
        <v>730</v>
      </c>
      <c r="R411" s="2" t="s">
        <v>24</v>
      </c>
      <c r="S411" s="2" t="b">
        <f>COUNTIF('Marcas Target'!A:A,dados!$E411)&gt;0</f>
        <v>0</v>
      </c>
    </row>
    <row r="412" ht="15.75" customHeight="1">
      <c r="A412" s="2" t="s">
        <v>726</v>
      </c>
      <c r="B412" s="2" t="s">
        <v>727</v>
      </c>
      <c r="C412" s="2" t="s">
        <v>21</v>
      </c>
      <c r="D412" s="2" t="s">
        <v>22</v>
      </c>
      <c r="E412" s="2" t="s">
        <v>336</v>
      </c>
      <c r="F412" s="2" t="s">
        <v>24</v>
      </c>
      <c r="G412" s="2" t="s">
        <v>24</v>
      </c>
      <c r="H412" s="2" t="s">
        <v>728</v>
      </c>
      <c r="I412" s="2" t="s">
        <v>726</v>
      </c>
      <c r="J412" s="2" t="s">
        <v>26</v>
      </c>
      <c r="K412" s="2" t="s">
        <v>729</v>
      </c>
      <c r="L412" s="3">
        <v>46087.0</v>
      </c>
      <c r="M412" s="2">
        <v>24.99</v>
      </c>
      <c r="N412" s="2">
        <v>24.99</v>
      </c>
      <c r="O412" s="2">
        <v>3.0</v>
      </c>
      <c r="P412" s="2">
        <v>1.0</v>
      </c>
      <c r="Q412" s="2" t="s">
        <v>730</v>
      </c>
      <c r="R412" s="2" t="s">
        <v>24</v>
      </c>
      <c r="S412" s="2" t="b">
        <f>COUNTIF('Marcas Target'!A:A,dados!$E412)&gt;0</f>
        <v>0</v>
      </c>
    </row>
    <row r="413" ht="15.75" customHeight="1">
      <c r="A413" s="2" t="s">
        <v>731</v>
      </c>
      <c r="B413" s="2" t="s">
        <v>732</v>
      </c>
      <c r="C413" s="2" t="s">
        <v>21</v>
      </c>
      <c r="D413" s="2" t="s">
        <v>22</v>
      </c>
      <c r="E413" s="2" t="s">
        <v>362</v>
      </c>
      <c r="F413" s="2" t="s">
        <v>24</v>
      </c>
      <c r="G413" s="2" t="s">
        <v>24</v>
      </c>
      <c r="H413" s="2" t="s">
        <v>733</v>
      </c>
      <c r="I413" s="2" t="s">
        <v>731</v>
      </c>
      <c r="J413" s="2" t="s">
        <v>26</v>
      </c>
      <c r="K413" s="2" t="s">
        <v>734</v>
      </c>
      <c r="L413" s="3">
        <v>46089.0</v>
      </c>
      <c r="M413" s="2" t="s">
        <v>24</v>
      </c>
      <c r="N413" s="2" t="s">
        <v>24</v>
      </c>
      <c r="O413" s="2">
        <v>22.0</v>
      </c>
      <c r="P413" s="2">
        <v>0.0</v>
      </c>
      <c r="Q413" s="2" t="s">
        <v>735</v>
      </c>
      <c r="R413" s="2" t="s">
        <v>24</v>
      </c>
      <c r="S413" s="2" t="b">
        <f>COUNTIF('Marcas Target'!A:A,dados!$E413)&gt;0</f>
        <v>0</v>
      </c>
    </row>
    <row r="414" ht="15.75" customHeight="1">
      <c r="A414" s="2" t="s">
        <v>731</v>
      </c>
      <c r="B414" s="2" t="s">
        <v>732</v>
      </c>
      <c r="C414" s="2" t="s">
        <v>21</v>
      </c>
      <c r="D414" s="2" t="s">
        <v>22</v>
      </c>
      <c r="E414" s="2" t="s">
        <v>362</v>
      </c>
      <c r="F414" s="2" t="s">
        <v>24</v>
      </c>
      <c r="G414" s="2" t="s">
        <v>24</v>
      </c>
      <c r="H414" s="2" t="s">
        <v>733</v>
      </c>
      <c r="I414" s="2" t="s">
        <v>731</v>
      </c>
      <c r="J414" s="2" t="s">
        <v>26</v>
      </c>
      <c r="K414" s="2" t="s">
        <v>734</v>
      </c>
      <c r="L414" s="3">
        <v>46088.0</v>
      </c>
      <c r="M414" s="2" t="s">
        <v>24</v>
      </c>
      <c r="N414" s="2" t="s">
        <v>24</v>
      </c>
      <c r="O414" s="2">
        <v>24.0</v>
      </c>
      <c r="P414" s="2">
        <v>0.0</v>
      </c>
      <c r="Q414" s="2" t="s">
        <v>735</v>
      </c>
      <c r="R414" s="2" t="s">
        <v>24</v>
      </c>
      <c r="S414" s="2" t="b">
        <f>COUNTIF('Marcas Target'!A:A,dados!$E414)&gt;0</f>
        <v>0</v>
      </c>
    </row>
    <row r="415" ht="15.75" customHeight="1">
      <c r="A415" s="2" t="s">
        <v>731</v>
      </c>
      <c r="B415" s="2" t="s">
        <v>732</v>
      </c>
      <c r="C415" s="2" t="s">
        <v>21</v>
      </c>
      <c r="D415" s="2" t="s">
        <v>22</v>
      </c>
      <c r="E415" s="2" t="s">
        <v>362</v>
      </c>
      <c r="F415" s="2" t="s">
        <v>24</v>
      </c>
      <c r="G415" s="2" t="s">
        <v>24</v>
      </c>
      <c r="H415" s="2" t="s">
        <v>733</v>
      </c>
      <c r="I415" s="2" t="s">
        <v>731</v>
      </c>
      <c r="J415" s="2" t="s">
        <v>26</v>
      </c>
      <c r="K415" s="2" t="s">
        <v>734</v>
      </c>
      <c r="L415" s="3">
        <v>46087.0</v>
      </c>
      <c r="M415" s="2" t="s">
        <v>24</v>
      </c>
      <c r="N415" s="2" t="s">
        <v>24</v>
      </c>
      <c r="O415" s="2">
        <v>3.0</v>
      </c>
      <c r="P415" s="2">
        <v>0.0</v>
      </c>
      <c r="Q415" s="2" t="s">
        <v>735</v>
      </c>
      <c r="R415" s="2" t="s">
        <v>24</v>
      </c>
      <c r="S415" s="2" t="b">
        <f>COUNTIF('Marcas Target'!A:A,dados!$E415)&gt;0</f>
        <v>0</v>
      </c>
    </row>
    <row r="416" ht="15.75" customHeight="1">
      <c r="A416" s="2" t="s">
        <v>736</v>
      </c>
      <c r="B416" s="2" t="s">
        <v>737</v>
      </c>
      <c r="C416" s="2" t="s">
        <v>21</v>
      </c>
      <c r="D416" s="2" t="s">
        <v>22</v>
      </c>
      <c r="E416" s="2" t="s">
        <v>503</v>
      </c>
      <c r="F416" s="2" t="s">
        <v>24</v>
      </c>
      <c r="G416" s="2" t="s">
        <v>24</v>
      </c>
      <c r="H416" s="2" t="s">
        <v>738</v>
      </c>
      <c r="I416" s="2" t="s">
        <v>736</v>
      </c>
      <c r="J416" s="2" t="s">
        <v>26</v>
      </c>
      <c r="K416" s="2" t="s">
        <v>739</v>
      </c>
      <c r="L416" s="3">
        <v>46089.0</v>
      </c>
      <c r="M416" s="2">
        <v>27.99</v>
      </c>
      <c r="N416" s="2">
        <v>27.99</v>
      </c>
      <c r="O416" s="2">
        <v>22.0</v>
      </c>
      <c r="P416" s="2">
        <v>22.0</v>
      </c>
      <c r="Q416" s="2" t="s">
        <v>740</v>
      </c>
      <c r="R416" s="2" t="s">
        <v>24</v>
      </c>
      <c r="S416" s="2" t="b">
        <f>COUNTIF('Marcas Target'!A:A,dados!$E416)&gt;0</f>
        <v>0</v>
      </c>
    </row>
    <row r="417" ht="15.75" customHeight="1">
      <c r="A417" s="2" t="s">
        <v>736</v>
      </c>
      <c r="B417" s="2" t="s">
        <v>737</v>
      </c>
      <c r="C417" s="2" t="s">
        <v>21</v>
      </c>
      <c r="D417" s="2" t="s">
        <v>22</v>
      </c>
      <c r="E417" s="2" t="s">
        <v>503</v>
      </c>
      <c r="F417" s="2" t="s">
        <v>24</v>
      </c>
      <c r="G417" s="2" t="s">
        <v>24</v>
      </c>
      <c r="H417" s="2" t="s">
        <v>738</v>
      </c>
      <c r="I417" s="2" t="s">
        <v>736</v>
      </c>
      <c r="J417" s="2" t="s">
        <v>26</v>
      </c>
      <c r="K417" s="2" t="s">
        <v>739</v>
      </c>
      <c r="L417" s="3">
        <v>46088.0</v>
      </c>
      <c r="M417" s="2">
        <v>27.99</v>
      </c>
      <c r="N417" s="2">
        <v>27.99</v>
      </c>
      <c r="O417" s="2">
        <v>24.0</v>
      </c>
      <c r="P417" s="2">
        <v>23.0</v>
      </c>
      <c r="Q417" s="2" t="s">
        <v>740</v>
      </c>
      <c r="R417" s="2" t="s">
        <v>24</v>
      </c>
      <c r="S417" s="2" t="b">
        <f>COUNTIF('Marcas Target'!A:A,dados!$E417)&gt;0</f>
        <v>0</v>
      </c>
    </row>
    <row r="418" ht="15.75" customHeight="1">
      <c r="A418" s="2" t="s">
        <v>736</v>
      </c>
      <c r="B418" s="2" t="s">
        <v>737</v>
      </c>
      <c r="C418" s="2" t="s">
        <v>21</v>
      </c>
      <c r="D418" s="2" t="s">
        <v>22</v>
      </c>
      <c r="E418" s="2" t="s">
        <v>503</v>
      </c>
      <c r="F418" s="2" t="s">
        <v>24</v>
      </c>
      <c r="G418" s="2" t="s">
        <v>24</v>
      </c>
      <c r="H418" s="2" t="s">
        <v>738</v>
      </c>
      <c r="I418" s="2" t="s">
        <v>736</v>
      </c>
      <c r="J418" s="2" t="s">
        <v>26</v>
      </c>
      <c r="K418" s="2" t="s">
        <v>739</v>
      </c>
      <c r="L418" s="3">
        <v>46087.0</v>
      </c>
      <c r="M418" s="2">
        <v>27.99</v>
      </c>
      <c r="N418" s="2">
        <v>27.99</v>
      </c>
      <c r="O418" s="2">
        <v>3.0</v>
      </c>
      <c r="P418" s="2">
        <v>3.0</v>
      </c>
      <c r="Q418" s="2" t="s">
        <v>740</v>
      </c>
      <c r="R418" s="2" t="s">
        <v>24</v>
      </c>
      <c r="S418" s="2" t="b">
        <f>COUNTIF('Marcas Target'!A:A,dados!$E418)&gt;0</f>
        <v>0</v>
      </c>
    </row>
    <row r="419" ht="15.75" customHeight="1">
      <c r="A419" s="2" t="s">
        <v>741</v>
      </c>
      <c r="B419" s="2" t="s">
        <v>742</v>
      </c>
      <c r="C419" s="2" t="s">
        <v>21</v>
      </c>
      <c r="D419" s="2" t="s">
        <v>22</v>
      </c>
      <c r="E419" s="2" t="s">
        <v>717</v>
      </c>
      <c r="F419" s="2" t="s">
        <v>24</v>
      </c>
      <c r="G419" s="2" t="s">
        <v>24</v>
      </c>
      <c r="H419" s="2" t="s">
        <v>743</v>
      </c>
      <c r="I419" s="2" t="s">
        <v>741</v>
      </c>
      <c r="J419" s="2" t="s">
        <v>26</v>
      </c>
      <c r="K419" s="2" t="s">
        <v>744</v>
      </c>
      <c r="L419" s="3">
        <v>46089.0</v>
      </c>
      <c r="M419" s="2">
        <v>39.99</v>
      </c>
      <c r="N419" s="2">
        <v>39.99</v>
      </c>
      <c r="O419" s="2">
        <v>22.0</v>
      </c>
      <c r="P419" s="2">
        <v>22.0</v>
      </c>
      <c r="Q419" s="2" t="s">
        <v>745</v>
      </c>
      <c r="R419" s="2" t="s">
        <v>24</v>
      </c>
      <c r="S419" s="2" t="b">
        <f>COUNTIF('Marcas Target'!A:A,dados!$E419)&gt;0</f>
        <v>0</v>
      </c>
    </row>
    <row r="420" ht="15.75" customHeight="1">
      <c r="A420" s="2" t="s">
        <v>741</v>
      </c>
      <c r="B420" s="2" t="s">
        <v>742</v>
      </c>
      <c r="C420" s="2" t="s">
        <v>21</v>
      </c>
      <c r="D420" s="2" t="s">
        <v>22</v>
      </c>
      <c r="E420" s="2" t="s">
        <v>717</v>
      </c>
      <c r="F420" s="2" t="s">
        <v>24</v>
      </c>
      <c r="G420" s="2" t="s">
        <v>24</v>
      </c>
      <c r="H420" s="2" t="s">
        <v>743</v>
      </c>
      <c r="I420" s="2" t="s">
        <v>741</v>
      </c>
      <c r="J420" s="2" t="s">
        <v>26</v>
      </c>
      <c r="K420" s="2" t="s">
        <v>744</v>
      </c>
      <c r="L420" s="3">
        <v>46088.0</v>
      </c>
      <c r="M420" s="2">
        <v>39.99</v>
      </c>
      <c r="N420" s="2">
        <v>39.99</v>
      </c>
      <c r="O420" s="2">
        <v>24.0</v>
      </c>
      <c r="P420" s="2">
        <v>24.0</v>
      </c>
      <c r="Q420" s="2" t="s">
        <v>745</v>
      </c>
      <c r="R420" s="2" t="s">
        <v>24</v>
      </c>
      <c r="S420" s="2" t="b">
        <f>COUNTIF('Marcas Target'!A:A,dados!$E420)&gt;0</f>
        <v>0</v>
      </c>
    </row>
    <row r="421" ht="15.75" customHeight="1">
      <c r="A421" s="2" t="s">
        <v>741</v>
      </c>
      <c r="B421" s="2" t="s">
        <v>742</v>
      </c>
      <c r="C421" s="2" t="s">
        <v>21</v>
      </c>
      <c r="D421" s="2" t="s">
        <v>22</v>
      </c>
      <c r="E421" s="2" t="s">
        <v>717</v>
      </c>
      <c r="F421" s="2" t="s">
        <v>24</v>
      </c>
      <c r="G421" s="2" t="s">
        <v>24</v>
      </c>
      <c r="H421" s="2" t="s">
        <v>743</v>
      </c>
      <c r="I421" s="2" t="s">
        <v>741</v>
      </c>
      <c r="J421" s="2" t="s">
        <v>26</v>
      </c>
      <c r="K421" s="2" t="s">
        <v>744</v>
      </c>
      <c r="L421" s="3">
        <v>46087.0</v>
      </c>
      <c r="M421" s="2">
        <v>39.99</v>
      </c>
      <c r="N421" s="2">
        <v>39.99</v>
      </c>
      <c r="O421" s="2">
        <v>3.0</v>
      </c>
      <c r="P421" s="2">
        <v>3.0</v>
      </c>
      <c r="Q421" s="2" t="s">
        <v>745</v>
      </c>
      <c r="R421" s="2" t="s">
        <v>24</v>
      </c>
      <c r="S421" s="2" t="b">
        <f>COUNTIF('Marcas Target'!A:A,dados!$E421)&gt;0</f>
        <v>0</v>
      </c>
    </row>
    <row r="422" ht="15.75" customHeight="1">
      <c r="A422" s="2" t="s">
        <v>746</v>
      </c>
      <c r="B422" s="2" t="s">
        <v>747</v>
      </c>
      <c r="C422" s="2" t="s">
        <v>21</v>
      </c>
      <c r="D422" s="2" t="s">
        <v>22</v>
      </c>
      <c r="E422" s="2" t="s">
        <v>128</v>
      </c>
      <c r="F422" s="2" t="s">
        <v>24</v>
      </c>
      <c r="G422" s="2" t="s">
        <v>24</v>
      </c>
      <c r="H422" s="2" t="s">
        <v>748</v>
      </c>
      <c r="I422" s="2" t="s">
        <v>746</v>
      </c>
      <c r="J422" s="2" t="s">
        <v>26</v>
      </c>
      <c r="K422" s="2" t="s">
        <v>749</v>
      </c>
      <c r="L422" s="3">
        <v>46089.0</v>
      </c>
      <c r="M422" s="2" t="s">
        <v>24</v>
      </c>
      <c r="N422" s="2" t="s">
        <v>24</v>
      </c>
      <c r="O422" s="2">
        <v>22.0</v>
      </c>
      <c r="P422" s="2">
        <v>0.0</v>
      </c>
      <c r="Q422" s="2" t="s">
        <v>750</v>
      </c>
      <c r="R422" s="2" t="s">
        <v>24</v>
      </c>
      <c r="S422" s="2" t="b">
        <f>COUNTIF('Marcas Target'!A:A,dados!$E422)&gt;0</f>
        <v>1</v>
      </c>
    </row>
    <row r="423" ht="15.75" customHeight="1">
      <c r="A423" s="2" t="s">
        <v>746</v>
      </c>
      <c r="B423" s="2" t="s">
        <v>747</v>
      </c>
      <c r="C423" s="2" t="s">
        <v>21</v>
      </c>
      <c r="D423" s="2" t="s">
        <v>22</v>
      </c>
      <c r="E423" s="2" t="s">
        <v>128</v>
      </c>
      <c r="F423" s="2" t="s">
        <v>24</v>
      </c>
      <c r="G423" s="2" t="s">
        <v>24</v>
      </c>
      <c r="H423" s="2" t="s">
        <v>748</v>
      </c>
      <c r="I423" s="2" t="s">
        <v>746</v>
      </c>
      <c r="J423" s="2" t="s">
        <v>26</v>
      </c>
      <c r="K423" s="2" t="s">
        <v>749</v>
      </c>
      <c r="L423" s="3">
        <v>46088.0</v>
      </c>
      <c r="M423" s="2">
        <v>5.34</v>
      </c>
      <c r="N423" s="2">
        <v>5.34</v>
      </c>
      <c r="O423" s="2">
        <v>24.0</v>
      </c>
      <c r="P423" s="2">
        <v>2.0</v>
      </c>
      <c r="Q423" s="2" t="s">
        <v>750</v>
      </c>
      <c r="R423" s="2" t="s">
        <v>24</v>
      </c>
      <c r="S423" s="2" t="b">
        <f>COUNTIF('Marcas Target'!A:A,dados!$E423)&gt;0</f>
        <v>1</v>
      </c>
    </row>
    <row r="424" ht="15.75" customHeight="1">
      <c r="A424" s="2" t="s">
        <v>746</v>
      </c>
      <c r="B424" s="2" t="s">
        <v>747</v>
      </c>
      <c r="C424" s="2" t="s">
        <v>21</v>
      </c>
      <c r="D424" s="2" t="s">
        <v>22</v>
      </c>
      <c r="E424" s="2" t="s">
        <v>128</v>
      </c>
      <c r="F424" s="2" t="s">
        <v>24</v>
      </c>
      <c r="G424" s="2" t="s">
        <v>24</v>
      </c>
      <c r="H424" s="2" t="s">
        <v>748</v>
      </c>
      <c r="I424" s="2" t="s">
        <v>746</v>
      </c>
      <c r="J424" s="2" t="s">
        <v>26</v>
      </c>
      <c r="K424" s="2" t="s">
        <v>749</v>
      </c>
      <c r="L424" s="3">
        <v>46087.0</v>
      </c>
      <c r="M424" s="2" t="s">
        <v>24</v>
      </c>
      <c r="N424" s="2" t="s">
        <v>24</v>
      </c>
      <c r="O424" s="2">
        <v>3.0</v>
      </c>
      <c r="P424" s="2">
        <v>0.0</v>
      </c>
      <c r="Q424" s="2" t="s">
        <v>750</v>
      </c>
      <c r="R424" s="2" t="s">
        <v>24</v>
      </c>
      <c r="S424" s="2" t="b">
        <f>COUNTIF('Marcas Target'!A:A,dados!$E424)&gt;0</f>
        <v>1</v>
      </c>
    </row>
    <row r="425" ht="15.75" customHeight="1">
      <c r="A425" s="2" t="s">
        <v>751</v>
      </c>
      <c r="B425" s="2" t="s">
        <v>752</v>
      </c>
      <c r="C425" s="2" t="s">
        <v>21</v>
      </c>
      <c r="D425" s="2" t="s">
        <v>22</v>
      </c>
      <c r="E425" s="2" t="s">
        <v>227</v>
      </c>
      <c r="F425" s="2" t="s">
        <v>24</v>
      </c>
      <c r="G425" s="2" t="s">
        <v>24</v>
      </c>
      <c r="H425" s="2" t="s">
        <v>753</v>
      </c>
      <c r="I425" s="2" t="s">
        <v>751</v>
      </c>
      <c r="J425" s="2" t="s">
        <v>26</v>
      </c>
      <c r="K425" s="2" t="s">
        <v>754</v>
      </c>
      <c r="L425" s="3">
        <v>46089.0</v>
      </c>
      <c r="M425" s="2">
        <v>23.99</v>
      </c>
      <c r="N425" s="2">
        <v>23.99</v>
      </c>
      <c r="O425" s="2">
        <v>22.0</v>
      </c>
      <c r="P425" s="2">
        <v>22.0</v>
      </c>
      <c r="Q425" s="2" t="s">
        <v>755</v>
      </c>
      <c r="R425" s="2" t="s">
        <v>24</v>
      </c>
      <c r="S425" s="2" t="b">
        <f>COUNTIF('Marcas Target'!A:A,dados!$E425)&gt;0</f>
        <v>0</v>
      </c>
    </row>
    <row r="426" ht="15.75" customHeight="1">
      <c r="A426" s="2" t="s">
        <v>751</v>
      </c>
      <c r="B426" s="2" t="s">
        <v>752</v>
      </c>
      <c r="C426" s="2" t="s">
        <v>21</v>
      </c>
      <c r="D426" s="2" t="s">
        <v>22</v>
      </c>
      <c r="E426" s="2" t="s">
        <v>227</v>
      </c>
      <c r="F426" s="2" t="s">
        <v>24</v>
      </c>
      <c r="G426" s="2" t="s">
        <v>24</v>
      </c>
      <c r="H426" s="2" t="s">
        <v>753</v>
      </c>
      <c r="I426" s="2" t="s">
        <v>751</v>
      </c>
      <c r="J426" s="2" t="s">
        <v>26</v>
      </c>
      <c r="K426" s="2" t="s">
        <v>754</v>
      </c>
      <c r="L426" s="3">
        <v>46088.0</v>
      </c>
      <c r="M426" s="2">
        <v>23.99</v>
      </c>
      <c r="N426" s="2">
        <v>23.99</v>
      </c>
      <c r="O426" s="2">
        <v>24.0</v>
      </c>
      <c r="P426" s="2">
        <v>24.0</v>
      </c>
      <c r="Q426" s="2" t="s">
        <v>755</v>
      </c>
      <c r="R426" s="2" t="s">
        <v>24</v>
      </c>
      <c r="S426" s="2" t="b">
        <f>COUNTIF('Marcas Target'!A:A,dados!$E426)&gt;0</f>
        <v>0</v>
      </c>
    </row>
    <row r="427" ht="15.75" customHeight="1">
      <c r="A427" s="2" t="s">
        <v>751</v>
      </c>
      <c r="B427" s="2" t="s">
        <v>752</v>
      </c>
      <c r="C427" s="2" t="s">
        <v>21</v>
      </c>
      <c r="D427" s="2" t="s">
        <v>22</v>
      </c>
      <c r="E427" s="2" t="s">
        <v>227</v>
      </c>
      <c r="F427" s="2" t="s">
        <v>24</v>
      </c>
      <c r="G427" s="2" t="s">
        <v>24</v>
      </c>
      <c r="H427" s="2" t="s">
        <v>753</v>
      </c>
      <c r="I427" s="2" t="s">
        <v>751</v>
      </c>
      <c r="J427" s="2" t="s">
        <v>26</v>
      </c>
      <c r="K427" s="2" t="s">
        <v>754</v>
      </c>
      <c r="L427" s="3">
        <v>46087.0</v>
      </c>
      <c r="M427" s="2">
        <v>23.99</v>
      </c>
      <c r="N427" s="2">
        <v>23.99</v>
      </c>
      <c r="O427" s="2">
        <v>3.0</v>
      </c>
      <c r="P427" s="2">
        <v>2.0</v>
      </c>
      <c r="Q427" s="2" t="s">
        <v>755</v>
      </c>
      <c r="R427" s="2" t="s">
        <v>24</v>
      </c>
      <c r="S427" s="2" t="b">
        <f>COUNTIF('Marcas Target'!A:A,dados!$E427)&gt;0</f>
        <v>0</v>
      </c>
    </row>
    <row r="428" ht="15.75" customHeight="1">
      <c r="A428" s="2" t="s">
        <v>756</v>
      </c>
      <c r="B428" s="2" t="s">
        <v>757</v>
      </c>
      <c r="C428" s="2" t="s">
        <v>21</v>
      </c>
      <c r="D428" s="2" t="s">
        <v>22</v>
      </c>
      <c r="E428" s="2" t="s">
        <v>758</v>
      </c>
      <c r="F428" s="2" t="s">
        <v>24</v>
      </c>
      <c r="G428" s="2" t="s">
        <v>24</v>
      </c>
      <c r="H428" s="2" t="s">
        <v>759</v>
      </c>
      <c r="I428" s="2" t="s">
        <v>756</v>
      </c>
      <c r="J428" s="2" t="s">
        <v>26</v>
      </c>
      <c r="K428" s="2" t="s">
        <v>760</v>
      </c>
      <c r="L428" s="3">
        <v>46089.0</v>
      </c>
      <c r="M428" s="2" t="s">
        <v>24</v>
      </c>
      <c r="N428" s="2" t="s">
        <v>24</v>
      </c>
      <c r="O428" s="2">
        <v>22.0</v>
      </c>
      <c r="P428" s="2">
        <v>0.0</v>
      </c>
      <c r="Q428" s="2" t="s">
        <v>761</v>
      </c>
      <c r="R428" s="2" t="s">
        <v>24</v>
      </c>
      <c r="S428" s="2" t="b">
        <f>COUNTIF('Marcas Target'!A:A,dados!$E428)&gt;0</f>
        <v>0</v>
      </c>
    </row>
    <row r="429" ht="15.75" customHeight="1">
      <c r="A429" s="2" t="s">
        <v>756</v>
      </c>
      <c r="B429" s="2" t="s">
        <v>757</v>
      </c>
      <c r="C429" s="2" t="s">
        <v>21</v>
      </c>
      <c r="D429" s="2" t="s">
        <v>22</v>
      </c>
      <c r="E429" s="2" t="s">
        <v>758</v>
      </c>
      <c r="F429" s="2" t="s">
        <v>24</v>
      </c>
      <c r="G429" s="2" t="s">
        <v>24</v>
      </c>
      <c r="H429" s="2" t="s">
        <v>759</v>
      </c>
      <c r="I429" s="2" t="s">
        <v>756</v>
      </c>
      <c r="J429" s="2" t="s">
        <v>26</v>
      </c>
      <c r="K429" s="2" t="s">
        <v>760</v>
      </c>
      <c r="L429" s="3">
        <v>46088.0</v>
      </c>
      <c r="M429" s="2">
        <v>19.99</v>
      </c>
      <c r="N429" s="2">
        <v>19.99</v>
      </c>
      <c r="O429" s="2">
        <v>24.0</v>
      </c>
      <c r="P429" s="2">
        <v>1.0</v>
      </c>
      <c r="Q429" s="2" t="s">
        <v>761</v>
      </c>
      <c r="R429" s="2" t="s">
        <v>24</v>
      </c>
      <c r="S429" s="2" t="b">
        <f>COUNTIF('Marcas Target'!A:A,dados!$E429)&gt;0</f>
        <v>0</v>
      </c>
    </row>
    <row r="430" ht="15.75" customHeight="1">
      <c r="A430" s="2" t="s">
        <v>756</v>
      </c>
      <c r="B430" s="2" t="s">
        <v>757</v>
      </c>
      <c r="C430" s="2" t="s">
        <v>21</v>
      </c>
      <c r="D430" s="2" t="s">
        <v>22</v>
      </c>
      <c r="E430" s="2" t="s">
        <v>758</v>
      </c>
      <c r="F430" s="2" t="s">
        <v>24</v>
      </c>
      <c r="G430" s="2" t="s">
        <v>24</v>
      </c>
      <c r="H430" s="2" t="s">
        <v>759</v>
      </c>
      <c r="I430" s="2" t="s">
        <v>756</v>
      </c>
      <c r="J430" s="2" t="s">
        <v>26</v>
      </c>
      <c r="K430" s="2" t="s">
        <v>760</v>
      </c>
      <c r="L430" s="3">
        <v>46087.0</v>
      </c>
      <c r="M430" s="2" t="s">
        <v>24</v>
      </c>
      <c r="N430" s="2" t="s">
        <v>24</v>
      </c>
      <c r="O430" s="2">
        <v>3.0</v>
      </c>
      <c r="P430" s="2">
        <v>0.0</v>
      </c>
      <c r="Q430" s="2" t="s">
        <v>761</v>
      </c>
      <c r="R430" s="2" t="s">
        <v>24</v>
      </c>
      <c r="S430" s="2" t="b">
        <f>COUNTIF('Marcas Target'!A:A,dados!$E430)&gt;0</f>
        <v>0</v>
      </c>
    </row>
    <row r="431" ht="15.75" customHeight="1">
      <c r="A431" s="2" t="s">
        <v>762</v>
      </c>
      <c r="B431" s="2" t="s">
        <v>763</v>
      </c>
      <c r="C431" s="2" t="s">
        <v>21</v>
      </c>
      <c r="D431" s="2" t="s">
        <v>22</v>
      </c>
      <c r="E431" s="2" t="s">
        <v>764</v>
      </c>
      <c r="F431" s="2" t="s">
        <v>24</v>
      </c>
      <c r="G431" s="2" t="s">
        <v>24</v>
      </c>
      <c r="H431" s="2" t="s">
        <v>765</v>
      </c>
      <c r="I431" s="2" t="s">
        <v>762</v>
      </c>
      <c r="J431" s="2" t="s">
        <v>26</v>
      </c>
      <c r="K431" s="2" t="s">
        <v>766</v>
      </c>
      <c r="L431" s="3">
        <v>46089.0</v>
      </c>
      <c r="M431" s="2">
        <v>39.99</v>
      </c>
      <c r="N431" s="2">
        <v>39.99</v>
      </c>
      <c r="O431" s="2">
        <v>22.0</v>
      </c>
      <c r="P431" s="2">
        <v>22.0</v>
      </c>
      <c r="Q431" s="2" t="s">
        <v>767</v>
      </c>
      <c r="R431" s="2" t="s">
        <v>24</v>
      </c>
      <c r="S431" s="2" t="b">
        <f>COUNTIF('Marcas Target'!A:A,dados!$E431)&gt;0</f>
        <v>0</v>
      </c>
    </row>
    <row r="432" ht="15.75" customHeight="1">
      <c r="A432" s="2" t="s">
        <v>762</v>
      </c>
      <c r="B432" s="2" t="s">
        <v>763</v>
      </c>
      <c r="C432" s="2" t="s">
        <v>21</v>
      </c>
      <c r="D432" s="2" t="s">
        <v>22</v>
      </c>
      <c r="E432" s="2" t="s">
        <v>764</v>
      </c>
      <c r="F432" s="2" t="s">
        <v>24</v>
      </c>
      <c r="G432" s="2" t="s">
        <v>24</v>
      </c>
      <c r="H432" s="2" t="s">
        <v>765</v>
      </c>
      <c r="I432" s="2" t="s">
        <v>762</v>
      </c>
      <c r="J432" s="2" t="s">
        <v>26</v>
      </c>
      <c r="K432" s="2" t="s">
        <v>766</v>
      </c>
      <c r="L432" s="3">
        <v>46088.0</v>
      </c>
      <c r="M432" s="2">
        <v>39.99</v>
      </c>
      <c r="N432" s="2">
        <v>39.99</v>
      </c>
      <c r="O432" s="2">
        <v>24.0</v>
      </c>
      <c r="P432" s="2">
        <v>24.0</v>
      </c>
      <c r="Q432" s="2" t="s">
        <v>767</v>
      </c>
      <c r="R432" s="2" t="s">
        <v>24</v>
      </c>
      <c r="S432" s="2" t="b">
        <f>COUNTIF('Marcas Target'!A:A,dados!$E432)&gt;0</f>
        <v>0</v>
      </c>
    </row>
    <row r="433" ht="15.75" customHeight="1">
      <c r="A433" s="2" t="s">
        <v>762</v>
      </c>
      <c r="B433" s="2" t="s">
        <v>763</v>
      </c>
      <c r="C433" s="2" t="s">
        <v>21</v>
      </c>
      <c r="D433" s="2" t="s">
        <v>22</v>
      </c>
      <c r="E433" s="2" t="s">
        <v>764</v>
      </c>
      <c r="F433" s="2" t="s">
        <v>24</v>
      </c>
      <c r="G433" s="2" t="s">
        <v>24</v>
      </c>
      <c r="H433" s="2" t="s">
        <v>765</v>
      </c>
      <c r="I433" s="2" t="s">
        <v>762</v>
      </c>
      <c r="J433" s="2" t="s">
        <v>26</v>
      </c>
      <c r="K433" s="2" t="s">
        <v>766</v>
      </c>
      <c r="L433" s="3">
        <v>46087.0</v>
      </c>
      <c r="M433" s="2">
        <v>39.99</v>
      </c>
      <c r="N433" s="2">
        <v>39.99</v>
      </c>
      <c r="O433" s="2">
        <v>3.0</v>
      </c>
      <c r="P433" s="2">
        <v>2.0</v>
      </c>
      <c r="Q433" s="2" t="s">
        <v>767</v>
      </c>
      <c r="R433" s="2" t="s">
        <v>24</v>
      </c>
      <c r="S433" s="2" t="b">
        <f>COUNTIF('Marcas Target'!A:A,dados!$E433)&gt;0</f>
        <v>0</v>
      </c>
    </row>
    <row r="434" ht="15.75" customHeight="1">
      <c r="A434" s="2" t="s">
        <v>768</v>
      </c>
      <c r="B434" s="2" t="s">
        <v>769</v>
      </c>
      <c r="C434" s="2" t="s">
        <v>21</v>
      </c>
      <c r="D434" s="2" t="s">
        <v>22</v>
      </c>
      <c r="E434" s="2" t="s">
        <v>227</v>
      </c>
      <c r="F434" s="2" t="s">
        <v>24</v>
      </c>
      <c r="G434" s="2" t="s">
        <v>24</v>
      </c>
      <c r="H434" s="2" t="s">
        <v>770</v>
      </c>
      <c r="I434" s="2" t="s">
        <v>768</v>
      </c>
      <c r="J434" s="2" t="s">
        <v>26</v>
      </c>
      <c r="K434" s="2" t="s">
        <v>771</v>
      </c>
      <c r="L434" s="3">
        <v>46089.0</v>
      </c>
      <c r="M434" s="2">
        <v>149.9</v>
      </c>
      <c r="N434" s="2">
        <v>149.9</v>
      </c>
      <c r="O434" s="2">
        <v>22.0</v>
      </c>
      <c r="P434" s="2">
        <v>22.0</v>
      </c>
      <c r="Q434" s="2" t="s">
        <v>772</v>
      </c>
      <c r="R434" s="2" t="s">
        <v>24</v>
      </c>
      <c r="S434" s="2" t="b">
        <f>COUNTIF('Marcas Target'!A:A,dados!$E434)&gt;0</f>
        <v>0</v>
      </c>
    </row>
    <row r="435" ht="15.75" customHeight="1">
      <c r="A435" s="2" t="s">
        <v>768</v>
      </c>
      <c r="B435" s="2" t="s">
        <v>769</v>
      </c>
      <c r="C435" s="2" t="s">
        <v>21</v>
      </c>
      <c r="D435" s="2" t="s">
        <v>22</v>
      </c>
      <c r="E435" s="2" t="s">
        <v>227</v>
      </c>
      <c r="F435" s="2" t="s">
        <v>24</v>
      </c>
      <c r="G435" s="2" t="s">
        <v>24</v>
      </c>
      <c r="H435" s="2" t="s">
        <v>770</v>
      </c>
      <c r="I435" s="2" t="s">
        <v>768</v>
      </c>
      <c r="J435" s="2" t="s">
        <v>26</v>
      </c>
      <c r="K435" s="2" t="s">
        <v>771</v>
      </c>
      <c r="L435" s="3">
        <v>46088.0</v>
      </c>
      <c r="M435" s="2">
        <v>149.9</v>
      </c>
      <c r="N435" s="2">
        <v>149.9</v>
      </c>
      <c r="O435" s="2">
        <v>24.0</v>
      </c>
      <c r="P435" s="2">
        <v>22.0</v>
      </c>
      <c r="Q435" s="2" t="s">
        <v>772</v>
      </c>
      <c r="R435" s="2" t="s">
        <v>24</v>
      </c>
      <c r="S435" s="2" t="b">
        <f>COUNTIF('Marcas Target'!A:A,dados!$E435)&gt;0</f>
        <v>0</v>
      </c>
    </row>
    <row r="436" ht="15.75" customHeight="1">
      <c r="A436" s="2" t="s">
        <v>768</v>
      </c>
      <c r="B436" s="2" t="s">
        <v>769</v>
      </c>
      <c r="C436" s="2" t="s">
        <v>21</v>
      </c>
      <c r="D436" s="2" t="s">
        <v>22</v>
      </c>
      <c r="E436" s="2" t="s">
        <v>227</v>
      </c>
      <c r="F436" s="2" t="s">
        <v>24</v>
      </c>
      <c r="G436" s="2" t="s">
        <v>24</v>
      </c>
      <c r="H436" s="2" t="s">
        <v>770</v>
      </c>
      <c r="I436" s="2" t="s">
        <v>768</v>
      </c>
      <c r="J436" s="2" t="s">
        <v>26</v>
      </c>
      <c r="K436" s="2" t="s">
        <v>771</v>
      </c>
      <c r="L436" s="3">
        <v>46087.0</v>
      </c>
      <c r="M436" s="2">
        <v>149.9</v>
      </c>
      <c r="N436" s="2">
        <v>149.9</v>
      </c>
      <c r="O436" s="2">
        <v>3.0</v>
      </c>
      <c r="P436" s="2">
        <v>2.0</v>
      </c>
      <c r="Q436" s="2" t="s">
        <v>772</v>
      </c>
      <c r="R436" s="2" t="s">
        <v>24</v>
      </c>
      <c r="S436" s="2" t="b">
        <f>COUNTIF('Marcas Target'!A:A,dados!$E436)&gt;0</f>
        <v>0</v>
      </c>
    </row>
    <row r="437" ht="15.75" customHeight="1">
      <c r="A437" s="2" t="s">
        <v>773</v>
      </c>
      <c r="B437" s="2" t="s">
        <v>100</v>
      </c>
      <c r="C437" s="2" t="s">
        <v>21</v>
      </c>
      <c r="D437" s="2" t="s">
        <v>22</v>
      </c>
      <c r="E437" s="2" t="s">
        <v>555</v>
      </c>
      <c r="F437" s="2" t="s">
        <v>24</v>
      </c>
      <c r="G437" s="2" t="s">
        <v>24</v>
      </c>
      <c r="H437" s="2" t="s">
        <v>774</v>
      </c>
      <c r="I437" s="2" t="s">
        <v>773</v>
      </c>
      <c r="J437" s="2" t="s">
        <v>26</v>
      </c>
      <c r="K437" s="2" t="s">
        <v>775</v>
      </c>
      <c r="L437" s="3">
        <v>46089.0</v>
      </c>
      <c r="M437" s="2">
        <v>7.98</v>
      </c>
      <c r="N437" s="2">
        <v>7.98</v>
      </c>
      <c r="O437" s="2">
        <v>22.0</v>
      </c>
      <c r="P437" s="2">
        <v>1.0</v>
      </c>
      <c r="Q437" s="2" t="s">
        <v>776</v>
      </c>
      <c r="R437" s="2" t="s">
        <v>24</v>
      </c>
      <c r="S437" s="2" t="b">
        <f>COUNTIF('Marcas Target'!A:A,dados!$E437)&gt;0</f>
        <v>0</v>
      </c>
    </row>
    <row r="438" ht="15.75" customHeight="1">
      <c r="A438" s="2" t="s">
        <v>773</v>
      </c>
      <c r="B438" s="2" t="s">
        <v>100</v>
      </c>
      <c r="C438" s="2" t="s">
        <v>21</v>
      </c>
      <c r="D438" s="2" t="s">
        <v>22</v>
      </c>
      <c r="E438" s="2" t="s">
        <v>555</v>
      </c>
      <c r="F438" s="2" t="s">
        <v>24</v>
      </c>
      <c r="G438" s="2" t="s">
        <v>24</v>
      </c>
      <c r="H438" s="2" t="s">
        <v>774</v>
      </c>
      <c r="I438" s="2" t="s">
        <v>773</v>
      </c>
      <c r="J438" s="2" t="s">
        <v>26</v>
      </c>
      <c r="K438" s="2" t="s">
        <v>775</v>
      </c>
      <c r="L438" s="3">
        <v>46088.0</v>
      </c>
      <c r="M438" s="2">
        <v>55.9</v>
      </c>
      <c r="N438" s="2">
        <v>55.9</v>
      </c>
      <c r="O438" s="2">
        <v>24.0</v>
      </c>
      <c r="P438" s="2">
        <v>1.0</v>
      </c>
      <c r="Q438" s="2" t="s">
        <v>776</v>
      </c>
      <c r="R438" s="2" t="s">
        <v>24</v>
      </c>
      <c r="S438" s="2" t="b">
        <f>COUNTIF('Marcas Target'!A:A,dados!$E438)&gt;0</f>
        <v>0</v>
      </c>
    </row>
    <row r="439" ht="15.75" customHeight="1">
      <c r="A439" s="2" t="s">
        <v>773</v>
      </c>
      <c r="B439" s="2" t="s">
        <v>100</v>
      </c>
      <c r="C439" s="2" t="s">
        <v>21</v>
      </c>
      <c r="D439" s="2" t="s">
        <v>22</v>
      </c>
      <c r="E439" s="2" t="s">
        <v>555</v>
      </c>
      <c r="F439" s="2" t="s">
        <v>24</v>
      </c>
      <c r="G439" s="2" t="s">
        <v>24</v>
      </c>
      <c r="H439" s="2" t="s">
        <v>774</v>
      </c>
      <c r="I439" s="2" t="s">
        <v>773</v>
      </c>
      <c r="J439" s="2" t="s">
        <v>26</v>
      </c>
      <c r="K439" s="2" t="s">
        <v>775</v>
      </c>
      <c r="L439" s="3">
        <v>46087.0</v>
      </c>
      <c r="M439" s="2" t="s">
        <v>24</v>
      </c>
      <c r="N439" s="2" t="s">
        <v>24</v>
      </c>
      <c r="O439" s="2">
        <v>3.0</v>
      </c>
      <c r="P439" s="2">
        <v>0.0</v>
      </c>
      <c r="Q439" s="2" t="s">
        <v>776</v>
      </c>
      <c r="R439" s="2" t="s">
        <v>24</v>
      </c>
      <c r="S439" s="2" t="b">
        <f>COUNTIF('Marcas Target'!A:A,dados!$E439)&gt;0</f>
        <v>0</v>
      </c>
    </row>
    <row r="440" ht="15.75" customHeight="1">
      <c r="A440" s="2" t="s">
        <v>777</v>
      </c>
      <c r="B440" s="2" t="s">
        <v>778</v>
      </c>
      <c r="C440" s="2" t="s">
        <v>21</v>
      </c>
      <c r="D440" s="2" t="s">
        <v>22</v>
      </c>
      <c r="E440" s="2" t="s">
        <v>128</v>
      </c>
      <c r="F440" s="2" t="s">
        <v>24</v>
      </c>
      <c r="G440" s="2" t="s">
        <v>24</v>
      </c>
      <c r="H440" s="2" t="s">
        <v>779</v>
      </c>
      <c r="I440" s="2" t="s">
        <v>777</v>
      </c>
      <c r="J440" s="2" t="s">
        <v>26</v>
      </c>
      <c r="K440" s="2" t="s">
        <v>780</v>
      </c>
      <c r="L440" s="3">
        <v>46089.0</v>
      </c>
      <c r="M440" s="2">
        <v>55.84</v>
      </c>
      <c r="N440" s="2">
        <v>55.84</v>
      </c>
      <c r="O440" s="2">
        <v>22.0</v>
      </c>
      <c r="P440" s="2">
        <v>21.0</v>
      </c>
      <c r="Q440" s="2" t="s">
        <v>781</v>
      </c>
      <c r="R440" s="2" t="s">
        <v>24</v>
      </c>
      <c r="S440" s="2" t="b">
        <f>COUNTIF('Marcas Target'!A:A,dados!$E440)&gt;0</f>
        <v>1</v>
      </c>
    </row>
    <row r="441" ht="15.75" customHeight="1">
      <c r="A441" s="2" t="s">
        <v>777</v>
      </c>
      <c r="B441" s="2" t="s">
        <v>778</v>
      </c>
      <c r="C441" s="2" t="s">
        <v>21</v>
      </c>
      <c r="D441" s="2" t="s">
        <v>22</v>
      </c>
      <c r="E441" s="2" t="s">
        <v>128</v>
      </c>
      <c r="F441" s="2" t="s">
        <v>24</v>
      </c>
      <c r="G441" s="2" t="s">
        <v>24</v>
      </c>
      <c r="H441" s="2" t="s">
        <v>779</v>
      </c>
      <c r="I441" s="2" t="s">
        <v>777</v>
      </c>
      <c r="J441" s="2" t="s">
        <v>26</v>
      </c>
      <c r="K441" s="2" t="s">
        <v>780</v>
      </c>
      <c r="L441" s="3">
        <v>46088.0</v>
      </c>
      <c r="M441" s="2">
        <v>73.38</v>
      </c>
      <c r="N441" s="2">
        <v>73.38</v>
      </c>
      <c r="O441" s="2">
        <v>24.0</v>
      </c>
      <c r="P441" s="2">
        <v>24.0</v>
      </c>
      <c r="Q441" s="2" t="s">
        <v>781</v>
      </c>
      <c r="R441" s="2" t="s">
        <v>24</v>
      </c>
      <c r="S441" s="2" t="b">
        <f>COUNTIF('Marcas Target'!A:A,dados!$E441)&gt;0</f>
        <v>1</v>
      </c>
    </row>
    <row r="442" ht="15.75" customHeight="1">
      <c r="A442" s="2" t="s">
        <v>777</v>
      </c>
      <c r="B442" s="2" t="s">
        <v>778</v>
      </c>
      <c r="C442" s="2" t="s">
        <v>21</v>
      </c>
      <c r="D442" s="2" t="s">
        <v>22</v>
      </c>
      <c r="E442" s="2" t="s">
        <v>128</v>
      </c>
      <c r="F442" s="2" t="s">
        <v>24</v>
      </c>
      <c r="G442" s="2" t="s">
        <v>24</v>
      </c>
      <c r="H442" s="2" t="s">
        <v>779</v>
      </c>
      <c r="I442" s="2" t="s">
        <v>777</v>
      </c>
      <c r="J442" s="2" t="s">
        <v>26</v>
      </c>
      <c r="K442" s="2" t="s">
        <v>780</v>
      </c>
      <c r="L442" s="3">
        <v>46087.0</v>
      </c>
      <c r="M442" s="2">
        <v>55.84</v>
      </c>
      <c r="N442" s="2">
        <v>55.84</v>
      </c>
      <c r="O442" s="2">
        <v>3.0</v>
      </c>
      <c r="P442" s="2">
        <v>2.0</v>
      </c>
      <c r="Q442" s="2" t="s">
        <v>781</v>
      </c>
      <c r="R442" s="2" t="s">
        <v>24</v>
      </c>
      <c r="S442" s="2" t="b">
        <f>COUNTIF('Marcas Target'!A:A,dados!$E442)&gt;0</f>
        <v>1</v>
      </c>
    </row>
    <row r="443" ht="15.75" customHeight="1">
      <c r="A443" s="2" t="s">
        <v>782</v>
      </c>
      <c r="B443" s="2" t="s">
        <v>783</v>
      </c>
      <c r="C443" s="2" t="s">
        <v>21</v>
      </c>
      <c r="D443" s="2" t="s">
        <v>22</v>
      </c>
      <c r="E443" s="2" t="s">
        <v>336</v>
      </c>
      <c r="F443" s="2" t="s">
        <v>24</v>
      </c>
      <c r="G443" s="2" t="s">
        <v>24</v>
      </c>
      <c r="H443" s="2" t="s">
        <v>784</v>
      </c>
      <c r="I443" s="2" t="s">
        <v>782</v>
      </c>
      <c r="J443" s="2" t="s">
        <v>26</v>
      </c>
      <c r="K443" s="2" t="s">
        <v>785</v>
      </c>
      <c r="L443" s="3">
        <v>46089.0</v>
      </c>
      <c r="M443" s="2">
        <v>24.99</v>
      </c>
      <c r="N443" s="2">
        <v>24.99</v>
      </c>
      <c r="O443" s="2">
        <v>22.0</v>
      </c>
      <c r="P443" s="2">
        <v>22.0</v>
      </c>
      <c r="Q443" s="2" t="s">
        <v>786</v>
      </c>
      <c r="R443" s="2" t="s">
        <v>24</v>
      </c>
      <c r="S443" s="2" t="b">
        <f>COUNTIF('Marcas Target'!A:A,dados!$E443)&gt;0</f>
        <v>0</v>
      </c>
    </row>
    <row r="444" ht="15.75" customHeight="1">
      <c r="A444" s="2" t="s">
        <v>782</v>
      </c>
      <c r="B444" s="2" t="s">
        <v>783</v>
      </c>
      <c r="C444" s="2" t="s">
        <v>21</v>
      </c>
      <c r="D444" s="2" t="s">
        <v>22</v>
      </c>
      <c r="E444" s="2" t="s">
        <v>336</v>
      </c>
      <c r="F444" s="2" t="s">
        <v>24</v>
      </c>
      <c r="G444" s="2" t="s">
        <v>24</v>
      </c>
      <c r="H444" s="2" t="s">
        <v>784</v>
      </c>
      <c r="I444" s="2" t="s">
        <v>782</v>
      </c>
      <c r="J444" s="2" t="s">
        <v>26</v>
      </c>
      <c r="K444" s="2" t="s">
        <v>785</v>
      </c>
      <c r="L444" s="3">
        <v>46088.0</v>
      </c>
      <c r="M444" s="2">
        <v>24.99</v>
      </c>
      <c r="N444" s="2">
        <v>24.99</v>
      </c>
      <c r="O444" s="2">
        <v>24.0</v>
      </c>
      <c r="P444" s="2">
        <v>24.0</v>
      </c>
      <c r="Q444" s="2" t="s">
        <v>786</v>
      </c>
      <c r="R444" s="2" t="s">
        <v>24</v>
      </c>
      <c r="S444" s="2" t="b">
        <f>COUNTIF('Marcas Target'!A:A,dados!$E444)&gt;0</f>
        <v>0</v>
      </c>
    </row>
    <row r="445" ht="15.75" customHeight="1">
      <c r="A445" s="2" t="s">
        <v>782</v>
      </c>
      <c r="B445" s="2" t="s">
        <v>783</v>
      </c>
      <c r="C445" s="2" t="s">
        <v>21</v>
      </c>
      <c r="D445" s="2" t="s">
        <v>22</v>
      </c>
      <c r="E445" s="2" t="s">
        <v>336</v>
      </c>
      <c r="F445" s="2" t="s">
        <v>24</v>
      </c>
      <c r="G445" s="2" t="s">
        <v>24</v>
      </c>
      <c r="H445" s="2" t="s">
        <v>784</v>
      </c>
      <c r="I445" s="2" t="s">
        <v>782</v>
      </c>
      <c r="J445" s="2" t="s">
        <v>26</v>
      </c>
      <c r="K445" s="2" t="s">
        <v>785</v>
      </c>
      <c r="L445" s="3">
        <v>46087.0</v>
      </c>
      <c r="M445" s="2">
        <v>24.99</v>
      </c>
      <c r="N445" s="2">
        <v>24.99</v>
      </c>
      <c r="O445" s="2">
        <v>3.0</v>
      </c>
      <c r="P445" s="2">
        <v>2.0</v>
      </c>
      <c r="Q445" s="2" t="s">
        <v>786</v>
      </c>
      <c r="R445" s="2" t="s">
        <v>24</v>
      </c>
      <c r="S445" s="2" t="b">
        <f>COUNTIF('Marcas Target'!A:A,dados!$E445)&gt;0</f>
        <v>0</v>
      </c>
    </row>
    <row r="446" ht="15.75" customHeight="1">
      <c r="A446" s="2" t="s">
        <v>787</v>
      </c>
      <c r="B446" s="2" t="s">
        <v>788</v>
      </c>
      <c r="C446" s="2" t="s">
        <v>21</v>
      </c>
      <c r="D446" s="2" t="s">
        <v>22</v>
      </c>
      <c r="E446" s="2" t="s">
        <v>378</v>
      </c>
      <c r="F446" s="2" t="s">
        <v>24</v>
      </c>
      <c r="G446" s="2" t="s">
        <v>24</v>
      </c>
      <c r="H446" s="2" t="s">
        <v>789</v>
      </c>
      <c r="I446" s="2" t="s">
        <v>787</v>
      </c>
      <c r="J446" s="2" t="s">
        <v>26</v>
      </c>
      <c r="K446" s="2" t="s">
        <v>790</v>
      </c>
      <c r="L446" s="3">
        <v>46089.0</v>
      </c>
      <c r="M446" s="2">
        <v>25.99</v>
      </c>
      <c r="N446" s="2">
        <v>25.99</v>
      </c>
      <c r="O446" s="2">
        <v>22.0</v>
      </c>
      <c r="P446" s="2">
        <v>22.0</v>
      </c>
      <c r="Q446" s="2" t="s">
        <v>791</v>
      </c>
      <c r="R446" s="2" t="s">
        <v>24</v>
      </c>
      <c r="S446" s="2" t="b">
        <f>COUNTIF('Marcas Target'!A:A,dados!$E446)&gt;0</f>
        <v>0</v>
      </c>
    </row>
    <row r="447" ht="15.75" customHeight="1">
      <c r="A447" s="2" t="s">
        <v>787</v>
      </c>
      <c r="B447" s="2" t="s">
        <v>788</v>
      </c>
      <c r="C447" s="2" t="s">
        <v>21</v>
      </c>
      <c r="D447" s="2" t="s">
        <v>22</v>
      </c>
      <c r="E447" s="2" t="s">
        <v>378</v>
      </c>
      <c r="F447" s="2" t="s">
        <v>24</v>
      </c>
      <c r="G447" s="2" t="s">
        <v>24</v>
      </c>
      <c r="H447" s="2" t="s">
        <v>789</v>
      </c>
      <c r="I447" s="2" t="s">
        <v>787</v>
      </c>
      <c r="J447" s="2" t="s">
        <v>26</v>
      </c>
      <c r="K447" s="2" t="s">
        <v>790</v>
      </c>
      <c r="L447" s="3">
        <v>46088.0</v>
      </c>
      <c r="M447" s="2">
        <v>25.99</v>
      </c>
      <c r="N447" s="2">
        <v>25.99</v>
      </c>
      <c r="O447" s="2">
        <v>24.0</v>
      </c>
      <c r="P447" s="2">
        <v>10.0</v>
      </c>
      <c r="Q447" s="2" t="s">
        <v>791</v>
      </c>
      <c r="R447" s="2" t="s">
        <v>24</v>
      </c>
      <c r="S447" s="2" t="b">
        <f>COUNTIF('Marcas Target'!A:A,dados!$E447)&gt;0</f>
        <v>0</v>
      </c>
    </row>
    <row r="448" ht="15.75" customHeight="1">
      <c r="A448" s="2" t="s">
        <v>787</v>
      </c>
      <c r="B448" s="2" t="s">
        <v>788</v>
      </c>
      <c r="C448" s="2" t="s">
        <v>21</v>
      </c>
      <c r="D448" s="2" t="s">
        <v>22</v>
      </c>
      <c r="E448" s="2" t="s">
        <v>378</v>
      </c>
      <c r="F448" s="2" t="s">
        <v>24</v>
      </c>
      <c r="G448" s="2" t="s">
        <v>24</v>
      </c>
      <c r="H448" s="2" t="s">
        <v>789</v>
      </c>
      <c r="I448" s="2" t="s">
        <v>787</v>
      </c>
      <c r="J448" s="2" t="s">
        <v>26</v>
      </c>
      <c r="K448" s="2" t="s">
        <v>790</v>
      </c>
      <c r="L448" s="3">
        <v>46087.0</v>
      </c>
      <c r="M448" s="2">
        <v>25.99</v>
      </c>
      <c r="N448" s="2">
        <v>25.99</v>
      </c>
      <c r="O448" s="2">
        <v>3.0</v>
      </c>
      <c r="P448" s="2">
        <v>2.0</v>
      </c>
      <c r="Q448" s="2" t="s">
        <v>791</v>
      </c>
      <c r="R448" s="2" t="s">
        <v>24</v>
      </c>
      <c r="S448" s="2" t="b">
        <f>COUNTIF('Marcas Target'!A:A,dados!$E448)&gt;0</f>
        <v>0</v>
      </c>
    </row>
    <row r="449" ht="15.75" customHeight="1">
      <c r="A449" s="2" t="s">
        <v>792</v>
      </c>
      <c r="B449" s="2" t="s">
        <v>793</v>
      </c>
      <c r="C449" s="2" t="s">
        <v>21</v>
      </c>
      <c r="D449" s="2" t="s">
        <v>22</v>
      </c>
      <c r="E449" s="2" t="s">
        <v>503</v>
      </c>
      <c r="F449" s="2" t="s">
        <v>24</v>
      </c>
      <c r="G449" s="2" t="s">
        <v>24</v>
      </c>
      <c r="H449" s="2" t="s">
        <v>794</v>
      </c>
      <c r="I449" s="2" t="s">
        <v>792</v>
      </c>
      <c r="J449" s="2" t="s">
        <v>26</v>
      </c>
      <c r="K449" s="2" t="s">
        <v>795</v>
      </c>
      <c r="L449" s="3">
        <v>46089.0</v>
      </c>
      <c r="M449" s="2">
        <v>29.99</v>
      </c>
      <c r="N449" s="2">
        <v>29.99</v>
      </c>
      <c r="O449" s="2">
        <v>22.0</v>
      </c>
      <c r="P449" s="2">
        <v>10.0</v>
      </c>
      <c r="Q449" s="2" t="s">
        <v>796</v>
      </c>
      <c r="R449" s="2" t="s">
        <v>24</v>
      </c>
      <c r="S449" s="2" t="b">
        <f>COUNTIF('Marcas Target'!A:A,dados!$E449)&gt;0</f>
        <v>0</v>
      </c>
    </row>
    <row r="450" ht="15.75" customHeight="1">
      <c r="A450" s="2" t="s">
        <v>792</v>
      </c>
      <c r="B450" s="2" t="s">
        <v>793</v>
      </c>
      <c r="C450" s="2" t="s">
        <v>21</v>
      </c>
      <c r="D450" s="2" t="s">
        <v>22</v>
      </c>
      <c r="E450" s="2" t="s">
        <v>503</v>
      </c>
      <c r="F450" s="2" t="s">
        <v>24</v>
      </c>
      <c r="G450" s="2" t="s">
        <v>24</v>
      </c>
      <c r="H450" s="2" t="s">
        <v>794</v>
      </c>
      <c r="I450" s="2" t="s">
        <v>792</v>
      </c>
      <c r="J450" s="2" t="s">
        <v>26</v>
      </c>
      <c r="K450" s="2" t="s">
        <v>795</v>
      </c>
      <c r="L450" s="3">
        <v>46088.0</v>
      </c>
      <c r="M450" s="2">
        <v>29.99</v>
      </c>
      <c r="N450" s="2">
        <v>29.99</v>
      </c>
      <c r="O450" s="2">
        <v>24.0</v>
      </c>
      <c r="P450" s="2">
        <v>10.0</v>
      </c>
      <c r="Q450" s="2" t="s">
        <v>796</v>
      </c>
      <c r="R450" s="2" t="s">
        <v>24</v>
      </c>
      <c r="S450" s="2" t="b">
        <f>COUNTIF('Marcas Target'!A:A,dados!$E450)&gt;0</f>
        <v>0</v>
      </c>
    </row>
    <row r="451" ht="15.75" customHeight="1">
      <c r="A451" s="2" t="s">
        <v>792</v>
      </c>
      <c r="B451" s="2" t="s">
        <v>793</v>
      </c>
      <c r="C451" s="2" t="s">
        <v>21</v>
      </c>
      <c r="D451" s="2" t="s">
        <v>22</v>
      </c>
      <c r="E451" s="2" t="s">
        <v>503</v>
      </c>
      <c r="F451" s="2" t="s">
        <v>24</v>
      </c>
      <c r="G451" s="2" t="s">
        <v>24</v>
      </c>
      <c r="H451" s="2" t="s">
        <v>794</v>
      </c>
      <c r="I451" s="2" t="s">
        <v>792</v>
      </c>
      <c r="J451" s="2" t="s">
        <v>26</v>
      </c>
      <c r="K451" s="2" t="s">
        <v>795</v>
      </c>
      <c r="L451" s="3">
        <v>46087.0</v>
      </c>
      <c r="M451" s="2">
        <v>29.99</v>
      </c>
      <c r="N451" s="2">
        <v>29.99</v>
      </c>
      <c r="O451" s="2">
        <v>3.0</v>
      </c>
      <c r="P451" s="2">
        <v>1.0</v>
      </c>
      <c r="Q451" s="2" t="s">
        <v>796</v>
      </c>
      <c r="R451" s="2" t="s">
        <v>24</v>
      </c>
      <c r="S451" s="2" t="b">
        <f>COUNTIF('Marcas Target'!A:A,dados!$E451)&gt;0</f>
        <v>0</v>
      </c>
    </row>
    <row r="452" ht="15.75" customHeight="1">
      <c r="A452" s="2" t="s">
        <v>797</v>
      </c>
      <c r="B452" s="2" t="s">
        <v>798</v>
      </c>
      <c r="C452" s="2" t="s">
        <v>21</v>
      </c>
      <c r="D452" s="2" t="s">
        <v>22</v>
      </c>
      <c r="E452" s="2" t="s">
        <v>106</v>
      </c>
      <c r="F452" s="2" t="s">
        <v>24</v>
      </c>
      <c r="G452" s="2" t="s">
        <v>24</v>
      </c>
      <c r="H452" s="2" t="s">
        <v>799</v>
      </c>
      <c r="I452" s="2" t="s">
        <v>797</v>
      </c>
      <c r="J452" s="2" t="s">
        <v>26</v>
      </c>
      <c r="K452" s="2" t="s">
        <v>800</v>
      </c>
      <c r="L452" s="3">
        <v>46089.0</v>
      </c>
      <c r="M452" s="2">
        <v>19.98</v>
      </c>
      <c r="N452" s="2">
        <v>19.98</v>
      </c>
      <c r="O452" s="2">
        <v>23.0</v>
      </c>
      <c r="P452" s="2">
        <v>17.0</v>
      </c>
      <c r="Q452" s="2" t="s">
        <v>801</v>
      </c>
      <c r="R452" s="2" t="s">
        <v>24</v>
      </c>
      <c r="S452" s="2" t="b">
        <f>COUNTIF('Marcas Target'!A:A,dados!$E452)&gt;0</f>
        <v>0</v>
      </c>
    </row>
    <row r="453" ht="15.75" customHeight="1">
      <c r="A453" s="2" t="s">
        <v>797</v>
      </c>
      <c r="B453" s="2" t="s">
        <v>798</v>
      </c>
      <c r="C453" s="2" t="s">
        <v>21</v>
      </c>
      <c r="D453" s="2" t="s">
        <v>22</v>
      </c>
      <c r="E453" s="2" t="s">
        <v>106</v>
      </c>
      <c r="F453" s="2" t="s">
        <v>24</v>
      </c>
      <c r="G453" s="2" t="s">
        <v>24</v>
      </c>
      <c r="H453" s="2" t="s">
        <v>799</v>
      </c>
      <c r="I453" s="2" t="s">
        <v>797</v>
      </c>
      <c r="J453" s="2" t="s">
        <v>26</v>
      </c>
      <c r="K453" s="2" t="s">
        <v>800</v>
      </c>
      <c r="L453" s="3">
        <v>46088.0</v>
      </c>
      <c r="M453" s="2">
        <v>19.98</v>
      </c>
      <c r="N453" s="2">
        <v>19.98</v>
      </c>
      <c r="O453" s="2">
        <v>24.0</v>
      </c>
      <c r="P453" s="2">
        <v>22.0</v>
      </c>
      <c r="Q453" s="2" t="s">
        <v>801</v>
      </c>
      <c r="R453" s="2" t="s">
        <v>24</v>
      </c>
      <c r="S453" s="2" t="b">
        <f>COUNTIF('Marcas Target'!A:A,dados!$E453)&gt;0</f>
        <v>0</v>
      </c>
    </row>
    <row r="454" ht="15.75" customHeight="1">
      <c r="A454" s="2" t="s">
        <v>797</v>
      </c>
      <c r="B454" s="2" t="s">
        <v>798</v>
      </c>
      <c r="C454" s="2" t="s">
        <v>21</v>
      </c>
      <c r="D454" s="2" t="s">
        <v>22</v>
      </c>
      <c r="E454" s="2" t="s">
        <v>106</v>
      </c>
      <c r="F454" s="2" t="s">
        <v>24</v>
      </c>
      <c r="G454" s="2" t="s">
        <v>24</v>
      </c>
      <c r="H454" s="2" t="s">
        <v>799</v>
      </c>
      <c r="I454" s="2" t="s">
        <v>797</v>
      </c>
      <c r="J454" s="2" t="s">
        <v>26</v>
      </c>
      <c r="K454" s="2" t="s">
        <v>800</v>
      </c>
      <c r="L454" s="3">
        <v>46087.0</v>
      </c>
      <c r="M454" s="2">
        <v>19.98</v>
      </c>
      <c r="N454" s="2">
        <v>19.98</v>
      </c>
      <c r="O454" s="2">
        <v>3.0</v>
      </c>
      <c r="P454" s="2">
        <v>2.0</v>
      </c>
      <c r="Q454" s="2" t="s">
        <v>801</v>
      </c>
      <c r="R454" s="2" t="s">
        <v>24</v>
      </c>
      <c r="S454" s="2" t="b">
        <f>COUNTIF('Marcas Target'!A:A,dados!$E454)&gt;0</f>
        <v>0</v>
      </c>
    </row>
    <row r="455" ht="15.75" customHeight="1">
      <c r="A455" s="2" t="s">
        <v>802</v>
      </c>
      <c r="B455" s="2" t="s">
        <v>803</v>
      </c>
      <c r="C455" s="2" t="s">
        <v>21</v>
      </c>
      <c r="D455" s="2" t="s">
        <v>22</v>
      </c>
      <c r="E455" s="2" t="s">
        <v>227</v>
      </c>
      <c r="F455" s="2" t="s">
        <v>24</v>
      </c>
      <c r="G455" s="2" t="s">
        <v>24</v>
      </c>
      <c r="H455" s="2" t="s">
        <v>804</v>
      </c>
      <c r="I455" s="2" t="s">
        <v>802</v>
      </c>
      <c r="J455" s="2" t="s">
        <v>26</v>
      </c>
      <c r="K455" s="2" t="s">
        <v>805</v>
      </c>
      <c r="L455" s="3">
        <v>46089.0</v>
      </c>
      <c r="M455" s="2">
        <v>45.99</v>
      </c>
      <c r="N455" s="2">
        <v>45.99</v>
      </c>
      <c r="O455" s="2">
        <v>22.0</v>
      </c>
      <c r="P455" s="2">
        <v>11.0</v>
      </c>
      <c r="Q455" s="2" t="s">
        <v>806</v>
      </c>
      <c r="R455" s="2" t="s">
        <v>24</v>
      </c>
      <c r="S455" s="2" t="b">
        <f>COUNTIF('Marcas Target'!A:A,dados!$E455)&gt;0</f>
        <v>0</v>
      </c>
    </row>
    <row r="456" ht="15.75" customHeight="1">
      <c r="A456" s="2" t="s">
        <v>802</v>
      </c>
      <c r="B456" s="2" t="s">
        <v>803</v>
      </c>
      <c r="C456" s="2" t="s">
        <v>21</v>
      </c>
      <c r="D456" s="2" t="s">
        <v>22</v>
      </c>
      <c r="E456" s="2" t="s">
        <v>227</v>
      </c>
      <c r="F456" s="2" t="s">
        <v>24</v>
      </c>
      <c r="G456" s="2" t="s">
        <v>24</v>
      </c>
      <c r="H456" s="2" t="s">
        <v>804</v>
      </c>
      <c r="I456" s="2" t="s">
        <v>802</v>
      </c>
      <c r="J456" s="2" t="s">
        <v>26</v>
      </c>
      <c r="K456" s="2" t="s">
        <v>805</v>
      </c>
      <c r="L456" s="3">
        <v>46088.0</v>
      </c>
      <c r="M456" s="2">
        <v>45.99</v>
      </c>
      <c r="N456" s="2">
        <v>45.99</v>
      </c>
      <c r="O456" s="2">
        <v>24.0</v>
      </c>
      <c r="P456" s="2">
        <v>9.0</v>
      </c>
      <c r="Q456" s="2" t="s">
        <v>806</v>
      </c>
      <c r="R456" s="2" t="s">
        <v>24</v>
      </c>
      <c r="S456" s="2" t="b">
        <f>COUNTIF('Marcas Target'!A:A,dados!$E456)&gt;0</f>
        <v>0</v>
      </c>
    </row>
    <row r="457" ht="15.75" customHeight="1">
      <c r="A457" s="2" t="s">
        <v>802</v>
      </c>
      <c r="B457" s="2" t="s">
        <v>803</v>
      </c>
      <c r="C457" s="2" t="s">
        <v>21</v>
      </c>
      <c r="D457" s="2" t="s">
        <v>22</v>
      </c>
      <c r="E457" s="2" t="s">
        <v>227</v>
      </c>
      <c r="F457" s="2" t="s">
        <v>24</v>
      </c>
      <c r="G457" s="2" t="s">
        <v>24</v>
      </c>
      <c r="H457" s="2" t="s">
        <v>804</v>
      </c>
      <c r="I457" s="2" t="s">
        <v>802</v>
      </c>
      <c r="J457" s="2" t="s">
        <v>26</v>
      </c>
      <c r="K457" s="2" t="s">
        <v>805</v>
      </c>
      <c r="L457" s="3">
        <v>46087.0</v>
      </c>
      <c r="M457" s="2">
        <v>45.99</v>
      </c>
      <c r="N457" s="2">
        <v>45.99</v>
      </c>
      <c r="O457" s="2">
        <v>3.0</v>
      </c>
      <c r="P457" s="2">
        <v>2.0</v>
      </c>
      <c r="Q457" s="2" t="s">
        <v>806</v>
      </c>
      <c r="R457" s="2" t="s">
        <v>24</v>
      </c>
      <c r="S457" s="2" t="b">
        <f>COUNTIF('Marcas Target'!A:A,dados!$E457)&gt;0</f>
        <v>0</v>
      </c>
    </row>
    <row r="458" ht="15.75" customHeight="1">
      <c r="A458" s="2" t="s">
        <v>807</v>
      </c>
      <c r="B458" s="2" t="s">
        <v>808</v>
      </c>
      <c r="C458" s="2" t="s">
        <v>21</v>
      </c>
      <c r="D458" s="2" t="s">
        <v>22</v>
      </c>
      <c r="E458" s="2" t="s">
        <v>336</v>
      </c>
      <c r="F458" s="2" t="s">
        <v>24</v>
      </c>
      <c r="G458" s="2" t="s">
        <v>24</v>
      </c>
      <c r="H458" s="2" t="s">
        <v>809</v>
      </c>
      <c r="I458" s="2" t="s">
        <v>807</v>
      </c>
      <c r="J458" s="2" t="s">
        <v>26</v>
      </c>
      <c r="K458" s="2" t="s">
        <v>810</v>
      </c>
      <c r="L458" s="3">
        <v>46089.0</v>
      </c>
      <c r="M458" s="2">
        <v>32.99</v>
      </c>
      <c r="N458" s="2">
        <v>32.99</v>
      </c>
      <c r="O458" s="2">
        <v>22.0</v>
      </c>
      <c r="P458" s="2">
        <v>22.0</v>
      </c>
      <c r="Q458" s="2" t="s">
        <v>811</v>
      </c>
      <c r="R458" s="2" t="s">
        <v>24</v>
      </c>
      <c r="S458" s="2" t="b">
        <f>COUNTIF('Marcas Target'!A:A,dados!$E458)&gt;0</f>
        <v>0</v>
      </c>
    </row>
    <row r="459" ht="15.75" customHeight="1">
      <c r="A459" s="2" t="s">
        <v>807</v>
      </c>
      <c r="B459" s="2" t="s">
        <v>808</v>
      </c>
      <c r="C459" s="2" t="s">
        <v>21</v>
      </c>
      <c r="D459" s="2" t="s">
        <v>22</v>
      </c>
      <c r="E459" s="2" t="s">
        <v>336</v>
      </c>
      <c r="F459" s="2" t="s">
        <v>24</v>
      </c>
      <c r="G459" s="2" t="s">
        <v>24</v>
      </c>
      <c r="H459" s="2" t="s">
        <v>809</v>
      </c>
      <c r="I459" s="2" t="s">
        <v>807</v>
      </c>
      <c r="J459" s="2" t="s">
        <v>26</v>
      </c>
      <c r="K459" s="2" t="s">
        <v>810</v>
      </c>
      <c r="L459" s="3">
        <v>46088.0</v>
      </c>
      <c r="M459" s="2">
        <v>32.99</v>
      </c>
      <c r="N459" s="2">
        <v>32.99</v>
      </c>
      <c r="O459" s="2">
        <v>24.0</v>
      </c>
      <c r="P459" s="2">
        <v>24.0</v>
      </c>
      <c r="Q459" s="2" t="s">
        <v>811</v>
      </c>
      <c r="R459" s="2" t="s">
        <v>24</v>
      </c>
      <c r="S459" s="2" t="b">
        <f>COUNTIF('Marcas Target'!A:A,dados!$E459)&gt;0</f>
        <v>0</v>
      </c>
    </row>
    <row r="460" ht="15.75" customHeight="1">
      <c r="A460" s="2" t="s">
        <v>807</v>
      </c>
      <c r="B460" s="2" t="s">
        <v>808</v>
      </c>
      <c r="C460" s="2" t="s">
        <v>21</v>
      </c>
      <c r="D460" s="2" t="s">
        <v>22</v>
      </c>
      <c r="E460" s="2" t="s">
        <v>336</v>
      </c>
      <c r="F460" s="2" t="s">
        <v>24</v>
      </c>
      <c r="G460" s="2" t="s">
        <v>24</v>
      </c>
      <c r="H460" s="2" t="s">
        <v>809</v>
      </c>
      <c r="I460" s="2" t="s">
        <v>807</v>
      </c>
      <c r="J460" s="2" t="s">
        <v>26</v>
      </c>
      <c r="K460" s="2" t="s">
        <v>810</v>
      </c>
      <c r="L460" s="3">
        <v>46087.0</v>
      </c>
      <c r="M460" s="2">
        <v>32.99</v>
      </c>
      <c r="N460" s="2">
        <v>32.99</v>
      </c>
      <c r="O460" s="2">
        <v>3.0</v>
      </c>
      <c r="P460" s="2">
        <v>2.0</v>
      </c>
      <c r="Q460" s="2" t="s">
        <v>811</v>
      </c>
      <c r="R460" s="2" t="s">
        <v>24</v>
      </c>
      <c r="S460" s="2" t="b">
        <f>COUNTIF('Marcas Target'!A:A,dados!$E460)&gt;0</f>
        <v>0</v>
      </c>
    </row>
    <row r="461" ht="15.75" customHeight="1">
      <c r="A461" s="2" t="s">
        <v>812</v>
      </c>
      <c r="B461" s="2" t="s">
        <v>813</v>
      </c>
      <c r="C461" s="2" t="s">
        <v>21</v>
      </c>
      <c r="D461" s="2" t="s">
        <v>22</v>
      </c>
      <c r="E461" s="2" t="s">
        <v>227</v>
      </c>
      <c r="F461" s="2" t="s">
        <v>24</v>
      </c>
      <c r="G461" s="2" t="s">
        <v>24</v>
      </c>
      <c r="H461" s="2" t="s">
        <v>814</v>
      </c>
      <c r="I461" s="2" t="s">
        <v>812</v>
      </c>
      <c r="J461" s="2" t="s">
        <v>26</v>
      </c>
      <c r="K461" s="2" t="s">
        <v>815</v>
      </c>
      <c r="L461" s="3">
        <v>46089.0</v>
      </c>
      <c r="M461" s="2">
        <v>23.99</v>
      </c>
      <c r="N461" s="2">
        <v>23.99</v>
      </c>
      <c r="O461" s="2">
        <v>22.0</v>
      </c>
      <c r="P461" s="2">
        <v>22.0</v>
      </c>
      <c r="Q461" s="2" t="s">
        <v>816</v>
      </c>
      <c r="R461" s="2" t="s">
        <v>24</v>
      </c>
      <c r="S461" s="2" t="b">
        <f>COUNTIF('Marcas Target'!A:A,dados!$E461)&gt;0</f>
        <v>0</v>
      </c>
    </row>
    <row r="462" ht="15.75" customHeight="1">
      <c r="A462" s="2" t="s">
        <v>812</v>
      </c>
      <c r="B462" s="2" t="s">
        <v>813</v>
      </c>
      <c r="C462" s="2" t="s">
        <v>21</v>
      </c>
      <c r="D462" s="2" t="s">
        <v>22</v>
      </c>
      <c r="E462" s="2" t="s">
        <v>227</v>
      </c>
      <c r="F462" s="2" t="s">
        <v>24</v>
      </c>
      <c r="G462" s="2" t="s">
        <v>24</v>
      </c>
      <c r="H462" s="2" t="s">
        <v>814</v>
      </c>
      <c r="I462" s="2" t="s">
        <v>812</v>
      </c>
      <c r="J462" s="2" t="s">
        <v>26</v>
      </c>
      <c r="K462" s="2" t="s">
        <v>815</v>
      </c>
      <c r="L462" s="3">
        <v>46088.0</v>
      </c>
      <c r="M462" s="2">
        <v>23.99</v>
      </c>
      <c r="N462" s="2">
        <v>23.99</v>
      </c>
      <c r="O462" s="2">
        <v>24.0</v>
      </c>
      <c r="P462" s="2">
        <v>24.0</v>
      </c>
      <c r="Q462" s="2" t="s">
        <v>816</v>
      </c>
      <c r="R462" s="2" t="s">
        <v>24</v>
      </c>
      <c r="S462" s="2" t="b">
        <f>COUNTIF('Marcas Target'!A:A,dados!$E462)&gt;0</f>
        <v>0</v>
      </c>
    </row>
    <row r="463" ht="15.75" customHeight="1">
      <c r="A463" s="2" t="s">
        <v>812</v>
      </c>
      <c r="B463" s="2" t="s">
        <v>813</v>
      </c>
      <c r="C463" s="2" t="s">
        <v>21</v>
      </c>
      <c r="D463" s="2" t="s">
        <v>22</v>
      </c>
      <c r="E463" s="2" t="s">
        <v>227</v>
      </c>
      <c r="F463" s="2" t="s">
        <v>24</v>
      </c>
      <c r="G463" s="2" t="s">
        <v>24</v>
      </c>
      <c r="H463" s="2" t="s">
        <v>814</v>
      </c>
      <c r="I463" s="2" t="s">
        <v>812</v>
      </c>
      <c r="J463" s="2" t="s">
        <v>26</v>
      </c>
      <c r="K463" s="2" t="s">
        <v>815</v>
      </c>
      <c r="L463" s="3">
        <v>46087.0</v>
      </c>
      <c r="M463" s="2">
        <v>23.99</v>
      </c>
      <c r="N463" s="2">
        <v>23.99</v>
      </c>
      <c r="O463" s="2">
        <v>3.0</v>
      </c>
      <c r="P463" s="2">
        <v>3.0</v>
      </c>
      <c r="Q463" s="2" t="s">
        <v>816</v>
      </c>
      <c r="R463" s="2" t="s">
        <v>24</v>
      </c>
      <c r="S463" s="2" t="b">
        <f>COUNTIF('Marcas Target'!A:A,dados!$E463)&gt;0</f>
        <v>0</v>
      </c>
    </row>
    <row r="464" ht="15.75" customHeight="1">
      <c r="A464" s="2" t="s">
        <v>817</v>
      </c>
      <c r="B464" s="2" t="s">
        <v>818</v>
      </c>
      <c r="C464" s="2" t="s">
        <v>21</v>
      </c>
      <c r="D464" s="2" t="s">
        <v>22</v>
      </c>
      <c r="E464" s="2" t="s">
        <v>503</v>
      </c>
      <c r="F464" s="2" t="s">
        <v>24</v>
      </c>
      <c r="G464" s="2" t="s">
        <v>24</v>
      </c>
      <c r="H464" s="2" t="s">
        <v>819</v>
      </c>
      <c r="I464" s="2" t="s">
        <v>817</v>
      </c>
      <c r="J464" s="2" t="s">
        <v>26</v>
      </c>
      <c r="K464" s="2" t="s">
        <v>820</v>
      </c>
      <c r="L464" s="3">
        <v>46089.0</v>
      </c>
      <c r="M464" s="2">
        <v>29.99</v>
      </c>
      <c r="N464" s="2">
        <v>29.99</v>
      </c>
      <c r="O464" s="2">
        <v>22.0</v>
      </c>
      <c r="P464" s="2">
        <v>22.0</v>
      </c>
      <c r="Q464" s="2" t="s">
        <v>821</v>
      </c>
      <c r="R464" s="2" t="s">
        <v>24</v>
      </c>
      <c r="S464" s="2" t="b">
        <f>COUNTIF('Marcas Target'!A:A,dados!$E464)&gt;0</f>
        <v>0</v>
      </c>
    </row>
    <row r="465" ht="15.75" customHeight="1">
      <c r="A465" s="2" t="s">
        <v>817</v>
      </c>
      <c r="B465" s="2" t="s">
        <v>818</v>
      </c>
      <c r="C465" s="2" t="s">
        <v>21</v>
      </c>
      <c r="D465" s="2" t="s">
        <v>22</v>
      </c>
      <c r="E465" s="2" t="s">
        <v>503</v>
      </c>
      <c r="F465" s="2" t="s">
        <v>24</v>
      </c>
      <c r="G465" s="2" t="s">
        <v>24</v>
      </c>
      <c r="H465" s="2" t="s">
        <v>819</v>
      </c>
      <c r="I465" s="2" t="s">
        <v>817</v>
      </c>
      <c r="J465" s="2" t="s">
        <v>26</v>
      </c>
      <c r="K465" s="2" t="s">
        <v>820</v>
      </c>
      <c r="L465" s="3">
        <v>46088.0</v>
      </c>
      <c r="M465" s="2">
        <v>29.99</v>
      </c>
      <c r="N465" s="2">
        <v>29.99</v>
      </c>
      <c r="O465" s="2">
        <v>24.0</v>
      </c>
      <c r="P465" s="2">
        <v>24.0</v>
      </c>
      <c r="Q465" s="2" t="s">
        <v>821</v>
      </c>
      <c r="R465" s="2" t="s">
        <v>24</v>
      </c>
      <c r="S465" s="2" t="b">
        <f>COUNTIF('Marcas Target'!A:A,dados!$E465)&gt;0</f>
        <v>0</v>
      </c>
    </row>
    <row r="466" ht="15.75" customHeight="1">
      <c r="A466" s="2" t="s">
        <v>817</v>
      </c>
      <c r="B466" s="2" t="s">
        <v>818</v>
      </c>
      <c r="C466" s="2" t="s">
        <v>21</v>
      </c>
      <c r="D466" s="2" t="s">
        <v>22</v>
      </c>
      <c r="E466" s="2" t="s">
        <v>503</v>
      </c>
      <c r="F466" s="2" t="s">
        <v>24</v>
      </c>
      <c r="G466" s="2" t="s">
        <v>24</v>
      </c>
      <c r="H466" s="2" t="s">
        <v>819</v>
      </c>
      <c r="I466" s="2" t="s">
        <v>817</v>
      </c>
      <c r="J466" s="2" t="s">
        <v>26</v>
      </c>
      <c r="K466" s="2" t="s">
        <v>820</v>
      </c>
      <c r="L466" s="3">
        <v>46087.0</v>
      </c>
      <c r="M466" s="2">
        <v>29.99</v>
      </c>
      <c r="N466" s="2">
        <v>29.99</v>
      </c>
      <c r="O466" s="2">
        <v>3.0</v>
      </c>
      <c r="P466" s="2">
        <v>2.0</v>
      </c>
      <c r="Q466" s="2" t="s">
        <v>821</v>
      </c>
      <c r="R466" s="2" t="s">
        <v>24</v>
      </c>
      <c r="S466" s="2" t="b">
        <f>COUNTIF('Marcas Target'!A:A,dados!$E466)&gt;0</f>
        <v>0</v>
      </c>
    </row>
    <row r="467" ht="15.75" customHeight="1">
      <c r="A467" s="2" t="s">
        <v>822</v>
      </c>
      <c r="B467" s="2" t="s">
        <v>823</v>
      </c>
      <c r="C467" s="2" t="s">
        <v>21</v>
      </c>
      <c r="D467" s="2" t="s">
        <v>22</v>
      </c>
      <c r="E467" s="2" t="s">
        <v>336</v>
      </c>
      <c r="F467" s="2" t="s">
        <v>24</v>
      </c>
      <c r="G467" s="2" t="s">
        <v>24</v>
      </c>
      <c r="H467" s="2" t="s">
        <v>824</v>
      </c>
      <c r="I467" s="2" t="s">
        <v>822</v>
      </c>
      <c r="J467" s="2" t="s">
        <v>26</v>
      </c>
      <c r="K467" s="2" t="s">
        <v>825</v>
      </c>
      <c r="L467" s="3">
        <v>46089.0</v>
      </c>
      <c r="M467" s="2">
        <v>28.99</v>
      </c>
      <c r="N467" s="2">
        <v>28.99</v>
      </c>
      <c r="O467" s="2">
        <v>22.0</v>
      </c>
      <c r="P467" s="2">
        <v>2.0</v>
      </c>
      <c r="Q467" s="2" t="s">
        <v>826</v>
      </c>
      <c r="R467" s="2" t="s">
        <v>24</v>
      </c>
      <c r="S467" s="2" t="b">
        <f>COUNTIF('Marcas Target'!A:A,dados!$E467)&gt;0</f>
        <v>0</v>
      </c>
    </row>
    <row r="468" ht="15.75" customHeight="1">
      <c r="A468" s="2" t="s">
        <v>822</v>
      </c>
      <c r="B468" s="2" t="s">
        <v>823</v>
      </c>
      <c r="C468" s="2" t="s">
        <v>21</v>
      </c>
      <c r="D468" s="2" t="s">
        <v>22</v>
      </c>
      <c r="E468" s="2" t="s">
        <v>336</v>
      </c>
      <c r="F468" s="2" t="s">
        <v>24</v>
      </c>
      <c r="G468" s="2" t="s">
        <v>24</v>
      </c>
      <c r="H468" s="2" t="s">
        <v>824</v>
      </c>
      <c r="I468" s="2" t="s">
        <v>822</v>
      </c>
      <c r="J468" s="2" t="s">
        <v>26</v>
      </c>
      <c r="K468" s="2" t="s">
        <v>825</v>
      </c>
      <c r="L468" s="3">
        <v>46088.0</v>
      </c>
      <c r="M468" s="2">
        <v>28.99</v>
      </c>
      <c r="N468" s="2">
        <v>28.99</v>
      </c>
      <c r="O468" s="2">
        <v>24.0</v>
      </c>
      <c r="P468" s="2">
        <v>2.0</v>
      </c>
      <c r="Q468" s="2" t="s">
        <v>826</v>
      </c>
      <c r="R468" s="2" t="s">
        <v>24</v>
      </c>
      <c r="S468" s="2" t="b">
        <f>COUNTIF('Marcas Target'!A:A,dados!$E468)&gt;0</f>
        <v>0</v>
      </c>
    </row>
    <row r="469" ht="15.75" customHeight="1">
      <c r="A469" s="2" t="s">
        <v>822</v>
      </c>
      <c r="B469" s="2" t="s">
        <v>823</v>
      </c>
      <c r="C469" s="2" t="s">
        <v>21</v>
      </c>
      <c r="D469" s="2" t="s">
        <v>22</v>
      </c>
      <c r="E469" s="2" t="s">
        <v>336</v>
      </c>
      <c r="F469" s="2" t="s">
        <v>24</v>
      </c>
      <c r="G469" s="2" t="s">
        <v>24</v>
      </c>
      <c r="H469" s="2" t="s">
        <v>824</v>
      </c>
      <c r="I469" s="2" t="s">
        <v>822</v>
      </c>
      <c r="J469" s="2" t="s">
        <v>26</v>
      </c>
      <c r="K469" s="2" t="s">
        <v>825</v>
      </c>
      <c r="L469" s="3">
        <v>46087.0</v>
      </c>
      <c r="M469" s="2">
        <v>28.99</v>
      </c>
      <c r="N469" s="2">
        <v>28.99</v>
      </c>
      <c r="O469" s="2">
        <v>3.0</v>
      </c>
      <c r="P469" s="2">
        <v>1.0</v>
      </c>
      <c r="Q469" s="2" t="s">
        <v>826</v>
      </c>
      <c r="R469" s="2" t="s">
        <v>24</v>
      </c>
      <c r="S469" s="2" t="b">
        <f>COUNTIF('Marcas Target'!A:A,dados!$E469)&gt;0</f>
        <v>0</v>
      </c>
    </row>
    <row r="470" ht="15.75" customHeight="1">
      <c r="A470" s="2" t="s">
        <v>827</v>
      </c>
      <c r="B470" s="2" t="s">
        <v>828</v>
      </c>
      <c r="C470" s="2" t="s">
        <v>21</v>
      </c>
      <c r="D470" s="2" t="s">
        <v>22</v>
      </c>
      <c r="E470" s="2" t="s">
        <v>503</v>
      </c>
      <c r="F470" s="2" t="s">
        <v>24</v>
      </c>
      <c r="G470" s="2" t="s">
        <v>24</v>
      </c>
      <c r="H470" s="2" t="s">
        <v>829</v>
      </c>
      <c r="I470" s="2" t="s">
        <v>827</v>
      </c>
      <c r="J470" s="2" t="s">
        <v>26</v>
      </c>
      <c r="K470" s="2" t="s">
        <v>830</v>
      </c>
      <c r="L470" s="3">
        <v>46089.0</v>
      </c>
      <c r="M470" s="2">
        <v>29.99</v>
      </c>
      <c r="N470" s="2">
        <v>29.99</v>
      </c>
      <c r="O470" s="2">
        <v>22.0</v>
      </c>
      <c r="P470" s="2">
        <v>22.0</v>
      </c>
      <c r="Q470" s="2" t="s">
        <v>831</v>
      </c>
      <c r="R470" s="2" t="s">
        <v>24</v>
      </c>
      <c r="S470" s="2" t="b">
        <f>COUNTIF('Marcas Target'!A:A,dados!$E470)&gt;0</f>
        <v>0</v>
      </c>
    </row>
    <row r="471" ht="15.75" customHeight="1">
      <c r="A471" s="2" t="s">
        <v>827</v>
      </c>
      <c r="B471" s="2" t="s">
        <v>828</v>
      </c>
      <c r="C471" s="2" t="s">
        <v>21</v>
      </c>
      <c r="D471" s="2" t="s">
        <v>22</v>
      </c>
      <c r="E471" s="2" t="s">
        <v>503</v>
      </c>
      <c r="F471" s="2" t="s">
        <v>24</v>
      </c>
      <c r="G471" s="2" t="s">
        <v>24</v>
      </c>
      <c r="H471" s="2" t="s">
        <v>829</v>
      </c>
      <c r="I471" s="2" t="s">
        <v>827</v>
      </c>
      <c r="J471" s="2" t="s">
        <v>26</v>
      </c>
      <c r="K471" s="2" t="s">
        <v>830</v>
      </c>
      <c r="L471" s="3">
        <v>46088.0</v>
      </c>
      <c r="M471" s="2">
        <v>29.99</v>
      </c>
      <c r="N471" s="2">
        <v>29.99</v>
      </c>
      <c r="O471" s="2">
        <v>24.0</v>
      </c>
      <c r="P471" s="2">
        <v>22.0</v>
      </c>
      <c r="Q471" s="2" t="s">
        <v>831</v>
      </c>
      <c r="R471" s="2" t="s">
        <v>24</v>
      </c>
      <c r="S471" s="2" t="b">
        <f>COUNTIF('Marcas Target'!A:A,dados!$E471)&gt;0</f>
        <v>0</v>
      </c>
    </row>
    <row r="472" ht="15.75" customHeight="1">
      <c r="A472" s="2" t="s">
        <v>827</v>
      </c>
      <c r="B472" s="2" t="s">
        <v>828</v>
      </c>
      <c r="C472" s="2" t="s">
        <v>21</v>
      </c>
      <c r="D472" s="2" t="s">
        <v>22</v>
      </c>
      <c r="E472" s="2" t="s">
        <v>503</v>
      </c>
      <c r="F472" s="2" t="s">
        <v>24</v>
      </c>
      <c r="G472" s="2" t="s">
        <v>24</v>
      </c>
      <c r="H472" s="2" t="s">
        <v>829</v>
      </c>
      <c r="I472" s="2" t="s">
        <v>827</v>
      </c>
      <c r="J472" s="2" t="s">
        <v>26</v>
      </c>
      <c r="K472" s="2" t="s">
        <v>830</v>
      </c>
      <c r="L472" s="3">
        <v>46087.0</v>
      </c>
      <c r="M472" s="2">
        <v>29.99</v>
      </c>
      <c r="N472" s="2">
        <v>29.99</v>
      </c>
      <c r="O472" s="2">
        <v>3.0</v>
      </c>
      <c r="P472" s="2">
        <v>2.0</v>
      </c>
      <c r="Q472" s="2" t="s">
        <v>831</v>
      </c>
      <c r="R472" s="2" t="s">
        <v>24</v>
      </c>
      <c r="S472" s="2" t="b">
        <f>COUNTIF('Marcas Target'!A:A,dados!$E472)&gt;0</f>
        <v>0</v>
      </c>
    </row>
    <row r="473" ht="15.75" customHeight="1">
      <c r="A473" s="2" t="s">
        <v>832</v>
      </c>
      <c r="B473" s="2" t="s">
        <v>575</v>
      </c>
      <c r="C473" s="2" t="s">
        <v>21</v>
      </c>
      <c r="D473" s="2" t="s">
        <v>22</v>
      </c>
      <c r="E473" s="2" t="s">
        <v>139</v>
      </c>
      <c r="F473" s="2" t="s">
        <v>24</v>
      </c>
      <c r="G473" s="2" t="s">
        <v>24</v>
      </c>
      <c r="H473" s="2" t="s">
        <v>833</v>
      </c>
      <c r="I473" s="2" t="s">
        <v>832</v>
      </c>
      <c r="J473" s="2" t="s">
        <v>26</v>
      </c>
      <c r="K473" s="2" t="s">
        <v>834</v>
      </c>
      <c r="L473" s="3">
        <v>46089.0</v>
      </c>
      <c r="M473" s="2" t="s">
        <v>24</v>
      </c>
      <c r="N473" s="2" t="s">
        <v>24</v>
      </c>
      <c r="O473" s="2">
        <v>22.0</v>
      </c>
      <c r="P473" s="2">
        <v>0.0</v>
      </c>
      <c r="Q473" s="2" t="s">
        <v>835</v>
      </c>
      <c r="R473" s="2" t="s">
        <v>24</v>
      </c>
      <c r="S473" s="2" t="b">
        <f>COUNTIF('Marcas Target'!A:A,dados!$E473)&gt;0</f>
        <v>0</v>
      </c>
    </row>
    <row r="474" ht="15.75" customHeight="1">
      <c r="A474" s="2" t="s">
        <v>832</v>
      </c>
      <c r="B474" s="2" t="s">
        <v>575</v>
      </c>
      <c r="C474" s="2" t="s">
        <v>21</v>
      </c>
      <c r="D474" s="2" t="s">
        <v>22</v>
      </c>
      <c r="E474" s="2" t="s">
        <v>139</v>
      </c>
      <c r="F474" s="2" t="s">
        <v>24</v>
      </c>
      <c r="G474" s="2" t="s">
        <v>24</v>
      </c>
      <c r="H474" s="2" t="s">
        <v>833</v>
      </c>
      <c r="I474" s="2" t="s">
        <v>832</v>
      </c>
      <c r="J474" s="2" t="s">
        <v>26</v>
      </c>
      <c r="K474" s="2" t="s">
        <v>834</v>
      </c>
      <c r="L474" s="3">
        <v>46088.0</v>
      </c>
      <c r="M474" s="2">
        <v>51.9</v>
      </c>
      <c r="N474" s="2">
        <v>51.9</v>
      </c>
      <c r="O474" s="2">
        <v>24.0</v>
      </c>
      <c r="P474" s="2">
        <v>13.0</v>
      </c>
      <c r="Q474" s="2" t="s">
        <v>835</v>
      </c>
      <c r="R474" s="2" t="s">
        <v>24</v>
      </c>
      <c r="S474" s="2" t="b">
        <f>COUNTIF('Marcas Target'!A:A,dados!$E474)&gt;0</f>
        <v>0</v>
      </c>
    </row>
    <row r="475" ht="15.75" customHeight="1">
      <c r="A475" s="2" t="s">
        <v>832</v>
      </c>
      <c r="B475" s="2" t="s">
        <v>575</v>
      </c>
      <c r="C475" s="2" t="s">
        <v>21</v>
      </c>
      <c r="D475" s="2" t="s">
        <v>22</v>
      </c>
      <c r="E475" s="2" t="s">
        <v>139</v>
      </c>
      <c r="F475" s="2" t="s">
        <v>24</v>
      </c>
      <c r="G475" s="2" t="s">
        <v>24</v>
      </c>
      <c r="H475" s="2" t="s">
        <v>833</v>
      </c>
      <c r="I475" s="2" t="s">
        <v>832</v>
      </c>
      <c r="J475" s="2" t="s">
        <v>26</v>
      </c>
      <c r="K475" s="2" t="s">
        <v>834</v>
      </c>
      <c r="L475" s="3">
        <v>46087.0</v>
      </c>
      <c r="M475" s="2" t="s">
        <v>24</v>
      </c>
      <c r="N475" s="2" t="s">
        <v>24</v>
      </c>
      <c r="O475" s="2">
        <v>3.0</v>
      </c>
      <c r="P475" s="2">
        <v>0.0</v>
      </c>
      <c r="Q475" s="2" t="s">
        <v>835</v>
      </c>
      <c r="R475" s="2" t="s">
        <v>24</v>
      </c>
      <c r="S475" s="2" t="b">
        <f>COUNTIF('Marcas Target'!A:A,dados!$E475)&gt;0</f>
        <v>0</v>
      </c>
    </row>
    <row r="476" ht="15.75" customHeight="1">
      <c r="A476" s="2" t="s">
        <v>836</v>
      </c>
      <c r="B476" s="2" t="s">
        <v>837</v>
      </c>
      <c r="C476" s="2" t="s">
        <v>24</v>
      </c>
      <c r="D476" s="2" t="s">
        <v>24</v>
      </c>
      <c r="E476" s="2" t="s">
        <v>503</v>
      </c>
      <c r="F476" s="2" t="s">
        <v>24</v>
      </c>
      <c r="G476" s="2" t="s">
        <v>24</v>
      </c>
      <c r="H476" s="2" t="s">
        <v>838</v>
      </c>
      <c r="I476" s="2" t="s">
        <v>836</v>
      </c>
      <c r="J476" s="2" t="s">
        <v>26</v>
      </c>
      <c r="K476" s="2" t="s">
        <v>839</v>
      </c>
      <c r="L476" s="3">
        <v>46089.0</v>
      </c>
      <c r="M476" s="2">
        <v>7.91</v>
      </c>
      <c r="N476" s="2">
        <v>7.91</v>
      </c>
      <c r="O476" s="2">
        <v>22.0</v>
      </c>
      <c r="P476" s="2">
        <v>22.0</v>
      </c>
      <c r="Q476" s="2" t="s">
        <v>840</v>
      </c>
      <c r="R476" s="2" t="s">
        <v>24</v>
      </c>
      <c r="S476" s="2" t="b">
        <f>COUNTIF('Marcas Target'!A:A,dados!$E476)&gt;0</f>
        <v>0</v>
      </c>
    </row>
    <row r="477" ht="15.75" customHeight="1">
      <c r="A477" s="2" t="s">
        <v>836</v>
      </c>
      <c r="B477" s="2" t="s">
        <v>837</v>
      </c>
      <c r="C477" s="2" t="s">
        <v>24</v>
      </c>
      <c r="D477" s="2" t="s">
        <v>24</v>
      </c>
      <c r="E477" s="2" t="s">
        <v>503</v>
      </c>
      <c r="F477" s="2" t="s">
        <v>24</v>
      </c>
      <c r="G477" s="2" t="s">
        <v>24</v>
      </c>
      <c r="H477" s="2" t="s">
        <v>838</v>
      </c>
      <c r="I477" s="2" t="s">
        <v>836</v>
      </c>
      <c r="J477" s="2" t="s">
        <v>26</v>
      </c>
      <c r="K477" s="2" t="s">
        <v>839</v>
      </c>
      <c r="L477" s="3">
        <v>46088.0</v>
      </c>
      <c r="M477" s="2">
        <v>9.15</v>
      </c>
      <c r="N477" s="2">
        <v>9.15</v>
      </c>
      <c r="O477" s="2">
        <v>24.0</v>
      </c>
      <c r="P477" s="2">
        <v>24.0</v>
      </c>
      <c r="Q477" s="2" t="s">
        <v>840</v>
      </c>
      <c r="R477" s="2" t="s">
        <v>24</v>
      </c>
      <c r="S477" s="2" t="b">
        <f>COUNTIF('Marcas Target'!A:A,dados!$E477)&gt;0</f>
        <v>0</v>
      </c>
    </row>
    <row r="478" ht="15.75" customHeight="1">
      <c r="A478" s="2" t="s">
        <v>836</v>
      </c>
      <c r="B478" s="2" t="s">
        <v>837</v>
      </c>
      <c r="C478" s="2" t="s">
        <v>24</v>
      </c>
      <c r="D478" s="2" t="s">
        <v>24</v>
      </c>
      <c r="E478" s="2" t="s">
        <v>503</v>
      </c>
      <c r="F478" s="2" t="s">
        <v>24</v>
      </c>
      <c r="G478" s="2" t="s">
        <v>24</v>
      </c>
      <c r="H478" s="2" t="s">
        <v>838</v>
      </c>
      <c r="I478" s="2" t="s">
        <v>836</v>
      </c>
      <c r="J478" s="2" t="s">
        <v>26</v>
      </c>
      <c r="K478" s="2" t="s">
        <v>839</v>
      </c>
      <c r="L478" s="3">
        <v>46087.0</v>
      </c>
      <c r="M478" s="2">
        <v>7.91</v>
      </c>
      <c r="N478" s="2">
        <v>7.91</v>
      </c>
      <c r="O478" s="2">
        <v>3.0</v>
      </c>
      <c r="P478" s="2">
        <v>2.0</v>
      </c>
      <c r="Q478" s="2" t="s">
        <v>840</v>
      </c>
      <c r="R478" s="2" t="s">
        <v>24</v>
      </c>
      <c r="S478" s="2" t="b">
        <f>COUNTIF('Marcas Target'!A:A,dados!$E478)&gt;0</f>
        <v>0</v>
      </c>
    </row>
    <row r="479" ht="15.75" customHeight="1">
      <c r="A479" s="2" t="s">
        <v>841</v>
      </c>
      <c r="B479" s="2" t="s">
        <v>842</v>
      </c>
      <c r="C479" s="2" t="s">
        <v>21</v>
      </c>
      <c r="D479" s="2" t="s">
        <v>22</v>
      </c>
      <c r="E479" s="2" t="s">
        <v>843</v>
      </c>
      <c r="F479" s="2" t="s">
        <v>24</v>
      </c>
      <c r="G479" s="2" t="s">
        <v>24</v>
      </c>
      <c r="H479" s="2" t="s">
        <v>844</v>
      </c>
      <c r="I479" s="2" t="s">
        <v>841</v>
      </c>
      <c r="J479" s="2" t="s">
        <v>26</v>
      </c>
      <c r="K479" s="2" t="s">
        <v>845</v>
      </c>
      <c r="L479" s="3">
        <v>46089.0</v>
      </c>
      <c r="M479" s="2">
        <v>20.14</v>
      </c>
      <c r="N479" s="2">
        <v>20.14</v>
      </c>
      <c r="O479" s="2">
        <v>22.0</v>
      </c>
      <c r="P479" s="2">
        <v>10.0</v>
      </c>
      <c r="Q479" s="2" t="s">
        <v>846</v>
      </c>
      <c r="R479" s="2" t="s">
        <v>24</v>
      </c>
      <c r="S479" s="2" t="b">
        <f>COUNTIF('Marcas Target'!A:A,dados!$E479)&gt;0</f>
        <v>1</v>
      </c>
    </row>
    <row r="480" ht="15.75" customHeight="1">
      <c r="A480" s="2" t="s">
        <v>841</v>
      </c>
      <c r="B480" s="2" t="s">
        <v>842</v>
      </c>
      <c r="C480" s="2" t="s">
        <v>21</v>
      </c>
      <c r="D480" s="2" t="s">
        <v>22</v>
      </c>
      <c r="E480" s="2" t="s">
        <v>843</v>
      </c>
      <c r="F480" s="2" t="s">
        <v>24</v>
      </c>
      <c r="G480" s="2" t="s">
        <v>24</v>
      </c>
      <c r="H480" s="2" t="s">
        <v>844</v>
      </c>
      <c r="I480" s="2" t="s">
        <v>841</v>
      </c>
      <c r="J480" s="2" t="s">
        <v>26</v>
      </c>
      <c r="K480" s="2" t="s">
        <v>845</v>
      </c>
      <c r="L480" s="3">
        <v>46088.0</v>
      </c>
      <c r="M480" s="2">
        <v>28.13</v>
      </c>
      <c r="N480" s="2">
        <v>28.13</v>
      </c>
      <c r="O480" s="2">
        <v>24.0</v>
      </c>
      <c r="P480" s="2">
        <v>19.0</v>
      </c>
      <c r="Q480" s="2" t="s">
        <v>846</v>
      </c>
      <c r="R480" s="2" t="s">
        <v>24</v>
      </c>
      <c r="S480" s="2" t="b">
        <f>COUNTIF('Marcas Target'!A:A,dados!$E480)&gt;0</f>
        <v>1</v>
      </c>
    </row>
    <row r="481" ht="15.75" customHeight="1">
      <c r="A481" s="2" t="s">
        <v>841</v>
      </c>
      <c r="B481" s="2" t="s">
        <v>842</v>
      </c>
      <c r="C481" s="2" t="s">
        <v>21</v>
      </c>
      <c r="D481" s="2" t="s">
        <v>22</v>
      </c>
      <c r="E481" s="2" t="s">
        <v>843</v>
      </c>
      <c r="F481" s="2" t="s">
        <v>24</v>
      </c>
      <c r="G481" s="2" t="s">
        <v>24</v>
      </c>
      <c r="H481" s="2" t="s">
        <v>844</v>
      </c>
      <c r="I481" s="2" t="s">
        <v>841</v>
      </c>
      <c r="J481" s="2" t="s">
        <v>26</v>
      </c>
      <c r="K481" s="2" t="s">
        <v>845</v>
      </c>
      <c r="L481" s="3">
        <v>46087.0</v>
      </c>
      <c r="M481" s="2">
        <v>20.14</v>
      </c>
      <c r="N481" s="2">
        <v>20.14</v>
      </c>
      <c r="O481" s="2">
        <v>3.0</v>
      </c>
      <c r="P481" s="2">
        <v>1.0</v>
      </c>
      <c r="Q481" s="2" t="s">
        <v>846</v>
      </c>
      <c r="R481" s="2" t="s">
        <v>24</v>
      </c>
      <c r="S481" s="2" t="b">
        <f>COUNTIF('Marcas Target'!A:A,dados!$E481)&gt;0</f>
        <v>1</v>
      </c>
    </row>
    <row r="482" ht="15.75" customHeight="1">
      <c r="A482" s="2" t="s">
        <v>847</v>
      </c>
      <c r="B482" s="2" t="s">
        <v>848</v>
      </c>
      <c r="C482" s="2" t="s">
        <v>24</v>
      </c>
      <c r="D482" s="2" t="s">
        <v>24</v>
      </c>
      <c r="E482" s="2" t="s">
        <v>362</v>
      </c>
      <c r="F482" s="2" t="s">
        <v>24</v>
      </c>
      <c r="G482" s="2" t="s">
        <v>24</v>
      </c>
      <c r="H482" s="2" t="s">
        <v>849</v>
      </c>
      <c r="I482" s="2" t="s">
        <v>847</v>
      </c>
      <c r="J482" s="2" t="s">
        <v>26</v>
      </c>
      <c r="K482" s="2" t="s">
        <v>850</v>
      </c>
      <c r="L482" s="3">
        <v>46089.0</v>
      </c>
      <c r="M482" s="2">
        <v>26.99</v>
      </c>
      <c r="N482" s="2">
        <v>26.99</v>
      </c>
      <c r="O482" s="2">
        <v>22.0</v>
      </c>
      <c r="P482" s="2">
        <v>22.0</v>
      </c>
      <c r="Q482" s="2" t="s">
        <v>851</v>
      </c>
      <c r="R482" s="2" t="s">
        <v>24</v>
      </c>
      <c r="S482" s="2" t="b">
        <f>COUNTIF('Marcas Target'!A:A,dados!$E482)&gt;0</f>
        <v>0</v>
      </c>
    </row>
    <row r="483" ht="15.75" customHeight="1">
      <c r="A483" s="2" t="s">
        <v>847</v>
      </c>
      <c r="B483" s="2" t="s">
        <v>848</v>
      </c>
      <c r="C483" s="2" t="s">
        <v>24</v>
      </c>
      <c r="D483" s="2" t="s">
        <v>24</v>
      </c>
      <c r="E483" s="2" t="s">
        <v>362</v>
      </c>
      <c r="F483" s="2" t="s">
        <v>24</v>
      </c>
      <c r="G483" s="2" t="s">
        <v>24</v>
      </c>
      <c r="H483" s="2" t="s">
        <v>849</v>
      </c>
      <c r="I483" s="2" t="s">
        <v>847</v>
      </c>
      <c r="J483" s="2" t="s">
        <v>26</v>
      </c>
      <c r="K483" s="2" t="s">
        <v>850</v>
      </c>
      <c r="L483" s="3">
        <v>46088.0</v>
      </c>
      <c r="M483" s="2">
        <v>26.99</v>
      </c>
      <c r="N483" s="2">
        <v>26.99</v>
      </c>
      <c r="O483" s="2">
        <v>24.0</v>
      </c>
      <c r="P483" s="2">
        <v>24.0</v>
      </c>
      <c r="Q483" s="2" t="s">
        <v>851</v>
      </c>
      <c r="R483" s="2" t="s">
        <v>24</v>
      </c>
      <c r="S483" s="2" t="b">
        <f>COUNTIF('Marcas Target'!A:A,dados!$E483)&gt;0</f>
        <v>0</v>
      </c>
    </row>
    <row r="484" ht="15.75" customHeight="1">
      <c r="A484" s="2" t="s">
        <v>847</v>
      </c>
      <c r="B484" s="2" t="s">
        <v>848</v>
      </c>
      <c r="C484" s="2" t="s">
        <v>24</v>
      </c>
      <c r="D484" s="2" t="s">
        <v>24</v>
      </c>
      <c r="E484" s="2" t="s">
        <v>362</v>
      </c>
      <c r="F484" s="2" t="s">
        <v>24</v>
      </c>
      <c r="G484" s="2" t="s">
        <v>24</v>
      </c>
      <c r="H484" s="2" t="s">
        <v>849</v>
      </c>
      <c r="I484" s="2" t="s">
        <v>847</v>
      </c>
      <c r="J484" s="2" t="s">
        <v>26</v>
      </c>
      <c r="K484" s="2" t="s">
        <v>850</v>
      </c>
      <c r="L484" s="3">
        <v>46087.0</v>
      </c>
      <c r="M484" s="2">
        <v>26.99</v>
      </c>
      <c r="N484" s="2">
        <v>26.99</v>
      </c>
      <c r="O484" s="2">
        <v>3.0</v>
      </c>
      <c r="P484" s="2">
        <v>2.0</v>
      </c>
      <c r="Q484" s="2" t="s">
        <v>851</v>
      </c>
      <c r="R484" s="2" t="s">
        <v>24</v>
      </c>
      <c r="S484" s="2" t="b">
        <f>COUNTIF('Marcas Target'!A:A,dados!$E484)&gt;0</f>
        <v>0</v>
      </c>
    </row>
    <row r="485" ht="15.75" customHeight="1">
      <c r="A485" s="2" t="s">
        <v>852</v>
      </c>
      <c r="B485" s="2" t="s">
        <v>853</v>
      </c>
      <c r="C485" s="2" t="s">
        <v>24</v>
      </c>
      <c r="D485" s="2" t="s">
        <v>24</v>
      </c>
      <c r="E485" s="2" t="s">
        <v>362</v>
      </c>
      <c r="F485" s="2" t="s">
        <v>24</v>
      </c>
      <c r="G485" s="2" t="s">
        <v>24</v>
      </c>
      <c r="H485" s="2" t="s">
        <v>854</v>
      </c>
      <c r="I485" s="2" t="s">
        <v>852</v>
      </c>
      <c r="J485" s="2" t="s">
        <v>26</v>
      </c>
      <c r="K485" s="2" t="s">
        <v>855</v>
      </c>
      <c r="L485" s="3">
        <v>46089.0</v>
      </c>
      <c r="M485" s="2">
        <v>26.99</v>
      </c>
      <c r="N485" s="2">
        <v>26.99</v>
      </c>
      <c r="O485" s="2">
        <v>22.0</v>
      </c>
      <c r="P485" s="2">
        <v>12.0</v>
      </c>
      <c r="Q485" s="2" t="s">
        <v>856</v>
      </c>
      <c r="R485" s="2" t="s">
        <v>24</v>
      </c>
      <c r="S485" s="2" t="b">
        <f>COUNTIF('Marcas Target'!A:A,dados!$E485)&gt;0</f>
        <v>0</v>
      </c>
    </row>
    <row r="486" ht="15.75" customHeight="1">
      <c r="A486" s="2" t="s">
        <v>852</v>
      </c>
      <c r="B486" s="2" t="s">
        <v>853</v>
      </c>
      <c r="C486" s="2" t="s">
        <v>24</v>
      </c>
      <c r="D486" s="2" t="s">
        <v>24</v>
      </c>
      <c r="E486" s="2" t="s">
        <v>362</v>
      </c>
      <c r="F486" s="2" t="s">
        <v>24</v>
      </c>
      <c r="G486" s="2" t="s">
        <v>24</v>
      </c>
      <c r="H486" s="2" t="s">
        <v>854</v>
      </c>
      <c r="I486" s="2" t="s">
        <v>852</v>
      </c>
      <c r="J486" s="2" t="s">
        <v>26</v>
      </c>
      <c r="K486" s="2" t="s">
        <v>855</v>
      </c>
      <c r="L486" s="3">
        <v>46088.0</v>
      </c>
      <c r="M486" s="2">
        <v>26.99</v>
      </c>
      <c r="N486" s="2">
        <v>26.99</v>
      </c>
      <c r="O486" s="2">
        <v>24.0</v>
      </c>
      <c r="P486" s="2">
        <v>7.0</v>
      </c>
      <c r="Q486" s="2" t="s">
        <v>856</v>
      </c>
      <c r="R486" s="2" t="s">
        <v>24</v>
      </c>
      <c r="S486" s="2" t="b">
        <f>COUNTIF('Marcas Target'!A:A,dados!$E486)&gt;0</f>
        <v>0</v>
      </c>
    </row>
    <row r="487" ht="15.75" customHeight="1">
      <c r="A487" s="2" t="s">
        <v>852</v>
      </c>
      <c r="B487" s="2" t="s">
        <v>853</v>
      </c>
      <c r="C487" s="2" t="s">
        <v>24</v>
      </c>
      <c r="D487" s="2" t="s">
        <v>24</v>
      </c>
      <c r="E487" s="2" t="s">
        <v>362</v>
      </c>
      <c r="F487" s="2" t="s">
        <v>24</v>
      </c>
      <c r="G487" s="2" t="s">
        <v>24</v>
      </c>
      <c r="H487" s="2" t="s">
        <v>854</v>
      </c>
      <c r="I487" s="2" t="s">
        <v>852</v>
      </c>
      <c r="J487" s="2" t="s">
        <v>26</v>
      </c>
      <c r="K487" s="2" t="s">
        <v>855</v>
      </c>
      <c r="L487" s="3">
        <v>46087.0</v>
      </c>
      <c r="M487" s="2">
        <v>26.99</v>
      </c>
      <c r="N487" s="2">
        <v>26.99</v>
      </c>
      <c r="O487" s="2">
        <v>3.0</v>
      </c>
      <c r="P487" s="2">
        <v>1.0</v>
      </c>
      <c r="Q487" s="2" t="s">
        <v>856</v>
      </c>
      <c r="R487" s="2" t="s">
        <v>24</v>
      </c>
      <c r="S487" s="2" t="b">
        <f>COUNTIF('Marcas Target'!A:A,dados!$E487)&gt;0</f>
        <v>0</v>
      </c>
    </row>
    <row r="488" ht="15.75" customHeight="1">
      <c r="A488" s="2" t="s">
        <v>857</v>
      </c>
      <c r="B488" s="2" t="s">
        <v>858</v>
      </c>
      <c r="C488" s="2" t="s">
        <v>24</v>
      </c>
      <c r="D488" s="2" t="s">
        <v>24</v>
      </c>
      <c r="E488" s="2" t="s">
        <v>362</v>
      </c>
      <c r="F488" s="2" t="s">
        <v>24</v>
      </c>
      <c r="G488" s="2" t="s">
        <v>24</v>
      </c>
      <c r="H488" s="2" t="s">
        <v>859</v>
      </c>
      <c r="I488" s="2" t="s">
        <v>857</v>
      </c>
      <c r="J488" s="2" t="s">
        <v>26</v>
      </c>
      <c r="K488" s="2" t="s">
        <v>860</v>
      </c>
      <c r="L488" s="3">
        <v>46089.0</v>
      </c>
      <c r="M488" s="2">
        <v>26.99</v>
      </c>
      <c r="N488" s="2">
        <v>26.99</v>
      </c>
      <c r="O488" s="2">
        <v>22.0</v>
      </c>
      <c r="P488" s="2">
        <v>22.0</v>
      </c>
      <c r="Q488" s="2" t="s">
        <v>861</v>
      </c>
      <c r="R488" s="2" t="s">
        <v>24</v>
      </c>
      <c r="S488" s="2" t="b">
        <f>COUNTIF('Marcas Target'!A:A,dados!$E488)&gt;0</f>
        <v>0</v>
      </c>
    </row>
    <row r="489" ht="15.75" customHeight="1">
      <c r="A489" s="2" t="s">
        <v>857</v>
      </c>
      <c r="B489" s="2" t="s">
        <v>858</v>
      </c>
      <c r="C489" s="2" t="s">
        <v>24</v>
      </c>
      <c r="D489" s="2" t="s">
        <v>24</v>
      </c>
      <c r="E489" s="2" t="s">
        <v>362</v>
      </c>
      <c r="F489" s="2" t="s">
        <v>24</v>
      </c>
      <c r="G489" s="2" t="s">
        <v>24</v>
      </c>
      <c r="H489" s="2" t="s">
        <v>859</v>
      </c>
      <c r="I489" s="2" t="s">
        <v>857</v>
      </c>
      <c r="J489" s="2" t="s">
        <v>26</v>
      </c>
      <c r="K489" s="2" t="s">
        <v>860</v>
      </c>
      <c r="L489" s="3">
        <v>46088.0</v>
      </c>
      <c r="M489" s="2">
        <v>26.99</v>
      </c>
      <c r="N489" s="2">
        <v>26.99</v>
      </c>
      <c r="O489" s="2">
        <v>24.0</v>
      </c>
      <c r="P489" s="2">
        <v>24.0</v>
      </c>
      <c r="Q489" s="2" t="s">
        <v>861</v>
      </c>
      <c r="R489" s="2" t="s">
        <v>24</v>
      </c>
      <c r="S489" s="2" t="b">
        <f>COUNTIF('Marcas Target'!A:A,dados!$E489)&gt;0</f>
        <v>0</v>
      </c>
    </row>
    <row r="490" ht="15.75" customHeight="1">
      <c r="A490" s="2" t="s">
        <v>857</v>
      </c>
      <c r="B490" s="2" t="s">
        <v>858</v>
      </c>
      <c r="C490" s="2" t="s">
        <v>24</v>
      </c>
      <c r="D490" s="2" t="s">
        <v>24</v>
      </c>
      <c r="E490" s="2" t="s">
        <v>362</v>
      </c>
      <c r="F490" s="2" t="s">
        <v>24</v>
      </c>
      <c r="G490" s="2" t="s">
        <v>24</v>
      </c>
      <c r="H490" s="2" t="s">
        <v>859</v>
      </c>
      <c r="I490" s="2" t="s">
        <v>857</v>
      </c>
      <c r="J490" s="2" t="s">
        <v>26</v>
      </c>
      <c r="K490" s="2" t="s">
        <v>860</v>
      </c>
      <c r="L490" s="3">
        <v>46087.0</v>
      </c>
      <c r="M490" s="2">
        <v>26.99</v>
      </c>
      <c r="N490" s="2">
        <v>26.99</v>
      </c>
      <c r="O490" s="2">
        <v>3.0</v>
      </c>
      <c r="P490" s="2">
        <v>2.0</v>
      </c>
      <c r="Q490" s="2" t="s">
        <v>861</v>
      </c>
      <c r="R490" s="2" t="s">
        <v>24</v>
      </c>
      <c r="S490" s="2" t="b">
        <f>COUNTIF('Marcas Target'!A:A,dados!$E490)&gt;0</f>
        <v>0</v>
      </c>
    </row>
    <row r="491" ht="15.75" customHeight="1">
      <c r="A491" s="2" t="s">
        <v>862</v>
      </c>
      <c r="B491" s="2" t="s">
        <v>863</v>
      </c>
      <c r="C491" s="2" t="s">
        <v>24</v>
      </c>
      <c r="D491" s="2" t="s">
        <v>24</v>
      </c>
      <c r="E491" s="2" t="s">
        <v>503</v>
      </c>
      <c r="F491" s="2" t="s">
        <v>24</v>
      </c>
      <c r="G491" s="2" t="s">
        <v>24</v>
      </c>
      <c r="H491" s="2" t="s">
        <v>864</v>
      </c>
      <c r="I491" s="2" t="s">
        <v>862</v>
      </c>
      <c r="J491" s="2" t="s">
        <v>26</v>
      </c>
      <c r="K491" s="2" t="s">
        <v>865</v>
      </c>
      <c r="L491" s="3">
        <v>46089.0</v>
      </c>
      <c r="M491" s="2">
        <v>24.79</v>
      </c>
      <c r="N491" s="2">
        <v>24.79</v>
      </c>
      <c r="O491" s="2">
        <v>22.0</v>
      </c>
      <c r="P491" s="2">
        <v>22.0</v>
      </c>
      <c r="Q491" s="2" t="s">
        <v>866</v>
      </c>
      <c r="R491" s="2" t="s">
        <v>24</v>
      </c>
      <c r="S491" s="2" t="b">
        <f>COUNTIF('Marcas Target'!A:A,dados!$E491)&gt;0</f>
        <v>0</v>
      </c>
    </row>
    <row r="492" ht="15.75" customHeight="1">
      <c r="A492" s="2" t="s">
        <v>862</v>
      </c>
      <c r="B492" s="2" t="s">
        <v>863</v>
      </c>
      <c r="C492" s="2" t="s">
        <v>24</v>
      </c>
      <c r="D492" s="2" t="s">
        <v>24</v>
      </c>
      <c r="E492" s="2" t="s">
        <v>503</v>
      </c>
      <c r="F492" s="2" t="s">
        <v>24</v>
      </c>
      <c r="G492" s="2" t="s">
        <v>24</v>
      </c>
      <c r="H492" s="2" t="s">
        <v>864</v>
      </c>
      <c r="I492" s="2" t="s">
        <v>862</v>
      </c>
      <c r="J492" s="2" t="s">
        <v>26</v>
      </c>
      <c r="K492" s="2" t="s">
        <v>865</v>
      </c>
      <c r="L492" s="3">
        <v>46088.0</v>
      </c>
      <c r="M492" s="2">
        <v>28.66</v>
      </c>
      <c r="N492" s="2">
        <v>28.66</v>
      </c>
      <c r="O492" s="2">
        <v>24.0</v>
      </c>
      <c r="P492" s="2">
        <v>24.0</v>
      </c>
      <c r="Q492" s="2" t="s">
        <v>866</v>
      </c>
      <c r="R492" s="2" t="s">
        <v>24</v>
      </c>
      <c r="S492" s="2" t="b">
        <f>COUNTIF('Marcas Target'!A:A,dados!$E492)&gt;0</f>
        <v>0</v>
      </c>
    </row>
    <row r="493" ht="15.75" customHeight="1">
      <c r="A493" s="2" t="s">
        <v>862</v>
      </c>
      <c r="B493" s="2" t="s">
        <v>863</v>
      </c>
      <c r="C493" s="2" t="s">
        <v>24</v>
      </c>
      <c r="D493" s="2" t="s">
        <v>24</v>
      </c>
      <c r="E493" s="2" t="s">
        <v>503</v>
      </c>
      <c r="F493" s="2" t="s">
        <v>24</v>
      </c>
      <c r="G493" s="2" t="s">
        <v>24</v>
      </c>
      <c r="H493" s="2" t="s">
        <v>864</v>
      </c>
      <c r="I493" s="2" t="s">
        <v>862</v>
      </c>
      <c r="J493" s="2" t="s">
        <v>26</v>
      </c>
      <c r="K493" s="2" t="s">
        <v>865</v>
      </c>
      <c r="L493" s="3">
        <v>46087.0</v>
      </c>
      <c r="M493" s="2">
        <v>24.79</v>
      </c>
      <c r="N493" s="2">
        <v>24.79</v>
      </c>
      <c r="O493" s="2">
        <v>3.0</v>
      </c>
      <c r="P493" s="2">
        <v>3.0</v>
      </c>
      <c r="Q493" s="2" t="s">
        <v>866</v>
      </c>
      <c r="R493" s="2" t="s">
        <v>24</v>
      </c>
      <c r="S493" s="2" t="b">
        <f>COUNTIF('Marcas Target'!A:A,dados!$E493)&gt;0</f>
        <v>0</v>
      </c>
    </row>
    <row r="494" ht="15.75" customHeight="1">
      <c r="A494" s="2" t="s">
        <v>867</v>
      </c>
      <c r="B494" s="2" t="s">
        <v>868</v>
      </c>
      <c r="C494" s="2" t="s">
        <v>24</v>
      </c>
      <c r="D494" s="2" t="s">
        <v>24</v>
      </c>
      <c r="E494" s="2" t="s">
        <v>503</v>
      </c>
      <c r="F494" s="2" t="s">
        <v>24</v>
      </c>
      <c r="G494" s="2" t="s">
        <v>24</v>
      </c>
      <c r="H494" s="2" t="s">
        <v>869</v>
      </c>
      <c r="I494" s="2" t="s">
        <v>867</v>
      </c>
      <c r="J494" s="2" t="s">
        <v>26</v>
      </c>
      <c r="K494" s="2" t="s">
        <v>870</v>
      </c>
      <c r="L494" s="3">
        <v>46089.0</v>
      </c>
      <c r="M494" s="2">
        <v>27.99</v>
      </c>
      <c r="N494" s="2">
        <v>27.99</v>
      </c>
      <c r="O494" s="2">
        <v>22.0</v>
      </c>
      <c r="P494" s="2">
        <v>22.0</v>
      </c>
      <c r="Q494" s="2" t="s">
        <v>871</v>
      </c>
      <c r="R494" s="2" t="s">
        <v>24</v>
      </c>
      <c r="S494" s="2" t="b">
        <f>COUNTIF('Marcas Target'!A:A,dados!$E494)&gt;0</f>
        <v>0</v>
      </c>
    </row>
    <row r="495" ht="15.75" customHeight="1">
      <c r="A495" s="2" t="s">
        <v>867</v>
      </c>
      <c r="B495" s="2" t="s">
        <v>868</v>
      </c>
      <c r="C495" s="2" t="s">
        <v>24</v>
      </c>
      <c r="D495" s="2" t="s">
        <v>24</v>
      </c>
      <c r="E495" s="2" t="s">
        <v>503</v>
      </c>
      <c r="F495" s="2" t="s">
        <v>24</v>
      </c>
      <c r="G495" s="2" t="s">
        <v>24</v>
      </c>
      <c r="H495" s="2" t="s">
        <v>869</v>
      </c>
      <c r="I495" s="2" t="s">
        <v>867</v>
      </c>
      <c r="J495" s="2" t="s">
        <v>26</v>
      </c>
      <c r="K495" s="2" t="s">
        <v>870</v>
      </c>
      <c r="L495" s="3">
        <v>46088.0</v>
      </c>
      <c r="M495" s="2">
        <v>27.99</v>
      </c>
      <c r="N495" s="2">
        <v>27.99</v>
      </c>
      <c r="O495" s="2">
        <v>24.0</v>
      </c>
      <c r="P495" s="2">
        <v>24.0</v>
      </c>
      <c r="Q495" s="2" t="s">
        <v>871</v>
      </c>
      <c r="R495" s="2" t="s">
        <v>24</v>
      </c>
      <c r="S495" s="2" t="b">
        <f>COUNTIF('Marcas Target'!A:A,dados!$E495)&gt;0</f>
        <v>0</v>
      </c>
    </row>
    <row r="496" ht="15.75" customHeight="1">
      <c r="A496" s="2" t="s">
        <v>867</v>
      </c>
      <c r="B496" s="2" t="s">
        <v>868</v>
      </c>
      <c r="C496" s="2" t="s">
        <v>24</v>
      </c>
      <c r="D496" s="2" t="s">
        <v>24</v>
      </c>
      <c r="E496" s="2" t="s">
        <v>503</v>
      </c>
      <c r="F496" s="2" t="s">
        <v>24</v>
      </c>
      <c r="G496" s="2" t="s">
        <v>24</v>
      </c>
      <c r="H496" s="2" t="s">
        <v>869</v>
      </c>
      <c r="I496" s="2" t="s">
        <v>867</v>
      </c>
      <c r="J496" s="2" t="s">
        <v>26</v>
      </c>
      <c r="K496" s="2" t="s">
        <v>870</v>
      </c>
      <c r="L496" s="3">
        <v>46087.0</v>
      </c>
      <c r="M496" s="2">
        <v>27.99</v>
      </c>
      <c r="N496" s="2">
        <v>27.99</v>
      </c>
      <c r="O496" s="2">
        <v>3.0</v>
      </c>
      <c r="P496" s="2">
        <v>3.0</v>
      </c>
      <c r="Q496" s="2" t="s">
        <v>871</v>
      </c>
      <c r="R496" s="2" t="s">
        <v>24</v>
      </c>
      <c r="S496" s="2" t="b">
        <f>COUNTIF('Marcas Target'!A:A,dados!$E496)&gt;0</f>
        <v>0</v>
      </c>
    </row>
    <row r="497" ht="15.75" customHeight="1">
      <c r="A497" s="2" t="s">
        <v>872</v>
      </c>
      <c r="B497" s="2" t="s">
        <v>873</v>
      </c>
      <c r="C497" s="2" t="s">
        <v>24</v>
      </c>
      <c r="D497" s="2" t="s">
        <v>24</v>
      </c>
      <c r="E497" s="2" t="s">
        <v>874</v>
      </c>
      <c r="F497" s="2" t="s">
        <v>24</v>
      </c>
      <c r="G497" s="2" t="s">
        <v>24</v>
      </c>
      <c r="H497" s="2" t="s">
        <v>875</v>
      </c>
      <c r="I497" s="2" t="s">
        <v>872</v>
      </c>
      <c r="J497" s="2" t="s">
        <v>26</v>
      </c>
      <c r="K497" s="2" t="s">
        <v>876</v>
      </c>
      <c r="L497" s="3">
        <v>46089.0</v>
      </c>
      <c r="M497" s="2">
        <v>39.99</v>
      </c>
      <c r="N497" s="2">
        <v>39.99</v>
      </c>
      <c r="O497" s="2">
        <v>22.0</v>
      </c>
      <c r="P497" s="2">
        <v>22.0</v>
      </c>
      <c r="Q497" s="2" t="s">
        <v>877</v>
      </c>
      <c r="R497" s="2" t="s">
        <v>24</v>
      </c>
      <c r="S497" s="2" t="b">
        <f>COUNTIF('Marcas Target'!A:A,dados!$E497)&gt;0</f>
        <v>1</v>
      </c>
    </row>
    <row r="498" ht="15.75" customHeight="1">
      <c r="A498" s="2" t="s">
        <v>872</v>
      </c>
      <c r="B498" s="2" t="s">
        <v>873</v>
      </c>
      <c r="C498" s="2" t="s">
        <v>24</v>
      </c>
      <c r="D498" s="2" t="s">
        <v>24</v>
      </c>
      <c r="E498" s="2" t="s">
        <v>874</v>
      </c>
      <c r="F498" s="2" t="s">
        <v>24</v>
      </c>
      <c r="G498" s="2" t="s">
        <v>24</v>
      </c>
      <c r="H498" s="2" t="s">
        <v>875</v>
      </c>
      <c r="I498" s="2" t="s">
        <v>872</v>
      </c>
      <c r="J498" s="2" t="s">
        <v>26</v>
      </c>
      <c r="K498" s="2" t="s">
        <v>876</v>
      </c>
      <c r="L498" s="3">
        <v>46088.0</v>
      </c>
      <c r="M498" s="2">
        <v>39.99</v>
      </c>
      <c r="N498" s="2">
        <v>39.99</v>
      </c>
      <c r="O498" s="2">
        <v>24.0</v>
      </c>
      <c r="P498" s="2">
        <v>24.0</v>
      </c>
      <c r="Q498" s="2" t="s">
        <v>877</v>
      </c>
      <c r="R498" s="2" t="s">
        <v>24</v>
      </c>
      <c r="S498" s="2" t="b">
        <f>COUNTIF('Marcas Target'!A:A,dados!$E498)&gt;0</f>
        <v>1</v>
      </c>
    </row>
    <row r="499" ht="15.75" customHeight="1">
      <c r="A499" s="2" t="s">
        <v>872</v>
      </c>
      <c r="B499" s="2" t="s">
        <v>873</v>
      </c>
      <c r="C499" s="2" t="s">
        <v>24</v>
      </c>
      <c r="D499" s="2" t="s">
        <v>24</v>
      </c>
      <c r="E499" s="2" t="s">
        <v>874</v>
      </c>
      <c r="F499" s="2" t="s">
        <v>24</v>
      </c>
      <c r="G499" s="2" t="s">
        <v>24</v>
      </c>
      <c r="H499" s="2" t="s">
        <v>875</v>
      </c>
      <c r="I499" s="2" t="s">
        <v>872</v>
      </c>
      <c r="J499" s="2" t="s">
        <v>26</v>
      </c>
      <c r="K499" s="2" t="s">
        <v>876</v>
      </c>
      <c r="L499" s="3">
        <v>46087.0</v>
      </c>
      <c r="M499" s="2">
        <v>39.99</v>
      </c>
      <c r="N499" s="2">
        <v>39.99</v>
      </c>
      <c r="O499" s="2">
        <v>3.0</v>
      </c>
      <c r="P499" s="2">
        <v>3.0</v>
      </c>
      <c r="Q499" s="2" t="s">
        <v>877</v>
      </c>
      <c r="R499" s="2" t="s">
        <v>24</v>
      </c>
      <c r="S499" s="2" t="b">
        <f>COUNTIF('Marcas Target'!A:A,dados!$E499)&gt;0</f>
        <v>1</v>
      </c>
    </row>
    <row r="500" ht="15.75" customHeight="1">
      <c r="A500" s="2" t="s">
        <v>878</v>
      </c>
      <c r="B500" s="2" t="s">
        <v>879</v>
      </c>
      <c r="C500" s="2" t="s">
        <v>24</v>
      </c>
      <c r="D500" s="2" t="s">
        <v>24</v>
      </c>
      <c r="E500" s="2" t="s">
        <v>874</v>
      </c>
      <c r="F500" s="2" t="s">
        <v>24</v>
      </c>
      <c r="G500" s="2" t="s">
        <v>24</v>
      </c>
      <c r="H500" s="2" t="s">
        <v>880</v>
      </c>
      <c r="I500" s="2" t="s">
        <v>878</v>
      </c>
      <c r="J500" s="2" t="s">
        <v>26</v>
      </c>
      <c r="K500" s="2" t="s">
        <v>881</v>
      </c>
      <c r="L500" s="3">
        <v>46089.0</v>
      </c>
      <c r="M500" s="2">
        <v>51.9</v>
      </c>
      <c r="N500" s="2">
        <v>51.9</v>
      </c>
      <c r="O500" s="2">
        <v>22.0</v>
      </c>
      <c r="P500" s="2">
        <v>22.0</v>
      </c>
      <c r="Q500" s="2" t="s">
        <v>882</v>
      </c>
      <c r="R500" s="2" t="s">
        <v>24</v>
      </c>
      <c r="S500" s="2" t="b">
        <f>COUNTIF('Marcas Target'!A:A,dados!$E500)&gt;0</f>
        <v>1</v>
      </c>
    </row>
    <row r="501" ht="15.75" customHeight="1">
      <c r="A501" s="2" t="s">
        <v>878</v>
      </c>
      <c r="B501" s="2" t="s">
        <v>879</v>
      </c>
      <c r="C501" s="2" t="s">
        <v>24</v>
      </c>
      <c r="D501" s="2" t="s">
        <v>24</v>
      </c>
      <c r="E501" s="2" t="s">
        <v>874</v>
      </c>
      <c r="F501" s="2" t="s">
        <v>24</v>
      </c>
      <c r="G501" s="2" t="s">
        <v>24</v>
      </c>
      <c r="H501" s="2" t="s">
        <v>880</v>
      </c>
      <c r="I501" s="2" t="s">
        <v>878</v>
      </c>
      <c r="J501" s="2" t="s">
        <v>26</v>
      </c>
      <c r="K501" s="2" t="s">
        <v>881</v>
      </c>
      <c r="L501" s="3">
        <v>46088.0</v>
      </c>
      <c r="M501" s="2">
        <v>51.9</v>
      </c>
      <c r="N501" s="2">
        <v>51.9</v>
      </c>
      <c r="O501" s="2">
        <v>24.0</v>
      </c>
      <c r="P501" s="2">
        <v>24.0</v>
      </c>
      <c r="Q501" s="2" t="s">
        <v>882</v>
      </c>
      <c r="R501" s="2" t="s">
        <v>24</v>
      </c>
      <c r="S501" s="2" t="b">
        <f>COUNTIF('Marcas Target'!A:A,dados!$E501)&gt;0</f>
        <v>1</v>
      </c>
    </row>
    <row r="502" ht="15.75" customHeight="1">
      <c r="A502" s="2" t="s">
        <v>878</v>
      </c>
      <c r="B502" s="2" t="s">
        <v>879</v>
      </c>
      <c r="C502" s="2" t="s">
        <v>24</v>
      </c>
      <c r="D502" s="2" t="s">
        <v>24</v>
      </c>
      <c r="E502" s="2" t="s">
        <v>874</v>
      </c>
      <c r="F502" s="2" t="s">
        <v>24</v>
      </c>
      <c r="G502" s="2" t="s">
        <v>24</v>
      </c>
      <c r="H502" s="2" t="s">
        <v>880</v>
      </c>
      <c r="I502" s="2" t="s">
        <v>878</v>
      </c>
      <c r="J502" s="2" t="s">
        <v>26</v>
      </c>
      <c r="K502" s="2" t="s">
        <v>881</v>
      </c>
      <c r="L502" s="3">
        <v>46087.0</v>
      </c>
      <c r="M502" s="2">
        <v>51.9</v>
      </c>
      <c r="N502" s="2">
        <v>51.9</v>
      </c>
      <c r="O502" s="2">
        <v>3.0</v>
      </c>
      <c r="P502" s="2">
        <v>3.0</v>
      </c>
      <c r="Q502" s="2" t="s">
        <v>882</v>
      </c>
      <c r="R502" s="2" t="s">
        <v>24</v>
      </c>
      <c r="S502" s="2" t="b">
        <f>COUNTIF('Marcas Target'!A:A,dados!$E502)&gt;0</f>
        <v>1</v>
      </c>
    </row>
    <row r="503" ht="15.75" customHeight="1">
      <c r="A503" s="2" t="s">
        <v>883</v>
      </c>
      <c r="B503" s="2" t="s">
        <v>884</v>
      </c>
      <c r="C503" s="2" t="s">
        <v>24</v>
      </c>
      <c r="D503" s="2" t="s">
        <v>24</v>
      </c>
      <c r="E503" s="2" t="s">
        <v>874</v>
      </c>
      <c r="F503" s="2" t="s">
        <v>24</v>
      </c>
      <c r="G503" s="2" t="s">
        <v>24</v>
      </c>
      <c r="H503" s="2" t="s">
        <v>885</v>
      </c>
      <c r="I503" s="2" t="s">
        <v>883</v>
      </c>
      <c r="J503" s="2" t="s">
        <v>26</v>
      </c>
      <c r="K503" s="2" t="s">
        <v>886</v>
      </c>
      <c r="L503" s="3">
        <v>46089.0</v>
      </c>
      <c r="M503" s="2">
        <v>48.99</v>
      </c>
      <c r="N503" s="2">
        <v>48.99</v>
      </c>
      <c r="O503" s="2">
        <v>22.0</v>
      </c>
      <c r="P503" s="2">
        <v>22.0</v>
      </c>
      <c r="Q503" s="2" t="s">
        <v>887</v>
      </c>
      <c r="R503" s="2" t="s">
        <v>24</v>
      </c>
      <c r="S503" s="2" t="b">
        <f>COUNTIF('Marcas Target'!A:A,dados!$E503)&gt;0</f>
        <v>1</v>
      </c>
    </row>
    <row r="504" ht="15.75" customHeight="1">
      <c r="A504" s="2" t="s">
        <v>883</v>
      </c>
      <c r="B504" s="2" t="s">
        <v>884</v>
      </c>
      <c r="C504" s="2" t="s">
        <v>24</v>
      </c>
      <c r="D504" s="2" t="s">
        <v>24</v>
      </c>
      <c r="E504" s="2" t="s">
        <v>874</v>
      </c>
      <c r="F504" s="2" t="s">
        <v>24</v>
      </c>
      <c r="G504" s="2" t="s">
        <v>24</v>
      </c>
      <c r="H504" s="2" t="s">
        <v>885</v>
      </c>
      <c r="I504" s="2" t="s">
        <v>883</v>
      </c>
      <c r="J504" s="2" t="s">
        <v>26</v>
      </c>
      <c r="K504" s="2" t="s">
        <v>886</v>
      </c>
      <c r="L504" s="3">
        <v>46088.0</v>
      </c>
      <c r="M504" s="2">
        <v>48.99</v>
      </c>
      <c r="N504" s="2">
        <v>48.99</v>
      </c>
      <c r="O504" s="2">
        <v>24.0</v>
      </c>
      <c r="P504" s="2">
        <v>23.0</v>
      </c>
      <c r="Q504" s="2" t="s">
        <v>887</v>
      </c>
      <c r="R504" s="2" t="s">
        <v>24</v>
      </c>
      <c r="S504" s="2" t="b">
        <f>COUNTIF('Marcas Target'!A:A,dados!$E504)&gt;0</f>
        <v>1</v>
      </c>
    </row>
    <row r="505" ht="15.75" customHeight="1">
      <c r="A505" s="2" t="s">
        <v>883</v>
      </c>
      <c r="B505" s="2" t="s">
        <v>884</v>
      </c>
      <c r="C505" s="2" t="s">
        <v>24</v>
      </c>
      <c r="D505" s="2" t="s">
        <v>24</v>
      </c>
      <c r="E505" s="2" t="s">
        <v>874</v>
      </c>
      <c r="F505" s="2" t="s">
        <v>24</v>
      </c>
      <c r="G505" s="2" t="s">
        <v>24</v>
      </c>
      <c r="H505" s="2" t="s">
        <v>885</v>
      </c>
      <c r="I505" s="2" t="s">
        <v>883</v>
      </c>
      <c r="J505" s="2" t="s">
        <v>26</v>
      </c>
      <c r="K505" s="2" t="s">
        <v>886</v>
      </c>
      <c r="L505" s="3">
        <v>46087.0</v>
      </c>
      <c r="M505" s="2">
        <v>48.99</v>
      </c>
      <c r="N505" s="2">
        <v>48.99</v>
      </c>
      <c r="O505" s="2">
        <v>3.0</v>
      </c>
      <c r="P505" s="2">
        <v>2.0</v>
      </c>
      <c r="Q505" s="2" t="s">
        <v>887</v>
      </c>
      <c r="R505" s="2" t="s">
        <v>24</v>
      </c>
      <c r="S505" s="2" t="b">
        <f>COUNTIF('Marcas Target'!A:A,dados!$E505)&gt;0</f>
        <v>1</v>
      </c>
    </row>
    <row r="506" ht="15.75" customHeight="1">
      <c r="A506" s="2" t="s">
        <v>888</v>
      </c>
      <c r="B506" s="2" t="s">
        <v>889</v>
      </c>
      <c r="C506" s="2" t="s">
        <v>24</v>
      </c>
      <c r="D506" s="2" t="s">
        <v>24</v>
      </c>
      <c r="E506" s="2" t="s">
        <v>874</v>
      </c>
      <c r="F506" s="2" t="s">
        <v>24</v>
      </c>
      <c r="G506" s="2" t="s">
        <v>24</v>
      </c>
      <c r="H506" s="2" t="s">
        <v>890</v>
      </c>
      <c r="I506" s="2" t="s">
        <v>888</v>
      </c>
      <c r="J506" s="2" t="s">
        <v>26</v>
      </c>
      <c r="K506" s="2" t="s">
        <v>891</v>
      </c>
      <c r="L506" s="3">
        <v>46089.0</v>
      </c>
      <c r="M506" s="2">
        <v>39.99</v>
      </c>
      <c r="N506" s="2">
        <v>39.99</v>
      </c>
      <c r="O506" s="2">
        <v>22.0</v>
      </c>
      <c r="P506" s="2">
        <v>21.0</v>
      </c>
      <c r="Q506" s="2" t="s">
        <v>892</v>
      </c>
      <c r="R506" s="2" t="s">
        <v>24</v>
      </c>
      <c r="S506" s="2" t="b">
        <f>COUNTIF('Marcas Target'!A:A,dados!$E506)&gt;0</f>
        <v>1</v>
      </c>
    </row>
    <row r="507" ht="15.75" customHeight="1">
      <c r="A507" s="2" t="s">
        <v>888</v>
      </c>
      <c r="B507" s="2" t="s">
        <v>889</v>
      </c>
      <c r="C507" s="2" t="s">
        <v>24</v>
      </c>
      <c r="D507" s="2" t="s">
        <v>24</v>
      </c>
      <c r="E507" s="2" t="s">
        <v>874</v>
      </c>
      <c r="F507" s="2" t="s">
        <v>24</v>
      </c>
      <c r="G507" s="2" t="s">
        <v>24</v>
      </c>
      <c r="H507" s="2" t="s">
        <v>890</v>
      </c>
      <c r="I507" s="2" t="s">
        <v>888</v>
      </c>
      <c r="J507" s="2" t="s">
        <v>26</v>
      </c>
      <c r="K507" s="2" t="s">
        <v>891</v>
      </c>
      <c r="L507" s="3">
        <v>46088.0</v>
      </c>
      <c r="M507" s="2">
        <v>39.99</v>
      </c>
      <c r="N507" s="2">
        <v>39.99</v>
      </c>
      <c r="O507" s="2">
        <v>24.0</v>
      </c>
      <c r="P507" s="2">
        <v>24.0</v>
      </c>
      <c r="Q507" s="2" t="s">
        <v>892</v>
      </c>
      <c r="R507" s="2" t="s">
        <v>24</v>
      </c>
      <c r="S507" s="2" t="b">
        <f>COUNTIF('Marcas Target'!A:A,dados!$E507)&gt;0</f>
        <v>1</v>
      </c>
    </row>
    <row r="508" ht="15.75" customHeight="1">
      <c r="A508" s="2" t="s">
        <v>888</v>
      </c>
      <c r="B508" s="2" t="s">
        <v>889</v>
      </c>
      <c r="C508" s="2" t="s">
        <v>24</v>
      </c>
      <c r="D508" s="2" t="s">
        <v>24</v>
      </c>
      <c r="E508" s="2" t="s">
        <v>874</v>
      </c>
      <c r="F508" s="2" t="s">
        <v>24</v>
      </c>
      <c r="G508" s="2" t="s">
        <v>24</v>
      </c>
      <c r="H508" s="2" t="s">
        <v>890</v>
      </c>
      <c r="I508" s="2" t="s">
        <v>888</v>
      </c>
      <c r="J508" s="2" t="s">
        <v>26</v>
      </c>
      <c r="K508" s="2" t="s">
        <v>891</v>
      </c>
      <c r="L508" s="3">
        <v>46087.0</v>
      </c>
      <c r="M508" s="2">
        <v>39.99</v>
      </c>
      <c r="N508" s="2">
        <v>39.99</v>
      </c>
      <c r="O508" s="2">
        <v>3.0</v>
      </c>
      <c r="P508" s="2">
        <v>2.0</v>
      </c>
      <c r="Q508" s="2" t="s">
        <v>892</v>
      </c>
      <c r="R508" s="2" t="s">
        <v>24</v>
      </c>
      <c r="S508" s="2" t="b">
        <f>COUNTIF('Marcas Target'!A:A,dados!$E508)&gt;0</f>
        <v>1</v>
      </c>
    </row>
    <row r="509" ht="15.75" customHeight="1">
      <c r="A509" s="2" t="s">
        <v>893</v>
      </c>
      <c r="B509" s="2" t="s">
        <v>894</v>
      </c>
      <c r="C509" s="2" t="s">
        <v>21</v>
      </c>
      <c r="D509" s="2" t="s">
        <v>22</v>
      </c>
      <c r="E509" s="2" t="s">
        <v>139</v>
      </c>
      <c r="F509" s="2" t="s">
        <v>24</v>
      </c>
      <c r="G509" s="2" t="s">
        <v>24</v>
      </c>
      <c r="H509" s="2" t="s">
        <v>895</v>
      </c>
      <c r="I509" s="2" t="s">
        <v>893</v>
      </c>
      <c r="J509" s="2" t="s">
        <v>26</v>
      </c>
      <c r="K509" s="2" t="s">
        <v>896</v>
      </c>
      <c r="L509" s="3">
        <v>46089.0</v>
      </c>
      <c r="M509" s="2">
        <v>75.9</v>
      </c>
      <c r="N509" s="2">
        <v>75.9</v>
      </c>
      <c r="O509" s="2">
        <v>22.0</v>
      </c>
      <c r="P509" s="2">
        <v>1.0</v>
      </c>
      <c r="Q509" s="2" t="s">
        <v>897</v>
      </c>
      <c r="R509" s="2" t="s">
        <v>24</v>
      </c>
      <c r="S509" s="2" t="b">
        <f>COUNTIF('Marcas Target'!A:A,dados!$E509)&gt;0</f>
        <v>0</v>
      </c>
    </row>
    <row r="510" ht="15.75" customHeight="1">
      <c r="A510" s="2" t="s">
        <v>893</v>
      </c>
      <c r="B510" s="2" t="s">
        <v>894</v>
      </c>
      <c r="C510" s="2" t="s">
        <v>21</v>
      </c>
      <c r="D510" s="2" t="s">
        <v>22</v>
      </c>
      <c r="E510" s="2" t="s">
        <v>139</v>
      </c>
      <c r="F510" s="2" t="s">
        <v>24</v>
      </c>
      <c r="G510" s="2" t="s">
        <v>24</v>
      </c>
      <c r="H510" s="2" t="s">
        <v>895</v>
      </c>
      <c r="I510" s="2" t="s">
        <v>893</v>
      </c>
      <c r="J510" s="2" t="s">
        <v>26</v>
      </c>
      <c r="K510" s="2" t="s">
        <v>896</v>
      </c>
      <c r="L510" s="3">
        <v>46088.0</v>
      </c>
      <c r="M510" s="2">
        <v>8.22</v>
      </c>
      <c r="N510" s="2">
        <v>8.22</v>
      </c>
      <c r="O510" s="2">
        <v>24.0</v>
      </c>
      <c r="P510" s="2">
        <v>2.0</v>
      </c>
      <c r="Q510" s="2" t="s">
        <v>897</v>
      </c>
      <c r="R510" s="2" t="s">
        <v>24</v>
      </c>
      <c r="S510" s="2" t="b">
        <f>COUNTIF('Marcas Target'!A:A,dados!$E510)&gt;0</f>
        <v>0</v>
      </c>
    </row>
    <row r="511" ht="15.75" customHeight="1">
      <c r="A511" s="2" t="s">
        <v>893</v>
      </c>
      <c r="B511" s="2" t="s">
        <v>894</v>
      </c>
      <c r="C511" s="2" t="s">
        <v>21</v>
      </c>
      <c r="D511" s="2" t="s">
        <v>22</v>
      </c>
      <c r="E511" s="2" t="s">
        <v>139</v>
      </c>
      <c r="F511" s="2" t="s">
        <v>24</v>
      </c>
      <c r="G511" s="2" t="s">
        <v>24</v>
      </c>
      <c r="H511" s="2" t="s">
        <v>895</v>
      </c>
      <c r="I511" s="2" t="s">
        <v>893</v>
      </c>
      <c r="J511" s="2" t="s">
        <v>26</v>
      </c>
      <c r="K511" s="2" t="s">
        <v>896</v>
      </c>
      <c r="L511" s="3">
        <v>46087.0</v>
      </c>
      <c r="M511" s="2" t="s">
        <v>24</v>
      </c>
      <c r="N511" s="2" t="s">
        <v>24</v>
      </c>
      <c r="O511" s="2">
        <v>3.0</v>
      </c>
      <c r="P511" s="2">
        <v>0.0</v>
      </c>
      <c r="Q511" s="2" t="s">
        <v>897</v>
      </c>
      <c r="R511" s="2" t="s">
        <v>24</v>
      </c>
      <c r="S511" s="2" t="b">
        <f>COUNTIF('Marcas Target'!A:A,dados!$E511)&gt;0</f>
        <v>0</v>
      </c>
    </row>
    <row r="512" ht="15.75" customHeight="1">
      <c r="A512" s="2" t="s">
        <v>898</v>
      </c>
      <c r="B512" s="2" t="s">
        <v>899</v>
      </c>
      <c r="C512" s="2" t="s">
        <v>24</v>
      </c>
      <c r="D512" s="2" t="s">
        <v>24</v>
      </c>
      <c r="E512" s="2" t="s">
        <v>874</v>
      </c>
      <c r="F512" s="2" t="s">
        <v>24</v>
      </c>
      <c r="G512" s="2" t="s">
        <v>24</v>
      </c>
      <c r="H512" s="2" t="s">
        <v>900</v>
      </c>
      <c r="I512" s="2" t="s">
        <v>898</v>
      </c>
      <c r="J512" s="2" t="s">
        <v>26</v>
      </c>
      <c r="K512" s="2" t="s">
        <v>901</v>
      </c>
      <c r="L512" s="3">
        <v>46089.0</v>
      </c>
      <c r="M512" s="2">
        <v>39.99</v>
      </c>
      <c r="N512" s="2">
        <v>39.99</v>
      </c>
      <c r="O512" s="2">
        <v>22.0</v>
      </c>
      <c r="P512" s="2">
        <v>22.0</v>
      </c>
      <c r="Q512" s="2" t="s">
        <v>902</v>
      </c>
      <c r="R512" s="2" t="s">
        <v>24</v>
      </c>
      <c r="S512" s="2" t="b">
        <f>COUNTIF('Marcas Target'!A:A,dados!$E512)&gt;0</f>
        <v>1</v>
      </c>
    </row>
    <row r="513" ht="15.75" customHeight="1">
      <c r="A513" s="2" t="s">
        <v>898</v>
      </c>
      <c r="B513" s="2" t="s">
        <v>899</v>
      </c>
      <c r="C513" s="2" t="s">
        <v>24</v>
      </c>
      <c r="D513" s="2" t="s">
        <v>24</v>
      </c>
      <c r="E513" s="2" t="s">
        <v>874</v>
      </c>
      <c r="F513" s="2" t="s">
        <v>24</v>
      </c>
      <c r="G513" s="2" t="s">
        <v>24</v>
      </c>
      <c r="H513" s="2" t="s">
        <v>900</v>
      </c>
      <c r="I513" s="2" t="s">
        <v>898</v>
      </c>
      <c r="J513" s="2" t="s">
        <v>26</v>
      </c>
      <c r="K513" s="2" t="s">
        <v>901</v>
      </c>
      <c r="L513" s="3">
        <v>46088.0</v>
      </c>
      <c r="M513" s="2">
        <v>37.41</v>
      </c>
      <c r="N513" s="2">
        <v>37.41</v>
      </c>
      <c r="O513" s="2">
        <v>24.0</v>
      </c>
      <c r="P513" s="2">
        <v>12.0</v>
      </c>
      <c r="Q513" s="2" t="s">
        <v>902</v>
      </c>
      <c r="R513" s="2" t="s">
        <v>24</v>
      </c>
      <c r="S513" s="2" t="b">
        <f>COUNTIF('Marcas Target'!A:A,dados!$E513)&gt;0</f>
        <v>1</v>
      </c>
    </row>
    <row r="514" ht="15.75" customHeight="1">
      <c r="A514" s="2" t="s">
        <v>898</v>
      </c>
      <c r="B514" s="2" t="s">
        <v>899</v>
      </c>
      <c r="C514" s="2" t="s">
        <v>24</v>
      </c>
      <c r="D514" s="2" t="s">
        <v>24</v>
      </c>
      <c r="E514" s="2" t="s">
        <v>874</v>
      </c>
      <c r="F514" s="2" t="s">
        <v>24</v>
      </c>
      <c r="G514" s="2" t="s">
        <v>24</v>
      </c>
      <c r="H514" s="2" t="s">
        <v>900</v>
      </c>
      <c r="I514" s="2" t="s">
        <v>898</v>
      </c>
      <c r="J514" s="2" t="s">
        <v>26</v>
      </c>
      <c r="K514" s="2" t="s">
        <v>901</v>
      </c>
      <c r="L514" s="3">
        <v>46087.0</v>
      </c>
      <c r="M514" s="2" t="s">
        <v>24</v>
      </c>
      <c r="N514" s="2" t="s">
        <v>24</v>
      </c>
      <c r="O514" s="2">
        <v>3.0</v>
      </c>
      <c r="P514" s="2">
        <v>0.0</v>
      </c>
      <c r="Q514" s="2" t="s">
        <v>902</v>
      </c>
      <c r="R514" s="2" t="s">
        <v>24</v>
      </c>
      <c r="S514" s="2" t="b">
        <f>COUNTIF('Marcas Target'!A:A,dados!$E514)&gt;0</f>
        <v>1</v>
      </c>
    </row>
    <row r="515" ht="15.75" customHeight="1">
      <c r="A515" s="2" t="s">
        <v>903</v>
      </c>
      <c r="B515" s="2" t="s">
        <v>904</v>
      </c>
      <c r="C515" s="2" t="s">
        <v>24</v>
      </c>
      <c r="D515" s="2" t="s">
        <v>24</v>
      </c>
      <c r="E515" s="2" t="s">
        <v>905</v>
      </c>
      <c r="F515" s="2" t="s">
        <v>24</v>
      </c>
      <c r="G515" s="2" t="s">
        <v>24</v>
      </c>
      <c r="H515" s="2" t="s">
        <v>906</v>
      </c>
      <c r="I515" s="2" t="s">
        <v>903</v>
      </c>
      <c r="J515" s="2" t="s">
        <v>26</v>
      </c>
      <c r="K515" s="2" t="s">
        <v>907</v>
      </c>
      <c r="L515" s="3">
        <v>46089.0</v>
      </c>
      <c r="M515" s="2">
        <v>35.19</v>
      </c>
      <c r="N515" s="2">
        <v>35.19</v>
      </c>
      <c r="O515" s="2">
        <v>22.0</v>
      </c>
      <c r="P515" s="2">
        <v>22.0</v>
      </c>
      <c r="Q515" s="2" t="s">
        <v>908</v>
      </c>
      <c r="R515" s="2" t="s">
        <v>24</v>
      </c>
      <c r="S515" s="2" t="b">
        <f>COUNTIF('Marcas Target'!A:A,dados!$E515)&gt;0</f>
        <v>0</v>
      </c>
    </row>
    <row r="516" ht="15.75" customHeight="1">
      <c r="A516" s="2" t="s">
        <v>903</v>
      </c>
      <c r="B516" s="2" t="s">
        <v>904</v>
      </c>
      <c r="C516" s="2" t="s">
        <v>24</v>
      </c>
      <c r="D516" s="2" t="s">
        <v>24</v>
      </c>
      <c r="E516" s="2" t="s">
        <v>905</v>
      </c>
      <c r="F516" s="2" t="s">
        <v>24</v>
      </c>
      <c r="G516" s="2" t="s">
        <v>24</v>
      </c>
      <c r="H516" s="2" t="s">
        <v>906</v>
      </c>
      <c r="I516" s="2" t="s">
        <v>903</v>
      </c>
      <c r="J516" s="2" t="s">
        <v>26</v>
      </c>
      <c r="K516" s="2" t="s">
        <v>907</v>
      </c>
      <c r="L516" s="3">
        <v>46088.0</v>
      </c>
      <c r="M516" s="2">
        <v>40.69</v>
      </c>
      <c r="N516" s="2">
        <v>40.69</v>
      </c>
      <c r="O516" s="2">
        <v>24.0</v>
      </c>
      <c r="P516" s="2">
        <v>24.0</v>
      </c>
      <c r="Q516" s="2" t="s">
        <v>908</v>
      </c>
      <c r="R516" s="2" t="s">
        <v>24</v>
      </c>
      <c r="S516" s="2" t="b">
        <f>COUNTIF('Marcas Target'!A:A,dados!$E516)&gt;0</f>
        <v>0</v>
      </c>
    </row>
    <row r="517" ht="15.75" customHeight="1">
      <c r="A517" s="2" t="s">
        <v>903</v>
      </c>
      <c r="B517" s="2" t="s">
        <v>904</v>
      </c>
      <c r="C517" s="2" t="s">
        <v>24</v>
      </c>
      <c r="D517" s="2" t="s">
        <v>24</v>
      </c>
      <c r="E517" s="2" t="s">
        <v>905</v>
      </c>
      <c r="F517" s="2" t="s">
        <v>24</v>
      </c>
      <c r="G517" s="2" t="s">
        <v>24</v>
      </c>
      <c r="H517" s="2" t="s">
        <v>906</v>
      </c>
      <c r="I517" s="2" t="s">
        <v>903</v>
      </c>
      <c r="J517" s="2" t="s">
        <v>26</v>
      </c>
      <c r="K517" s="2" t="s">
        <v>907</v>
      </c>
      <c r="L517" s="3">
        <v>46087.0</v>
      </c>
      <c r="M517" s="2">
        <v>35.19</v>
      </c>
      <c r="N517" s="2">
        <v>35.19</v>
      </c>
      <c r="O517" s="2">
        <v>3.0</v>
      </c>
      <c r="P517" s="2">
        <v>2.0</v>
      </c>
      <c r="Q517" s="2" t="s">
        <v>908</v>
      </c>
      <c r="R517" s="2" t="s">
        <v>24</v>
      </c>
      <c r="S517" s="2" t="b">
        <f>COUNTIF('Marcas Target'!A:A,dados!$E517)&gt;0</f>
        <v>0</v>
      </c>
    </row>
    <row r="518" ht="15.75" customHeight="1">
      <c r="A518" s="2" t="s">
        <v>909</v>
      </c>
      <c r="B518" s="2" t="s">
        <v>910</v>
      </c>
      <c r="C518" s="2" t="s">
        <v>21</v>
      </c>
      <c r="D518" s="2" t="s">
        <v>22</v>
      </c>
      <c r="E518" s="2" t="s">
        <v>336</v>
      </c>
      <c r="F518" s="2" t="s">
        <v>24</v>
      </c>
      <c r="G518" s="2" t="s">
        <v>24</v>
      </c>
      <c r="H518" s="2" t="s">
        <v>911</v>
      </c>
      <c r="I518" s="2" t="s">
        <v>909</v>
      </c>
      <c r="J518" s="2" t="s">
        <v>26</v>
      </c>
      <c r="K518" s="2" t="s">
        <v>912</v>
      </c>
      <c r="L518" s="3">
        <v>46089.0</v>
      </c>
      <c r="M518" s="2">
        <v>21.99</v>
      </c>
      <c r="N518" s="2">
        <v>21.99</v>
      </c>
      <c r="O518" s="2">
        <v>22.0</v>
      </c>
      <c r="P518" s="2">
        <v>1.0</v>
      </c>
      <c r="Q518" s="2" t="s">
        <v>913</v>
      </c>
      <c r="R518" s="2" t="s">
        <v>24</v>
      </c>
      <c r="S518" s="2" t="b">
        <f>COUNTIF('Marcas Target'!A:A,dados!$E518)&gt;0</f>
        <v>0</v>
      </c>
    </row>
    <row r="519" ht="15.75" customHeight="1">
      <c r="A519" s="2" t="s">
        <v>909</v>
      </c>
      <c r="B519" s="2" t="s">
        <v>910</v>
      </c>
      <c r="C519" s="2" t="s">
        <v>21</v>
      </c>
      <c r="D519" s="2" t="s">
        <v>22</v>
      </c>
      <c r="E519" s="2" t="s">
        <v>336</v>
      </c>
      <c r="F519" s="2" t="s">
        <v>24</v>
      </c>
      <c r="G519" s="2" t="s">
        <v>24</v>
      </c>
      <c r="H519" s="2" t="s">
        <v>911</v>
      </c>
      <c r="I519" s="2" t="s">
        <v>909</v>
      </c>
      <c r="J519" s="2" t="s">
        <v>26</v>
      </c>
      <c r="K519" s="2" t="s">
        <v>912</v>
      </c>
      <c r="L519" s="3">
        <v>46088.0</v>
      </c>
      <c r="M519" s="2" t="s">
        <v>24</v>
      </c>
      <c r="N519" s="2" t="s">
        <v>24</v>
      </c>
      <c r="O519" s="2">
        <v>24.0</v>
      </c>
      <c r="P519" s="2">
        <v>0.0</v>
      </c>
      <c r="Q519" s="2" t="s">
        <v>913</v>
      </c>
      <c r="R519" s="2" t="s">
        <v>24</v>
      </c>
      <c r="S519" s="2" t="b">
        <f>COUNTIF('Marcas Target'!A:A,dados!$E519)&gt;0</f>
        <v>0</v>
      </c>
    </row>
    <row r="520" ht="15.75" customHeight="1">
      <c r="A520" s="2" t="s">
        <v>909</v>
      </c>
      <c r="B520" s="2" t="s">
        <v>910</v>
      </c>
      <c r="C520" s="2" t="s">
        <v>21</v>
      </c>
      <c r="D520" s="2" t="s">
        <v>22</v>
      </c>
      <c r="E520" s="2" t="s">
        <v>336</v>
      </c>
      <c r="F520" s="2" t="s">
        <v>24</v>
      </c>
      <c r="G520" s="2" t="s">
        <v>24</v>
      </c>
      <c r="H520" s="2" t="s">
        <v>911</v>
      </c>
      <c r="I520" s="2" t="s">
        <v>909</v>
      </c>
      <c r="J520" s="2" t="s">
        <v>26</v>
      </c>
      <c r="K520" s="2" t="s">
        <v>912</v>
      </c>
      <c r="L520" s="3">
        <v>46087.0</v>
      </c>
      <c r="M520" s="2">
        <v>5.99</v>
      </c>
      <c r="N520" s="2">
        <v>5.99</v>
      </c>
      <c r="O520" s="2">
        <v>3.0</v>
      </c>
      <c r="P520" s="2">
        <v>1.0</v>
      </c>
      <c r="Q520" s="2" t="s">
        <v>913</v>
      </c>
      <c r="R520" s="2" t="s">
        <v>24</v>
      </c>
      <c r="S520" s="2" t="b">
        <f>COUNTIF('Marcas Target'!A:A,dados!$E520)&gt;0</f>
        <v>0</v>
      </c>
    </row>
    <row r="521" ht="15.75" customHeight="1">
      <c r="A521" s="2" t="s">
        <v>914</v>
      </c>
      <c r="B521" s="2" t="s">
        <v>915</v>
      </c>
      <c r="C521" s="2" t="s">
        <v>24</v>
      </c>
      <c r="D521" s="2" t="s">
        <v>24</v>
      </c>
      <c r="E521" s="2" t="s">
        <v>294</v>
      </c>
      <c r="F521" s="2" t="s">
        <v>24</v>
      </c>
      <c r="G521" s="2" t="s">
        <v>24</v>
      </c>
      <c r="H521" s="2" t="s">
        <v>916</v>
      </c>
      <c r="I521" s="2" t="s">
        <v>914</v>
      </c>
      <c r="J521" s="2" t="s">
        <v>26</v>
      </c>
      <c r="K521" s="2" t="s">
        <v>917</v>
      </c>
      <c r="L521" s="3">
        <v>46089.0</v>
      </c>
      <c r="M521" s="2">
        <v>39.99</v>
      </c>
      <c r="N521" s="2">
        <v>39.99</v>
      </c>
      <c r="O521" s="2">
        <v>22.0</v>
      </c>
      <c r="P521" s="2">
        <v>22.0</v>
      </c>
      <c r="Q521" s="2" t="s">
        <v>918</v>
      </c>
      <c r="R521" s="2" t="s">
        <v>24</v>
      </c>
      <c r="S521" s="2" t="b">
        <f>COUNTIF('Marcas Target'!A:A,dados!$E521)&gt;0</f>
        <v>1</v>
      </c>
    </row>
    <row r="522" ht="15.75" customHeight="1">
      <c r="A522" s="2" t="s">
        <v>914</v>
      </c>
      <c r="B522" s="2" t="s">
        <v>915</v>
      </c>
      <c r="C522" s="2" t="s">
        <v>24</v>
      </c>
      <c r="D522" s="2" t="s">
        <v>24</v>
      </c>
      <c r="E522" s="2" t="s">
        <v>294</v>
      </c>
      <c r="F522" s="2" t="s">
        <v>24</v>
      </c>
      <c r="G522" s="2" t="s">
        <v>24</v>
      </c>
      <c r="H522" s="2" t="s">
        <v>916</v>
      </c>
      <c r="I522" s="2" t="s">
        <v>914</v>
      </c>
      <c r="J522" s="2" t="s">
        <v>26</v>
      </c>
      <c r="K522" s="2" t="s">
        <v>917</v>
      </c>
      <c r="L522" s="3">
        <v>46088.0</v>
      </c>
      <c r="M522" s="2">
        <v>39.99</v>
      </c>
      <c r="N522" s="2">
        <v>39.99</v>
      </c>
      <c r="O522" s="2">
        <v>24.0</v>
      </c>
      <c r="P522" s="2">
        <v>24.0</v>
      </c>
      <c r="Q522" s="2" t="s">
        <v>918</v>
      </c>
      <c r="R522" s="2" t="s">
        <v>24</v>
      </c>
      <c r="S522" s="2" t="b">
        <f>COUNTIF('Marcas Target'!A:A,dados!$E522)&gt;0</f>
        <v>1</v>
      </c>
    </row>
    <row r="523" ht="15.75" customHeight="1">
      <c r="A523" s="2" t="s">
        <v>914</v>
      </c>
      <c r="B523" s="2" t="s">
        <v>915</v>
      </c>
      <c r="C523" s="2" t="s">
        <v>24</v>
      </c>
      <c r="D523" s="2" t="s">
        <v>24</v>
      </c>
      <c r="E523" s="2" t="s">
        <v>294</v>
      </c>
      <c r="F523" s="2" t="s">
        <v>24</v>
      </c>
      <c r="G523" s="2" t="s">
        <v>24</v>
      </c>
      <c r="H523" s="2" t="s">
        <v>916</v>
      </c>
      <c r="I523" s="2" t="s">
        <v>914</v>
      </c>
      <c r="J523" s="2" t="s">
        <v>26</v>
      </c>
      <c r="K523" s="2" t="s">
        <v>917</v>
      </c>
      <c r="L523" s="3">
        <v>46087.0</v>
      </c>
      <c r="M523" s="2">
        <v>39.99</v>
      </c>
      <c r="N523" s="2">
        <v>39.99</v>
      </c>
      <c r="O523" s="2">
        <v>3.0</v>
      </c>
      <c r="P523" s="2">
        <v>2.0</v>
      </c>
      <c r="Q523" s="2" t="s">
        <v>918</v>
      </c>
      <c r="R523" s="2" t="s">
        <v>24</v>
      </c>
      <c r="S523" s="2" t="b">
        <f>COUNTIF('Marcas Target'!A:A,dados!$E523)&gt;0</f>
        <v>1</v>
      </c>
    </row>
    <row r="524" ht="15.75" customHeight="1">
      <c r="A524" s="2" t="s">
        <v>919</v>
      </c>
      <c r="B524" s="2" t="s">
        <v>920</v>
      </c>
      <c r="C524" s="2" t="s">
        <v>24</v>
      </c>
      <c r="D524" s="2" t="s">
        <v>24</v>
      </c>
      <c r="E524" s="2" t="s">
        <v>227</v>
      </c>
      <c r="F524" s="2" t="s">
        <v>24</v>
      </c>
      <c r="G524" s="2" t="s">
        <v>24</v>
      </c>
      <c r="H524" s="2" t="s">
        <v>921</v>
      </c>
      <c r="I524" s="2" t="s">
        <v>919</v>
      </c>
      <c r="J524" s="2" t="s">
        <v>26</v>
      </c>
      <c r="K524" s="2" t="s">
        <v>922</v>
      </c>
      <c r="L524" s="3">
        <v>46089.0</v>
      </c>
      <c r="M524" s="2">
        <v>27.99</v>
      </c>
      <c r="N524" s="2">
        <v>27.99</v>
      </c>
      <c r="O524" s="2">
        <v>22.0</v>
      </c>
      <c r="P524" s="2">
        <v>21.0</v>
      </c>
      <c r="Q524" s="2" t="s">
        <v>923</v>
      </c>
      <c r="R524" s="2" t="s">
        <v>24</v>
      </c>
      <c r="S524" s="2" t="b">
        <f>COUNTIF('Marcas Target'!A:A,dados!$E524)&gt;0</f>
        <v>0</v>
      </c>
    </row>
    <row r="525" ht="15.75" customHeight="1">
      <c r="A525" s="2" t="s">
        <v>919</v>
      </c>
      <c r="B525" s="2" t="s">
        <v>920</v>
      </c>
      <c r="C525" s="2" t="s">
        <v>24</v>
      </c>
      <c r="D525" s="2" t="s">
        <v>24</v>
      </c>
      <c r="E525" s="2" t="s">
        <v>227</v>
      </c>
      <c r="F525" s="2" t="s">
        <v>24</v>
      </c>
      <c r="G525" s="2" t="s">
        <v>24</v>
      </c>
      <c r="H525" s="2" t="s">
        <v>921</v>
      </c>
      <c r="I525" s="2" t="s">
        <v>919</v>
      </c>
      <c r="J525" s="2" t="s">
        <v>26</v>
      </c>
      <c r="K525" s="2" t="s">
        <v>922</v>
      </c>
      <c r="L525" s="3">
        <v>46088.0</v>
      </c>
      <c r="M525" s="2">
        <v>27.99</v>
      </c>
      <c r="N525" s="2">
        <v>27.99</v>
      </c>
      <c r="O525" s="2">
        <v>24.0</v>
      </c>
      <c r="P525" s="2">
        <v>24.0</v>
      </c>
      <c r="Q525" s="2" t="s">
        <v>923</v>
      </c>
      <c r="R525" s="2" t="s">
        <v>24</v>
      </c>
      <c r="S525" s="2" t="b">
        <f>COUNTIF('Marcas Target'!A:A,dados!$E525)&gt;0</f>
        <v>0</v>
      </c>
    </row>
    <row r="526" ht="15.75" customHeight="1">
      <c r="A526" s="2" t="s">
        <v>919</v>
      </c>
      <c r="B526" s="2" t="s">
        <v>920</v>
      </c>
      <c r="C526" s="2" t="s">
        <v>24</v>
      </c>
      <c r="D526" s="2" t="s">
        <v>24</v>
      </c>
      <c r="E526" s="2" t="s">
        <v>227</v>
      </c>
      <c r="F526" s="2" t="s">
        <v>24</v>
      </c>
      <c r="G526" s="2" t="s">
        <v>24</v>
      </c>
      <c r="H526" s="2" t="s">
        <v>921</v>
      </c>
      <c r="I526" s="2" t="s">
        <v>919</v>
      </c>
      <c r="J526" s="2" t="s">
        <v>26</v>
      </c>
      <c r="K526" s="2" t="s">
        <v>922</v>
      </c>
      <c r="L526" s="3">
        <v>46087.0</v>
      </c>
      <c r="M526" s="2">
        <v>27.99</v>
      </c>
      <c r="N526" s="2">
        <v>27.99</v>
      </c>
      <c r="O526" s="2">
        <v>3.0</v>
      </c>
      <c r="P526" s="2">
        <v>2.0</v>
      </c>
      <c r="Q526" s="2" t="s">
        <v>923</v>
      </c>
      <c r="R526" s="2" t="s">
        <v>24</v>
      </c>
      <c r="S526" s="2" t="b">
        <f>COUNTIF('Marcas Target'!A:A,dados!$E526)&gt;0</f>
        <v>0</v>
      </c>
    </row>
    <row r="527" ht="15.75" customHeight="1">
      <c r="A527" s="2" t="s">
        <v>924</v>
      </c>
      <c r="B527" s="2" t="s">
        <v>925</v>
      </c>
      <c r="C527" s="2" t="s">
        <v>24</v>
      </c>
      <c r="D527" s="2" t="s">
        <v>24</v>
      </c>
      <c r="E527" s="2" t="s">
        <v>529</v>
      </c>
      <c r="F527" s="2" t="s">
        <v>24</v>
      </c>
      <c r="G527" s="2" t="s">
        <v>24</v>
      </c>
      <c r="H527" s="2" t="s">
        <v>926</v>
      </c>
      <c r="I527" s="2" t="s">
        <v>924</v>
      </c>
      <c r="J527" s="2" t="s">
        <v>26</v>
      </c>
      <c r="K527" s="2" t="s">
        <v>927</v>
      </c>
      <c r="L527" s="3">
        <v>46089.0</v>
      </c>
      <c r="M527" s="2">
        <v>29.29</v>
      </c>
      <c r="N527" s="2">
        <v>29.29</v>
      </c>
      <c r="O527" s="2">
        <v>22.0</v>
      </c>
      <c r="P527" s="2">
        <v>22.0</v>
      </c>
      <c r="Q527" s="2" t="s">
        <v>928</v>
      </c>
      <c r="R527" s="2" t="s">
        <v>24</v>
      </c>
      <c r="S527" s="2" t="b">
        <f>COUNTIF('Marcas Target'!A:A,dados!$E527)&gt;0</f>
        <v>0</v>
      </c>
    </row>
    <row r="528" ht="15.75" customHeight="1">
      <c r="A528" s="2" t="s">
        <v>924</v>
      </c>
      <c r="B528" s="2" t="s">
        <v>925</v>
      </c>
      <c r="C528" s="2" t="s">
        <v>24</v>
      </c>
      <c r="D528" s="2" t="s">
        <v>24</v>
      </c>
      <c r="E528" s="2" t="s">
        <v>529</v>
      </c>
      <c r="F528" s="2" t="s">
        <v>24</v>
      </c>
      <c r="G528" s="2" t="s">
        <v>24</v>
      </c>
      <c r="H528" s="2" t="s">
        <v>926</v>
      </c>
      <c r="I528" s="2" t="s">
        <v>924</v>
      </c>
      <c r="J528" s="2" t="s">
        <v>26</v>
      </c>
      <c r="K528" s="2" t="s">
        <v>927</v>
      </c>
      <c r="L528" s="3">
        <v>46088.0</v>
      </c>
      <c r="M528" s="2">
        <v>35.88</v>
      </c>
      <c r="N528" s="2">
        <v>35.88</v>
      </c>
      <c r="O528" s="2">
        <v>24.0</v>
      </c>
      <c r="P528" s="2">
        <v>19.0</v>
      </c>
      <c r="Q528" s="2" t="s">
        <v>928</v>
      </c>
      <c r="R528" s="2" t="s">
        <v>24</v>
      </c>
      <c r="S528" s="2" t="b">
        <f>COUNTIF('Marcas Target'!A:A,dados!$E528)&gt;0</f>
        <v>0</v>
      </c>
    </row>
    <row r="529" ht="15.75" customHeight="1">
      <c r="A529" s="2" t="s">
        <v>924</v>
      </c>
      <c r="B529" s="2" t="s">
        <v>925</v>
      </c>
      <c r="C529" s="2" t="s">
        <v>24</v>
      </c>
      <c r="D529" s="2" t="s">
        <v>24</v>
      </c>
      <c r="E529" s="2" t="s">
        <v>529</v>
      </c>
      <c r="F529" s="2" t="s">
        <v>24</v>
      </c>
      <c r="G529" s="2" t="s">
        <v>24</v>
      </c>
      <c r="H529" s="2" t="s">
        <v>926</v>
      </c>
      <c r="I529" s="2" t="s">
        <v>924</v>
      </c>
      <c r="J529" s="2" t="s">
        <v>26</v>
      </c>
      <c r="K529" s="2" t="s">
        <v>927</v>
      </c>
      <c r="L529" s="3">
        <v>46087.0</v>
      </c>
      <c r="M529" s="2">
        <v>28.59</v>
      </c>
      <c r="N529" s="2">
        <v>28.59</v>
      </c>
      <c r="O529" s="2">
        <v>3.0</v>
      </c>
      <c r="P529" s="2">
        <v>2.0</v>
      </c>
      <c r="Q529" s="2" t="s">
        <v>928</v>
      </c>
      <c r="R529" s="2" t="s">
        <v>24</v>
      </c>
      <c r="S529" s="2" t="b">
        <f>COUNTIF('Marcas Target'!A:A,dados!$E529)&gt;0</f>
        <v>0</v>
      </c>
    </row>
    <row r="530" ht="15.75" customHeight="1">
      <c r="A530" s="2" t="s">
        <v>929</v>
      </c>
      <c r="B530" s="2" t="s">
        <v>930</v>
      </c>
      <c r="C530" s="2" t="s">
        <v>24</v>
      </c>
      <c r="D530" s="2" t="s">
        <v>24</v>
      </c>
      <c r="E530" s="2" t="s">
        <v>482</v>
      </c>
      <c r="F530" s="2" t="s">
        <v>24</v>
      </c>
      <c r="G530" s="2" t="s">
        <v>24</v>
      </c>
      <c r="H530" s="2" t="s">
        <v>931</v>
      </c>
      <c r="I530" s="2" t="s">
        <v>929</v>
      </c>
      <c r="J530" s="2" t="s">
        <v>26</v>
      </c>
      <c r="K530" s="2" t="s">
        <v>932</v>
      </c>
      <c r="L530" s="3">
        <v>46089.0</v>
      </c>
      <c r="M530" s="2" t="s">
        <v>24</v>
      </c>
      <c r="N530" s="2" t="s">
        <v>24</v>
      </c>
      <c r="O530" s="2">
        <v>22.0</v>
      </c>
      <c r="P530" s="2">
        <v>0.0</v>
      </c>
      <c r="Q530" s="2" t="s">
        <v>933</v>
      </c>
      <c r="R530" s="2" t="s">
        <v>24</v>
      </c>
      <c r="S530" s="2" t="b">
        <f>COUNTIF('Marcas Target'!A:A,dados!$E530)&gt;0</f>
        <v>0</v>
      </c>
    </row>
    <row r="531" ht="15.75" customHeight="1">
      <c r="A531" s="2" t="s">
        <v>929</v>
      </c>
      <c r="B531" s="2" t="s">
        <v>930</v>
      </c>
      <c r="C531" s="2" t="s">
        <v>24</v>
      </c>
      <c r="D531" s="2" t="s">
        <v>24</v>
      </c>
      <c r="E531" s="2" t="s">
        <v>482</v>
      </c>
      <c r="F531" s="2" t="s">
        <v>24</v>
      </c>
      <c r="G531" s="2" t="s">
        <v>24</v>
      </c>
      <c r="H531" s="2" t="s">
        <v>931</v>
      </c>
      <c r="I531" s="2" t="s">
        <v>929</v>
      </c>
      <c r="J531" s="2" t="s">
        <v>26</v>
      </c>
      <c r="K531" s="2" t="s">
        <v>932</v>
      </c>
      <c r="L531" s="3">
        <v>46088.0</v>
      </c>
      <c r="M531" s="2" t="s">
        <v>24</v>
      </c>
      <c r="N531" s="2" t="s">
        <v>24</v>
      </c>
      <c r="O531" s="2">
        <v>24.0</v>
      </c>
      <c r="P531" s="2">
        <v>0.0</v>
      </c>
      <c r="Q531" s="2" t="s">
        <v>933</v>
      </c>
      <c r="R531" s="2" t="s">
        <v>24</v>
      </c>
      <c r="S531" s="2" t="b">
        <f>COUNTIF('Marcas Target'!A:A,dados!$E531)&gt;0</f>
        <v>0</v>
      </c>
    </row>
    <row r="532" ht="15.75" customHeight="1">
      <c r="A532" s="2" t="s">
        <v>929</v>
      </c>
      <c r="B532" s="2" t="s">
        <v>930</v>
      </c>
      <c r="C532" s="2" t="s">
        <v>24</v>
      </c>
      <c r="D532" s="2" t="s">
        <v>24</v>
      </c>
      <c r="E532" s="2" t="s">
        <v>482</v>
      </c>
      <c r="F532" s="2" t="s">
        <v>24</v>
      </c>
      <c r="G532" s="2" t="s">
        <v>24</v>
      </c>
      <c r="H532" s="2" t="s">
        <v>931</v>
      </c>
      <c r="I532" s="2" t="s">
        <v>929</v>
      </c>
      <c r="J532" s="2" t="s">
        <v>26</v>
      </c>
      <c r="K532" s="2" t="s">
        <v>932</v>
      </c>
      <c r="L532" s="3">
        <v>46087.0</v>
      </c>
      <c r="M532" s="2" t="s">
        <v>24</v>
      </c>
      <c r="N532" s="2" t="s">
        <v>24</v>
      </c>
      <c r="O532" s="2">
        <v>3.0</v>
      </c>
      <c r="P532" s="2">
        <v>0.0</v>
      </c>
      <c r="Q532" s="2" t="s">
        <v>933</v>
      </c>
      <c r="R532" s="2" t="s">
        <v>24</v>
      </c>
      <c r="S532" s="2" t="b">
        <f>COUNTIF('Marcas Target'!A:A,dados!$E532)&gt;0</f>
        <v>0</v>
      </c>
    </row>
    <row r="533" ht="15.75" customHeight="1">
      <c r="A533" s="2" t="s">
        <v>934</v>
      </c>
      <c r="B533" s="2" t="s">
        <v>935</v>
      </c>
      <c r="C533" s="2" t="s">
        <v>24</v>
      </c>
      <c r="D533" s="2" t="s">
        <v>24</v>
      </c>
      <c r="E533" s="2" t="s">
        <v>128</v>
      </c>
      <c r="F533" s="2" t="s">
        <v>24</v>
      </c>
      <c r="G533" s="2" t="s">
        <v>24</v>
      </c>
      <c r="H533" s="2" t="s">
        <v>936</v>
      </c>
      <c r="I533" s="2" t="s">
        <v>934</v>
      </c>
      <c r="J533" s="2" t="s">
        <v>26</v>
      </c>
      <c r="K533" s="2" t="s">
        <v>937</v>
      </c>
      <c r="L533" s="3">
        <v>46089.0</v>
      </c>
      <c r="M533" s="2">
        <v>21.44</v>
      </c>
      <c r="N533" s="2">
        <v>21.44</v>
      </c>
      <c r="O533" s="2">
        <v>22.0</v>
      </c>
      <c r="P533" s="2">
        <v>22.0</v>
      </c>
      <c r="Q533" s="2" t="s">
        <v>938</v>
      </c>
      <c r="R533" s="2" t="s">
        <v>24</v>
      </c>
      <c r="S533" s="2" t="b">
        <f>COUNTIF('Marcas Target'!A:A,dados!$E533)&gt;0</f>
        <v>1</v>
      </c>
    </row>
    <row r="534" ht="15.75" customHeight="1">
      <c r="A534" s="2" t="s">
        <v>934</v>
      </c>
      <c r="B534" s="2" t="s">
        <v>935</v>
      </c>
      <c r="C534" s="2" t="s">
        <v>24</v>
      </c>
      <c r="D534" s="2" t="s">
        <v>24</v>
      </c>
      <c r="E534" s="2" t="s">
        <v>128</v>
      </c>
      <c r="F534" s="2" t="s">
        <v>24</v>
      </c>
      <c r="G534" s="2" t="s">
        <v>24</v>
      </c>
      <c r="H534" s="2" t="s">
        <v>936</v>
      </c>
      <c r="I534" s="2" t="s">
        <v>934</v>
      </c>
      <c r="J534" s="2" t="s">
        <v>26</v>
      </c>
      <c r="K534" s="2" t="s">
        <v>937</v>
      </c>
      <c r="L534" s="3">
        <v>46088.0</v>
      </c>
      <c r="M534" s="2">
        <v>26.06</v>
      </c>
      <c r="N534" s="2">
        <v>26.06</v>
      </c>
      <c r="O534" s="2">
        <v>24.0</v>
      </c>
      <c r="P534" s="2">
        <v>15.0</v>
      </c>
      <c r="Q534" s="2" t="s">
        <v>938</v>
      </c>
      <c r="R534" s="2" t="s">
        <v>24</v>
      </c>
      <c r="S534" s="2" t="b">
        <f>COUNTIF('Marcas Target'!A:A,dados!$E534)&gt;0</f>
        <v>1</v>
      </c>
    </row>
    <row r="535" ht="15.75" customHeight="1">
      <c r="A535" s="2" t="s">
        <v>934</v>
      </c>
      <c r="B535" s="2" t="s">
        <v>935</v>
      </c>
      <c r="C535" s="2" t="s">
        <v>24</v>
      </c>
      <c r="D535" s="2" t="s">
        <v>24</v>
      </c>
      <c r="E535" s="2" t="s">
        <v>128</v>
      </c>
      <c r="F535" s="2" t="s">
        <v>24</v>
      </c>
      <c r="G535" s="2" t="s">
        <v>24</v>
      </c>
      <c r="H535" s="2" t="s">
        <v>936</v>
      </c>
      <c r="I535" s="2" t="s">
        <v>934</v>
      </c>
      <c r="J535" s="2" t="s">
        <v>26</v>
      </c>
      <c r="K535" s="2" t="s">
        <v>937</v>
      </c>
      <c r="L535" s="3">
        <v>46087.0</v>
      </c>
      <c r="M535" s="2">
        <v>21.44</v>
      </c>
      <c r="N535" s="2">
        <v>21.44</v>
      </c>
      <c r="O535" s="2">
        <v>3.0</v>
      </c>
      <c r="P535" s="2">
        <v>2.0</v>
      </c>
      <c r="Q535" s="2" t="s">
        <v>938</v>
      </c>
      <c r="R535" s="2" t="s">
        <v>24</v>
      </c>
      <c r="S535" s="2" t="b">
        <f>COUNTIF('Marcas Target'!A:A,dados!$E535)&gt;0</f>
        <v>1</v>
      </c>
    </row>
    <row r="536" ht="15.75" customHeight="1">
      <c r="A536" s="2" t="s">
        <v>939</v>
      </c>
      <c r="B536" s="2" t="s">
        <v>940</v>
      </c>
      <c r="C536" s="2" t="s">
        <v>24</v>
      </c>
      <c r="D536" s="2" t="s">
        <v>24</v>
      </c>
      <c r="E536" s="2" t="s">
        <v>294</v>
      </c>
      <c r="F536" s="2" t="s">
        <v>24</v>
      </c>
      <c r="G536" s="2" t="s">
        <v>24</v>
      </c>
      <c r="H536" s="2" t="s">
        <v>941</v>
      </c>
      <c r="I536" s="2" t="s">
        <v>939</v>
      </c>
      <c r="J536" s="2" t="s">
        <v>26</v>
      </c>
      <c r="K536" s="2" t="s">
        <v>942</v>
      </c>
      <c r="L536" s="3">
        <v>46089.0</v>
      </c>
      <c r="M536" s="2">
        <v>39.99</v>
      </c>
      <c r="N536" s="2">
        <v>39.99</v>
      </c>
      <c r="O536" s="2">
        <v>22.0</v>
      </c>
      <c r="P536" s="2">
        <v>22.0</v>
      </c>
      <c r="Q536" s="2" t="s">
        <v>943</v>
      </c>
      <c r="R536" s="2" t="s">
        <v>24</v>
      </c>
      <c r="S536" s="2" t="b">
        <f>COUNTIF('Marcas Target'!A:A,dados!$E536)&gt;0</f>
        <v>1</v>
      </c>
    </row>
    <row r="537" ht="15.75" customHeight="1">
      <c r="A537" s="2" t="s">
        <v>939</v>
      </c>
      <c r="B537" s="2" t="s">
        <v>940</v>
      </c>
      <c r="C537" s="2" t="s">
        <v>24</v>
      </c>
      <c r="D537" s="2" t="s">
        <v>24</v>
      </c>
      <c r="E537" s="2" t="s">
        <v>294</v>
      </c>
      <c r="F537" s="2" t="s">
        <v>24</v>
      </c>
      <c r="G537" s="2" t="s">
        <v>24</v>
      </c>
      <c r="H537" s="2" t="s">
        <v>941</v>
      </c>
      <c r="I537" s="2" t="s">
        <v>939</v>
      </c>
      <c r="J537" s="2" t="s">
        <v>26</v>
      </c>
      <c r="K537" s="2" t="s">
        <v>942</v>
      </c>
      <c r="L537" s="3">
        <v>46088.0</v>
      </c>
      <c r="M537" s="2">
        <v>39.99</v>
      </c>
      <c r="N537" s="2">
        <v>39.99</v>
      </c>
      <c r="O537" s="2">
        <v>24.0</v>
      </c>
      <c r="P537" s="2">
        <v>24.0</v>
      </c>
      <c r="Q537" s="2" t="s">
        <v>943</v>
      </c>
      <c r="R537" s="2" t="s">
        <v>24</v>
      </c>
      <c r="S537" s="2" t="b">
        <f>COUNTIF('Marcas Target'!A:A,dados!$E537)&gt;0</f>
        <v>1</v>
      </c>
    </row>
    <row r="538" ht="15.75" customHeight="1">
      <c r="A538" s="2" t="s">
        <v>939</v>
      </c>
      <c r="B538" s="2" t="s">
        <v>940</v>
      </c>
      <c r="C538" s="2" t="s">
        <v>24</v>
      </c>
      <c r="D538" s="2" t="s">
        <v>24</v>
      </c>
      <c r="E538" s="2" t="s">
        <v>294</v>
      </c>
      <c r="F538" s="2" t="s">
        <v>24</v>
      </c>
      <c r="G538" s="2" t="s">
        <v>24</v>
      </c>
      <c r="H538" s="2" t="s">
        <v>941</v>
      </c>
      <c r="I538" s="2" t="s">
        <v>939</v>
      </c>
      <c r="J538" s="2" t="s">
        <v>26</v>
      </c>
      <c r="K538" s="2" t="s">
        <v>942</v>
      </c>
      <c r="L538" s="3">
        <v>46087.0</v>
      </c>
      <c r="M538" s="2">
        <v>39.99</v>
      </c>
      <c r="N538" s="2">
        <v>39.99</v>
      </c>
      <c r="O538" s="2">
        <v>3.0</v>
      </c>
      <c r="P538" s="2">
        <v>2.0</v>
      </c>
      <c r="Q538" s="2" t="s">
        <v>943</v>
      </c>
      <c r="R538" s="2" t="s">
        <v>24</v>
      </c>
      <c r="S538" s="2" t="b">
        <f>COUNTIF('Marcas Target'!A:A,dados!$E538)&gt;0</f>
        <v>1</v>
      </c>
    </row>
    <row r="539" ht="15.75" customHeight="1">
      <c r="A539" s="2" t="s">
        <v>944</v>
      </c>
      <c r="B539" s="2" t="s">
        <v>945</v>
      </c>
      <c r="C539" s="2" t="s">
        <v>24</v>
      </c>
      <c r="D539" s="2" t="s">
        <v>24</v>
      </c>
      <c r="E539" s="2" t="s">
        <v>128</v>
      </c>
      <c r="F539" s="2" t="s">
        <v>24</v>
      </c>
      <c r="G539" s="2" t="s">
        <v>24</v>
      </c>
      <c r="H539" s="2" t="s">
        <v>946</v>
      </c>
      <c r="I539" s="2" t="s">
        <v>944</v>
      </c>
      <c r="J539" s="2" t="s">
        <v>26</v>
      </c>
      <c r="K539" s="2" t="s">
        <v>947</v>
      </c>
      <c r="L539" s="3">
        <v>46089.0</v>
      </c>
      <c r="M539" s="2">
        <v>30.99</v>
      </c>
      <c r="N539" s="2">
        <v>30.99</v>
      </c>
      <c r="O539" s="2">
        <v>22.0</v>
      </c>
      <c r="P539" s="2">
        <v>10.0</v>
      </c>
      <c r="Q539" s="2" t="s">
        <v>948</v>
      </c>
      <c r="R539" s="2" t="s">
        <v>24</v>
      </c>
      <c r="S539" s="2" t="b">
        <f>COUNTIF('Marcas Target'!A:A,dados!$E539)&gt;0</f>
        <v>1</v>
      </c>
    </row>
    <row r="540" ht="15.75" customHeight="1">
      <c r="A540" s="2" t="s">
        <v>944</v>
      </c>
      <c r="B540" s="2" t="s">
        <v>945</v>
      </c>
      <c r="C540" s="2" t="s">
        <v>24</v>
      </c>
      <c r="D540" s="2" t="s">
        <v>24</v>
      </c>
      <c r="E540" s="2" t="s">
        <v>128</v>
      </c>
      <c r="F540" s="2" t="s">
        <v>24</v>
      </c>
      <c r="G540" s="2" t="s">
        <v>24</v>
      </c>
      <c r="H540" s="2" t="s">
        <v>946</v>
      </c>
      <c r="I540" s="2" t="s">
        <v>944</v>
      </c>
      <c r="J540" s="2" t="s">
        <v>26</v>
      </c>
      <c r="K540" s="2" t="s">
        <v>947</v>
      </c>
      <c r="L540" s="3">
        <v>46088.0</v>
      </c>
      <c r="M540" s="2">
        <v>30.99</v>
      </c>
      <c r="N540" s="2">
        <v>30.99</v>
      </c>
      <c r="O540" s="2">
        <v>24.0</v>
      </c>
      <c r="P540" s="2">
        <v>22.0</v>
      </c>
      <c r="Q540" s="2" t="s">
        <v>948</v>
      </c>
      <c r="R540" s="2" t="s">
        <v>24</v>
      </c>
      <c r="S540" s="2" t="b">
        <f>COUNTIF('Marcas Target'!A:A,dados!$E540)&gt;0</f>
        <v>1</v>
      </c>
    </row>
    <row r="541" ht="15.75" customHeight="1">
      <c r="A541" s="2" t="s">
        <v>944</v>
      </c>
      <c r="B541" s="2" t="s">
        <v>945</v>
      </c>
      <c r="C541" s="2" t="s">
        <v>24</v>
      </c>
      <c r="D541" s="2" t="s">
        <v>24</v>
      </c>
      <c r="E541" s="2" t="s">
        <v>128</v>
      </c>
      <c r="F541" s="2" t="s">
        <v>24</v>
      </c>
      <c r="G541" s="2" t="s">
        <v>24</v>
      </c>
      <c r="H541" s="2" t="s">
        <v>946</v>
      </c>
      <c r="I541" s="2" t="s">
        <v>944</v>
      </c>
      <c r="J541" s="2" t="s">
        <v>26</v>
      </c>
      <c r="K541" s="2" t="s">
        <v>947</v>
      </c>
      <c r="L541" s="3">
        <v>46087.0</v>
      </c>
      <c r="M541" s="2">
        <v>30.99</v>
      </c>
      <c r="N541" s="2">
        <v>30.99</v>
      </c>
      <c r="O541" s="2">
        <v>3.0</v>
      </c>
      <c r="P541" s="2">
        <v>1.0</v>
      </c>
      <c r="Q541" s="2" t="s">
        <v>948</v>
      </c>
      <c r="R541" s="2" t="s">
        <v>24</v>
      </c>
      <c r="S541" s="2" t="b">
        <f>COUNTIF('Marcas Target'!A:A,dados!$E541)&gt;0</f>
        <v>1</v>
      </c>
    </row>
    <row r="542" ht="15.75" customHeight="1">
      <c r="A542" s="2" t="s">
        <v>949</v>
      </c>
      <c r="B542" s="2" t="s">
        <v>950</v>
      </c>
      <c r="C542" s="2" t="s">
        <v>24</v>
      </c>
      <c r="D542" s="2" t="s">
        <v>24</v>
      </c>
      <c r="E542" s="2" t="s">
        <v>482</v>
      </c>
      <c r="F542" s="2" t="s">
        <v>24</v>
      </c>
      <c r="G542" s="2" t="s">
        <v>24</v>
      </c>
      <c r="H542" s="2" t="s">
        <v>951</v>
      </c>
      <c r="I542" s="2" t="s">
        <v>949</v>
      </c>
      <c r="J542" s="2" t="s">
        <v>26</v>
      </c>
      <c r="K542" s="2" t="s">
        <v>952</v>
      </c>
      <c r="L542" s="3">
        <v>46089.0</v>
      </c>
      <c r="M542" s="2" t="s">
        <v>24</v>
      </c>
      <c r="N542" s="2" t="s">
        <v>24</v>
      </c>
      <c r="O542" s="2">
        <v>22.0</v>
      </c>
      <c r="P542" s="2">
        <v>0.0</v>
      </c>
      <c r="Q542" s="2" t="s">
        <v>953</v>
      </c>
      <c r="R542" s="2" t="s">
        <v>24</v>
      </c>
      <c r="S542" s="2" t="b">
        <f>COUNTIF('Marcas Target'!A:A,dados!$E542)&gt;0</f>
        <v>0</v>
      </c>
    </row>
    <row r="543" ht="15.75" customHeight="1">
      <c r="A543" s="2" t="s">
        <v>949</v>
      </c>
      <c r="B543" s="2" t="s">
        <v>950</v>
      </c>
      <c r="C543" s="2" t="s">
        <v>24</v>
      </c>
      <c r="D543" s="2" t="s">
        <v>24</v>
      </c>
      <c r="E543" s="2" t="s">
        <v>482</v>
      </c>
      <c r="F543" s="2" t="s">
        <v>24</v>
      </c>
      <c r="G543" s="2" t="s">
        <v>24</v>
      </c>
      <c r="H543" s="2" t="s">
        <v>951</v>
      </c>
      <c r="I543" s="2" t="s">
        <v>949</v>
      </c>
      <c r="J543" s="2" t="s">
        <v>26</v>
      </c>
      <c r="K543" s="2" t="s">
        <v>952</v>
      </c>
      <c r="L543" s="3">
        <v>46088.0</v>
      </c>
      <c r="M543" s="2">
        <v>17.99</v>
      </c>
      <c r="N543" s="2">
        <v>17.99</v>
      </c>
      <c r="O543" s="2">
        <v>24.0</v>
      </c>
      <c r="P543" s="2">
        <v>1.0</v>
      </c>
      <c r="Q543" s="2" t="s">
        <v>953</v>
      </c>
      <c r="R543" s="2" t="s">
        <v>24</v>
      </c>
      <c r="S543" s="2" t="b">
        <f>COUNTIF('Marcas Target'!A:A,dados!$E543)&gt;0</f>
        <v>0</v>
      </c>
    </row>
    <row r="544" ht="15.75" customHeight="1">
      <c r="A544" s="2" t="s">
        <v>949</v>
      </c>
      <c r="B544" s="2" t="s">
        <v>950</v>
      </c>
      <c r="C544" s="2" t="s">
        <v>24</v>
      </c>
      <c r="D544" s="2" t="s">
        <v>24</v>
      </c>
      <c r="E544" s="2" t="s">
        <v>482</v>
      </c>
      <c r="F544" s="2" t="s">
        <v>24</v>
      </c>
      <c r="G544" s="2" t="s">
        <v>24</v>
      </c>
      <c r="H544" s="2" t="s">
        <v>951</v>
      </c>
      <c r="I544" s="2" t="s">
        <v>949</v>
      </c>
      <c r="J544" s="2" t="s">
        <v>26</v>
      </c>
      <c r="K544" s="2" t="s">
        <v>952</v>
      </c>
      <c r="L544" s="3">
        <v>46087.0</v>
      </c>
      <c r="M544" s="2" t="s">
        <v>24</v>
      </c>
      <c r="N544" s="2" t="s">
        <v>24</v>
      </c>
      <c r="O544" s="2">
        <v>3.0</v>
      </c>
      <c r="P544" s="2">
        <v>0.0</v>
      </c>
      <c r="Q544" s="2" t="s">
        <v>953</v>
      </c>
      <c r="R544" s="2" t="s">
        <v>24</v>
      </c>
      <c r="S544" s="2" t="b">
        <f>COUNTIF('Marcas Target'!A:A,dados!$E544)&gt;0</f>
        <v>0</v>
      </c>
    </row>
    <row r="545" ht="15.75" customHeight="1">
      <c r="A545" s="2" t="s">
        <v>954</v>
      </c>
      <c r="B545" s="2" t="s">
        <v>955</v>
      </c>
      <c r="C545" s="2" t="s">
        <v>24</v>
      </c>
      <c r="D545" s="2" t="s">
        <v>24</v>
      </c>
      <c r="E545" s="2" t="s">
        <v>23</v>
      </c>
      <c r="F545" s="2" t="s">
        <v>24</v>
      </c>
      <c r="G545" s="2" t="s">
        <v>24</v>
      </c>
      <c r="H545" s="2" t="s">
        <v>956</v>
      </c>
      <c r="I545" s="2" t="s">
        <v>954</v>
      </c>
      <c r="J545" s="2" t="s">
        <v>26</v>
      </c>
      <c r="K545" s="2" t="s">
        <v>957</v>
      </c>
      <c r="L545" s="3">
        <v>46089.0</v>
      </c>
      <c r="M545" s="2">
        <v>89.9</v>
      </c>
      <c r="N545" s="2">
        <v>89.9</v>
      </c>
      <c r="O545" s="2">
        <v>22.0</v>
      </c>
      <c r="P545" s="2">
        <v>22.0</v>
      </c>
      <c r="Q545" s="2" t="s">
        <v>958</v>
      </c>
      <c r="R545" s="2" t="s">
        <v>24</v>
      </c>
      <c r="S545" s="2" t="b">
        <f>COUNTIF('Marcas Target'!A:A,dados!$E545)&gt;0</f>
        <v>0</v>
      </c>
    </row>
    <row r="546" ht="15.75" customHeight="1">
      <c r="A546" s="2" t="s">
        <v>954</v>
      </c>
      <c r="B546" s="2" t="s">
        <v>955</v>
      </c>
      <c r="C546" s="2" t="s">
        <v>24</v>
      </c>
      <c r="D546" s="2" t="s">
        <v>24</v>
      </c>
      <c r="E546" s="2" t="s">
        <v>23</v>
      </c>
      <c r="F546" s="2" t="s">
        <v>24</v>
      </c>
      <c r="G546" s="2" t="s">
        <v>24</v>
      </c>
      <c r="H546" s="2" t="s">
        <v>956</v>
      </c>
      <c r="I546" s="2" t="s">
        <v>954</v>
      </c>
      <c r="J546" s="2" t="s">
        <v>26</v>
      </c>
      <c r="K546" s="2" t="s">
        <v>957</v>
      </c>
      <c r="L546" s="3">
        <v>46088.0</v>
      </c>
      <c r="M546" s="2">
        <v>89.9</v>
      </c>
      <c r="N546" s="2">
        <v>89.9</v>
      </c>
      <c r="O546" s="2">
        <v>24.0</v>
      </c>
      <c r="P546" s="2">
        <v>24.0</v>
      </c>
      <c r="Q546" s="2" t="s">
        <v>958</v>
      </c>
      <c r="R546" s="2" t="s">
        <v>24</v>
      </c>
      <c r="S546" s="2" t="b">
        <f>COUNTIF('Marcas Target'!A:A,dados!$E546)&gt;0</f>
        <v>0</v>
      </c>
    </row>
    <row r="547" ht="15.75" customHeight="1">
      <c r="A547" s="2" t="s">
        <v>954</v>
      </c>
      <c r="B547" s="2" t="s">
        <v>955</v>
      </c>
      <c r="C547" s="2" t="s">
        <v>24</v>
      </c>
      <c r="D547" s="2" t="s">
        <v>24</v>
      </c>
      <c r="E547" s="2" t="s">
        <v>23</v>
      </c>
      <c r="F547" s="2" t="s">
        <v>24</v>
      </c>
      <c r="G547" s="2" t="s">
        <v>24</v>
      </c>
      <c r="H547" s="2" t="s">
        <v>956</v>
      </c>
      <c r="I547" s="2" t="s">
        <v>954</v>
      </c>
      <c r="J547" s="2" t="s">
        <v>26</v>
      </c>
      <c r="K547" s="2" t="s">
        <v>957</v>
      </c>
      <c r="L547" s="3">
        <v>46087.0</v>
      </c>
      <c r="M547" s="2">
        <v>89.9</v>
      </c>
      <c r="N547" s="2">
        <v>89.9</v>
      </c>
      <c r="O547" s="2">
        <v>3.0</v>
      </c>
      <c r="P547" s="2">
        <v>3.0</v>
      </c>
      <c r="Q547" s="2" t="s">
        <v>958</v>
      </c>
      <c r="R547" s="2" t="s">
        <v>24</v>
      </c>
      <c r="S547" s="2" t="b">
        <f>COUNTIF('Marcas Target'!A:A,dados!$E547)&gt;0</f>
        <v>0</v>
      </c>
    </row>
    <row r="548" ht="15.75" customHeight="1">
      <c r="A548" s="2" t="s">
        <v>959</v>
      </c>
      <c r="B548" s="2" t="s">
        <v>960</v>
      </c>
      <c r="C548" s="2" t="s">
        <v>24</v>
      </c>
      <c r="D548" s="2" t="s">
        <v>24</v>
      </c>
      <c r="E548" s="2" t="s">
        <v>905</v>
      </c>
      <c r="F548" s="2" t="s">
        <v>24</v>
      </c>
      <c r="G548" s="2" t="s">
        <v>24</v>
      </c>
      <c r="H548" s="2" t="s">
        <v>961</v>
      </c>
      <c r="I548" s="2" t="s">
        <v>959</v>
      </c>
      <c r="J548" s="2" t="s">
        <v>26</v>
      </c>
      <c r="K548" s="2" t="s">
        <v>962</v>
      </c>
      <c r="L548" s="3">
        <v>46089.0</v>
      </c>
      <c r="M548" s="2">
        <v>11.59</v>
      </c>
      <c r="N548" s="2">
        <v>11.59</v>
      </c>
      <c r="O548" s="2">
        <v>22.0</v>
      </c>
      <c r="P548" s="2">
        <v>22.0</v>
      </c>
      <c r="Q548" s="2" t="s">
        <v>963</v>
      </c>
      <c r="R548" s="2" t="s">
        <v>24</v>
      </c>
      <c r="S548" s="2" t="b">
        <f>COUNTIF('Marcas Target'!A:A,dados!$E548)&gt;0</f>
        <v>0</v>
      </c>
    </row>
    <row r="549" ht="15.75" customHeight="1">
      <c r="A549" s="2" t="s">
        <v>959</v>
      </c>
      <c r="B549" s="2" t="s">
        <v>960</v>
      </c>
      <c r="C549" s="2" t="s">
        <v>24</v>
      </c>
      <c r="D549" s="2" t="s">
        <v>24</v>
      </c>
      <c r="E549" s="2" t="s">
        <v>905</v>
      </c>
      <c r="F549" s="2" t="s">
        <v>24</v>
      </c>
      <c r="G549" s="2" t="s">
        <v>24</v>
      </c>
      <c r="H549" s="2" t="s">
        <v>961</v>
      </c>
      <c r="I549" s="2" t="s">
        <v>959</v>
      </c>
      <c r="J549" s="2" t="s">
        <v>26</v>
      </c>
      <c r="K549" s="2" t="s">
        <v>962</v>
      </c>
      <c r="L549" s="3">
        <v>46088.0</v>
      </c>
      <c r="M549" s="2">
        <v>13.28</v>
      </c>
      <c r="N549" s="2">
        <v>13.28</v>
      </c>
      <c r="O549" s="2">
        <v>24.0</v>
      </c>
      <c r="P549" s="2">
        <v>24.0</v>
      </c>
      <c r="Q549" s="2" t="s">
        <v>963</v>
      </c>
      <c r="R549" s="2" t="s">
        <v>24</v>
      </c>
      <c r="S549" s="2" t="b">
        <f>COUNTIF('Marcas Target'!A:A,dados!$E549)&gt;0</f>
        <v>0</v>
      </c>
    </row>
    <row r="550" ht="15.75" customHeight="1">
      <c r="A550" s="2" t="s">
        <v>959</v>
      </c>
      <c r="B550" s="2" t="s">
        <v>960</v>
      </c>
      <c r="C550" s="2" t="s">
        <v>24</v>
      </c>
      <c r="D550" s="2" t="s">
        <v>24</v>
      </c>
      <c r="E550" s="2" t="s">
        <v>905</v>
      </c>
      <c r="F550" s="2" t="s">
        <v>24</v>
      </c>
      <c r="G550" s="2" t="s">
        <v>24</v>
      </c>
      <c r="H550" s="2" t="s">
        <v>961</v>
      </c>
      <c r="I550" s="2" t="s">
        <v>959</v>
      </c>
      <c r="J550" s="2" t="s">
        <v>26</v>
      </c>
      <c r="K550" s="2" t="s">
        <v>962</v>
      </c>
      <c r="L550" s="3">
        <v>46087.0</v>
      </c>
      <c r="M550" s="2">
        <v>11.59</v>
      </c>
      <c r="N550" s="2">
        <v>11.59</v>
      </c>
      <c r="O550" s="2">
        <v>3.0</v>
      </c>
      <c r="P550" s="2">
        <v>3.0</v>
      </c>
      <c r="Q550" s="2" t="s">
        <v>963</v>
      </c>
      <c r="R550" s="2" t="s">
        <v>24</v>
      </c>
      <c r="S550" s="2" t="b">
        <f>COUNTIF('Marcas Target'!A:A,dados!$E550)&gt;0</f>
        <v>0</v>
      </c>
    </row>
    <row r="551" ht="15.75" customHeight="1">
      <c r="A551" s="2" t="s">
        <v>964</v>
      </c>
      <c r="B551" s="2" t="s">
        <v>930</v>
      </c>
      <c r="C551" s="2" t="s">
        <v>24</v>
      </c>
      <c r="D551" s="2" t="s">
        <v>24</v>
      </c>
      <c r="E551" s="2" t="s">
        <v>905</v>
      </c>
      <c r="F551" s="2" t="s">
        <v>24</v>
      </c>
      <c r="G551" s="2" t="s">
        <v>24</v>
      </c>
      <c r="H551" s="2" t="s">
        <v>965</v>
      </c>
      <c r="I551" s="2" t="s">
        <v>964</v>
      </c>
      <c r="J551" s="2" t="s">
        <v>26</v>
      </c>
      <c r="K551" s="2" t="s">
        <v>966</v>
      </c>
      <c r="L551" s="3">
        <v>46089.0</v>
      </c>
      <c r="M551" s="2">
        <v>35.19</v>
      </c>
      <c r="N551" s="2">
        <v>35.19</v>
      </c>
      <c r="O551" s="2">
        <v>23.0</v>
      </c>
      <c r="P551" s="2">
        <v>23.0</v>
      </c>
      <c r="Q551" s="2" t="s">
        <v>967</v>
      </c>
      <c r="R551" s="2" t="s">
        <v>24</v>
      </c>
      <c r="S551" s="2" t="b">
        <f>COUNTIF('Marcas Target'!A:A,dados!$E551)&gt;0</f>
        <v>0</v>
      </c>
    </row>
    <row r="552" ht="15.75" customHeight="1">
      <c r="A552" s="2" t="s">
        <v>964</v>
      </c>
      <c r="B552" s="2" t="s">
        <v>930</v>
      </c>
      <c r="C552" s="2" t="s">
        <v>24</v>
      </c>
      <c r="D552" s="2" t="s">
        <v>24</v>
      </c>
      <c r="E552" s="2" t="s">
        <v>905</v>
      </c>
      <c r="F552" s="2" t="s">
        <v>24</v>
      </c>
      <c r="G552" s="2" t="s">
        <v>24</v>
      </c>
      <c r="H552" s="2" t="s">
        <v>965</v>
      </c>
      <c r="I552" s="2" t="s">
        <v>964</v>
      </c>
      <c r="J552" s="2" t="s">
        <v>26</v>
      </c>
      <c r="K552" s="2" t="s">
        <v>966</v>
      </c>
      <c r="L552" s="3">
        <v>46088.0</v>
      </c>
      <c r="M552" s="2">
        <v>40.93</v>
      </c>
      <c r="N552" s="2">
        <v>40.93</v>
      </c>
      <c r="O552" s="2">
        <v>23.0</v>
      </c>
      <c r="P552" s="2">
        <v>23.0</v>
      </c>
      <c r="Q552" s="2" t="s">
        <v>967</v>
      </c>
      <c r="R552" s="2" t="s">
        <v>24</v>
      </c>
      <c r="S552" s="2" t="b">
        <f>COUNTIF('Marcas Target'!A:A,dados!$E552)&gt;0</f>
        <v>0</v>
      </c>
    </row>
    <row r="553" ht="15.75" customHeight="1">
      <c r="A553" s="2" t="s">
        <v>964</v>
      </c>
      <c r="B553" s="2" t="s">
        <v>930</v>
      </c>
      <c r="C553" s="2" t="s">
        <v>24</v>
      </c>
      <c r="D553" s="2" t="s">
        <v>24</v>
      </c>
      <c r="E553" s="2" t="s">
        <v>905</v>
      </c>
      <c r="F553" s="2" t="s">
        <v>24</v>
      </c>
      <c r="G553" s="2" t="s">
        <v>24</v>
      </c>
      <c r="H553" s="2" t="s">
        <v>965</v>
      </c>
      <c r="I553" s="2" t="s">
        <v>964</v>
      </c>
      <c r="J553" s="2" t="s">
        <v>26</v>
      </c>
      <c r="K553" s="2" t="s">
        <v>966</v>
      </c>
      <c r="L553" s="3">
        <v>46087.0</v>
      </c>
      <c r="M553" s="2">
        <v>35.19</v>
      </c>
      <c r="N553" s="2">
        <v>35.19</v>
      </c>
      <c r="O553" s="2">
        <v>3.0</v>
      </c>
      <c r="P553" s="2">
        <v>2.0</v>
      </c>
      <c r="Q553" s="2" t="s">
        <v>967</v>
      </c>
      <c r="R553" s="2" t="s">
        <v>24</v>
      </c>
      <c r="S553" s="2" t="b">
        <f>COUNTIF('Marcas Target'!A:A,dados!$E553)&gt;0</f>
        <v>0</v>
      </c>
    </row>
    <row r="554" ht="15.75" customHeight="1">
      <c r="A554" s="2" t="s">
        <v>968</v>
      </c>
      <c r="B554" s="2" t="s">
        <v>969</v>
      </c>
      <c r="C554" s="2" t="s">
        <v>24</v>
      </c>
      <c r="D554" s="2" t="s">
        <v>24</v>
      </c>
      <c r="E554" s="2" t="s">
        <v>905</v>
      </c>
      <c r="F554" s="2" t="s">
        <v>24</v>
      </c>
      <c r="G554" s="2" t="s">
        <v>24</v>
      </c>
      <c r="H554" s="2" t="s">
        <v>970</v>
      </c>
      <c r="I554" s="2" t="s">
        <v>968</v>
      </c>
      <c r="J554" s="2" t="s">
        <v>26</v>
      </c>
      <c r="K554" s="2" t="s">
        <v>971</v>
      </c>
      <c r="L554" s="3">
        <v>46089.0</v>
      </c>
      <c r="M554" s="2">
        <v>23.9</v>
      </c>
      <c r="N554" s="2">
        <v>23.9</v>
      </c>
      <c r="O554" s="2">
        <v>22.0</v>
      </c>
      <c r="P554" s="2">
        <v>1.0</v>
      </c>
      <c r="Q554" s="2" t="s">
        <v>972</v>
      </c>
      <c r="R554" s="2" t="s">
        <v>24</v>
      </c>
      <c r="S554" s="2" t="b">
        <f>COUNTIF('Marcas Target'!A:A,dados!$E554)&gt;0</f>
        <v>0</v>
      </c>
    </row>
    <row r="555" ht="15.75" customHeight="1">
      <c r="A555" s="2" t="s">
        <v>968</v>
      </c>
      <c r="B555" s="2" t="s">
        <v>969</v>
      </c>
      <c r="C555" s="2" t="s">
        <v>24</v>
      </c>
      <c r="D555" s="2" t="s">
        <v>24</v>
      </c>
      <c r="E555" s="2" t="s">
        <v>905</v>
      </c>
      <c r="F555" s="2" t="s">
        <v>24</v>
      </c>
      <c r="G555" s="2" t="s">
        <v>24</v>
      </c>
      <c r="H555" s="2" t="s">
        <v>970</v>
      </c>
      <c r="I555" s="2" t="s">
        <v>968</v>
      </c>
      <c r="J555" s="2" t="s">
        <v>26</v>
      </c>
      <c r="K555" s="2" t="s">
        <v>971</v>
      </c>
      <c r="L555" s="3">
        <v>46088.0</v>
      </c>
      <c r="M555" s="2" t="s">
        <v>24</v>
      </c>
      <c r="N555" s="2" t="s">
        <v>24</v>
      </c>
      <c r="O555" s="2">
        <v>24.0</v>
      </c>
      <c r="P555" s="2">
        <v>0.0</v>
      </c>
      <c r="Q555" s="2" t="s">
        <v>972</v>
      </c>
      <c r="R555" s="2" t="s">
        <v>24</v>
      </c>
      <c r="S555" s="2" t="b">
        <f>COUNTIF('Marcas Target'!A:A,dados!$E555)&gt;0</f>
        <v>0</v>
      </c>
    </row>
    <row r="556" ht="15.75" customHeight="1">
      <c r="A556" s="2" t="s">
        <v>968</v>
      </c>
      <c r="B556" s="2" t="s">
        <v>969</v>
      </c>
      <c r="C556" s="2" t="s">
        <v>24</v>
      </c>
      <c r="D556" s="2" t="s">
        <v>24</v>
      </c>
      <c r="E556" s="2" t="s">
        <v>905</v>
      </c>
      <c r="F556" s="2" t="s">
        <v>24</v>
      </c>
      <c r="G556" s="2" t="s">
        <v>24</v>
      </c>
      <c r="H556" s="2" t="s">
        <v>970</v>
      </c>
      <c r="I556" s="2" t="s">
        <v>968</v>
      </c>
      <c r="J556" s="2" t="s">
        <v>26</v>
      </c>
      <c r="K556" s="2" t="s">
        <v>971</v>
      </c>
      <c r="L556" s="3">
        <v>46087.0</v>
      </c>
      <c r="M556" s="2" t="s">
        <v>24</v>
      </c>
      <c r="N556" s="2" t="s">
        <v>24</v>
      </c>
      <c r="O556" s="2">
        <v>3.0</v>
      </c>
      <c r="P556" s="2">
        <v>0.0</v>
      </c>
      <c r="Q556" s="2" t="s">
        <v>972</v>
      </c>
      <c r="R556" s="2" t="s">
        <v>24</v>
      </c>
      <c r="S556" s="2" t="b">
        <f>COUNTIF('Marcas Target'!A:A,dados!$E556)&gt;0</f>
        <v>0</v>
      </c>
    </row>
    <row r="557" ht="15.75" customHeight="1">
      <c r="A557" s="2" t="s">
        <v>973</v>
      </c>
      <c r="B557" s="2" t="s">
        <v>974</v>
      </c>
      <c r="C557" s="2" t="s">
        <v>24</v>
      </c>
      <c r="D557" s="2" t="s">
        <v>24</v>
      </c>
      <c r="E557" s="2" t="s">
        <v>378</v>
      </c>
      <c r="F557" s="2" t="s">
        <v>24</v>
      </c>
      <c r="G557" s="2" t="s">
        <v>24</v>
      </c>
      <c r="H557" s="2" t="s">
        <v>975</v>
      </c>
      <c r="I557" s="2" t="s">
        <v>973</v>
      </c>
      <c r="J557" s="2" t="s">
        <v>26</v>
      </c>
      <c r="K557" s="2" t="s">
        <v>976</v>
      </c>
      <c r="L557" s="3">
        <v>46089.0</v>
      </c>
      <c r="M557" s="2">
        <v>26.99</v>
      </c>
      <c r="N557" s="2">
        <v>26.99</v>
      </c>
      <c r="O557" s="2">
        <v>22.0</v>
      </c>
      <c r="P557" s="2">
        <v>1.0</v>
      </c>
      <c r="Q557" s="2" t="s">
        <v>977</v>
      </c>
      <c r="R557" s="2" t="s">
        <v>24</v>
      </c>
      <c r="S557" s="2" t="b">
        <f>COUNTIF('Marcas Target'!A:A,dados!$E557)&gt;0</f>
        <v>0</v>
      </c>
    </row>
    <row r="558" ht="15.75" customHeight="1">
      <c r="A558" s="2" t="s">
        <v>973</v>
      </c>
      <c r="B558" s="2" t="s">
        <v>974</v>
      </c>
      <c r="C558" s="2" t="s">
        <v>24</v>
      </c>
      <c r="D558" s="2" t="s">
        <v>24</v>
      </c>
      <c r="E558" s="2" t="s">
        <v>378</v>
      </c>
      <c r="F558" s="2" t="s">
        <v>24</v>
      </c>
      <c r="G558" s="2" t="s">
        <v>24</v>
      </c>
      <c r="H558" s="2" t="s">
        <v>975</v>
      </c>
      <c r="I558" s="2" t="s">
        <v>973</v>
      </c>
      <c r="J558" s="2" t="s">
        <v>26</v>
      </c>
      <c r="K558" s="2" t="s">
        <v>976</v>
      </c>
      <c r="L558" s="3">
        <v>46088.0</v>
      </c>
      <c r="M558" s="2">
        <v>13.95</v>
      </c>
      <c r="N558" s="2">
        <v>13.95</v>
      </c>
      <c r="O558" s="2">
        <v>24.0</v>
      </c>
      <c r="P558" s="2">
        <v>2.0</v>
      </c>
      <c r="Q558" s="2" t="s">
        <v>977</v>
      </c>
      <c r="R558" s="2" t="s">
        <v>24</v>
      </c>
      <c r="S558" s="2" t="b">
        <f>COUNTIF('Marcas Target'!A:A,dados!$E558)&gt;0</f>
        <v>0</v>
      </c>
    </row>
    <row r="559" ht="15.75" customHeight="1">
      <c r="A559" s="2" t="s">
        <v>973</v>
      </c>
      <c r="B559" s="2" t="s">
        <v>974</v>
      </c>
      <c r="C559" s="2" t="s">
        <v>24</v>
      </c>
      <c r="D559" s="2" t="s">
        <v>24</v>
      </c>
      <c r="E559" s="2" t="s">
        <v>378</v>
      </c>
      <c r="F559" s="2" t="s">
        <v>24</v>
      </c>
      <c r="G559" s="2" t="s">
        <v>24</v>
      </c>
      <c r="H559" s="2" t="s">
        <v>975</v>
      </c>
      <c r="I559" s="2" t="s">
        <v>973</v>
      </c>
      <c r="J559" s="2" t="s">
        <v>26</v>
      </c>
      <c r="K559" s="2" t="s">
        <v>976</v>
      </c>
      <c r="L559" s="3">
        <v>46087.0</v>
      </c>
      <c r="M559" s="2" t="s">
        <v>24</v>
      </c>
      <c r="N559" s="2" t="s">
        <v>24</v>
      </c>
      <c r="O559" s="2">
        <v>3.0</v>
      </c>
      <c r="P559" s="2">
        <v>0.0</v>
      </c>
      <c r="Q559" s="2" t="s">
        <v>977</v>
      </c>
      <c r="R559" s="2" t="s">
        <v>24</v>
      </c>
      <c r="S559" s="2" t="b">
        <f>COUNTIF('Marcas Target'!A:A,dados!$E559)&gt;0</f>
        <v>0</v>
      </c>
    </row>
    <row r="560" ht="15.75" customHeight="1">
      <c r="A560" s="2" t="s">
        <v>978</v>
      </c>
      <c r="B560" s="2" t="s">
        <v>979</v>
      </c>
      <c r="C560" s="2" t="s">
        <v>24</v>
      </c>
      <c r="D560" s="2" t="s">
        <v>24</v>
      </c>
      <c r="E560" s="2" t="s">
        <v>980</v>
      </c>
      <c r="F560" s="2" t="s">
        <v>24</v>
      </c>
      <c r="G560" s="2" t="s">
        <v>24</v>
      </c>
      <c r="H560" s="2" t="s">
        <v>981</v>
      </c>
      <c r="I560" s="2" t="s">
        <v>978</v>
      </c>
      <c r="J560" s="2" t="s">
        <v>26</v>
      </c>
      <c r="K560" s="2" t="s">
        <v>982</v>
      </c>
      <c r="L560" s="3">
        <v>46089.0</v>
      </c>
      <c r="M560" s="2">
        <v>32.99</v>
      </c>
      <c r="N560" s="2">
        <v>32.99</v>
      </c>
      <c r="O560" s="2">
        <v>22.0</v>
      </c>
      <c r="P560" s="2">
        <v>5.0</v>
      </c>
      <c r="Q560" s="2" t="s">
        <v>983</v>
      </c>
      <c r="R560" s="2" t="s">
        <v>24</v>
      </c>
      <c r="S560" s="2" t="b">
        <f>COUNTIF('Marcas Target'!A:A,dados!$E560)&gt;0</f>
        <v>1</v>
      </c>
    </row>
    <row r="561" ht="15.75" customHeight="1">
      <c r="A561" s="2" t="s">
        <v>978</v>
      </c>
      <c r="B561" s="2" t="s">
        <v>979</v>
      </c>
      <c r="C561" s="2" t="s">
        <v>24</v>
      </c>
      <c r="D561" s="2" t="s">
        <v>24</v>
      </c>
      <c r="E561" s="2" t="s">
        <v>980</v>
      </c>
      <c r="F561" s="2" t="s">
        <v>24</v>
      </c>
      <c r="G561" s="2" t="s">
        <v>24</v>
      </c>
      <c r="H561" s="2" t="s">
        <v>981</v>
      </c>
      <c r="I561" s="2" t="s">
        <v>978</v>
      </c>
      <c r="J561" s="2" t="s">
        <v>26</v>
      </c>
      <c r="K561" s="2" t="s">
        <v>982</v>
      </c>
      <c r="L561" s="3">
        <v>46088.0</v>
      </c>
      <c r="M561" s="2">
        <v>32.99</v>
      </c>
      <c r="N561" s="2">
        <v>32.99</v>
      </c>
      <c r="O561" s="2">
        <v>24.0</v>
      </c>
      <c r="P561" s="2">
        <v>2.0</v>
      </c>
      <c r="Q561" s="2" t="s">
        <v>983</v>
      </c>
      <c r="R561" s="2" t="s">
        <v>24</v>
      </c>
      <c r="S561" s="2" t="b">
        <f>COUNTIF('Marcas Target'!A:A,dados!$E561)&gt;0</f>
        <v>1</v>
      </c>
    </row>
    <row r="562" ht="15.75" customHeight="1">
      <c r="A562" s="2" t="s">
        <v>978</v>
      </c>
      <c r="B562" s="2" t="s">
        <v>979</v>
      </c>
      <c r="C562" s="2" t="s">
        <v>24</v>
      </c>
      <c r="D562" s="2" t="s">
        <v>24</v>
      </c>
      <c r="E562" s="2" t="s">
        <v>980</v>
      </c>
      <c r="F562" s="2" t="s">
        <v>24</v>
      </c>
      <c r="G562" s="2" t="s">
        <v>24</v>
      </c>
      <c r="H562" s="2" t="s">
        <v>981</v>
      </c>
      <c r="I562" s="2" t="s">
        <v>978</v>
      </c>
      <c r="J562" s="2" t="s">
        <v>26</v>
      </c>
      <c r="K562" s="2" t="s">
        <v>982</v>
      </c>
      <c r="L562" s="3">
        <v>46087.0</v>
      </c>
      <c r="M562" s="2">
        <v>32.99</v>
      </c>
      <c r="N562" s="2">
        <v>32.99</v>
      </c>
      <c r="O562" s="2">
        <v>3.0</v>
      </c>
      <c r="P562" s="2">
        <v>1.0</v>
      </c>
      <c r="Q562" s="2" t="s">
        <v>983</v>
      </c>
      <c r="R562" s="2" t="s">
        <v>24</v>
      </c>
      <c r="S562" s="2" t="b">
        <f>COUNTIF('Marcas Target'!A:A,dados!$E562)&gt;0</f>
        <v>1</v>
      </c>
    </row>
    <row r="563" ht="15.75" customHeight="1">
      <c r="A563" s="2" t="s">
        <v>984</v>
      </c>
      <c r="B563" s="2" t="s">
        <v>985</v>
      </c>
      <c r="C563" s="2" t="s">
        <v>24</v>
      </c>
      <c r="D563" s="2" t="s">
        <v>24</v>
      </c>
      <c r="E563" s="2" t="s">
        <v>378</v>
      </c>
      <c r="F563" s="2" t="s">
        <v>24</v>
      </c>
      <c r="G563" s="2" t="s">
        <v>24</v>
      </c>
      <c r="H563" s="2" t="s">
        <v>986</v>
      </c>
      <c r="I563" s="2" t="s">
        <v>984</v>
      </c>
      <c r="J563" s="2" t="s">
        <v>26</v>
      </c>
      <c r="K563" s="2" t="s">
        <v>987</v>
      </c>
      <c r="L563" s="3">
        <v>46089.0</v>
      </c>
      <c r="M563" s="2" t="s">
        <v>24</v>
      </c>
      <c r="N563" s="2" t="s">
        <v>24</v>
      </c>
      <c r="O563" s="2">
        <v>22.0</v>
      </c>
      <c r="P563" s="2">
        <v>0.0</v>
      </c>
      <c r="Q563" s="2" t="s">
        <v>988</v>
      </c>
      <c r="R563" s="2" t="s">
        <v>24</v>
      </c>
      <c r="S563" s="2" t="b">
        <f>COUNTIF('Marcas Target'!A:A,dados!$E563)&gt;0</f>
        <v>0</v>
      </c>
    </row>
    <row r="564" ht="15.75" customHeight="1">
      <c r="A564" s="2" t="s">
        <v>984</v>
      </c>
      <c r="B564" s="2" t="s">
        <v>985</v>
      </c>
      <c r="C564" s="2" t="s">
        <v>24</v>
      </c>
      <c r="D564" s="2" t="s">
        <v>24</v>
      </c>
      <c r="E564" s="2" t="s">
        <v>378</v>
      </c>
      <c r="F564" s="2" t="s">
        <v>24</v>
      </c>
      <c r="G564" s="2" t="s">
        <v>24</v>
      </c>
      <c r="H564" s="2" t="s">
        <v>986</v>
      </c>
      <c r="I564" s="2" t="s">
        <v>984</v>
      </c>
      <c r="J564" s="2" t="s">
        <v>26</v>
      </c>
      <c r="K564" s="2" t="s">
        <v>987</v>
      </c>
      <c r="L564" s="3">
        <v>46088.0</v>
      </c>
      <c r="M564" s="2" t="s">
        <v>24</v>
      </c>
      <c r="N564" s="2" t="s">
        <v>24</v>
      </c>
      <c r="O564" s="2">
        <v>24.0</v>
      </c>
      <c r="P564" s="2">
        <v>0.0</v>
      </c>
      <c r="Q564" s="2" t="s">
        <v>988</v>
      </c>
      <c r="R564" s="2" t="s">
        <v>24</v>
      </c>
      <c r="S564" s="2" t="b">
        <f>COUNTIF('Marcas Target'!A:A,dados!$E564)&gt;0</f>
        <v>0</v>
      </c>
    </row>
    <row r="565" ht="15.75" customHeight="1">
      <c r="A565" s="2" t="s">
        <v>984</v>
      </c>
      <c r="B565" s="2" t="s">
        <v>985</v>
      </c>
      <c r="C565" s="2" t="s">
        <v>24</v>
      </c>
      <c r="D565" s="2" t="s">
        <v>24</v>
      </c>
      <c r="E565" s="2" t="s">
        <v>378</v>
      </c>
      <c r="F565" s="2" t="s">
        <v>24</v>
      </c>
      <c r="G565" s="2" t="s">
        <v>24</v>
      </c>
      <c r="H565" s="2" t="s">
        <v>986</v>
      </c>
      <c r="I565" s="2" t="s">
        <v>984</v>
      </c>
      <c r="J565" s="2" t="s">
        <v>26</v>
      </c>
      <c r="K565" s="2" t="s">
        <v>987</v>
      </c>
      <c r="L565" s="3">
        <v>46087.0</v>
      </c>
      <c r="M565" s="2" t="s">
        <v>24</v>
      </c>
      <c r="N565" s="2" t="s">
        <v>24</v>
      </c>
      <c r="O565" s="2">
        <v>3.0</v>
      </c>
      <c r="P565" s="2">
        <v>0.0</v>
      </c>
      <c r="Q565" s="2" t="s">
        <v>988</v>
      </c>
      <c r="R565" s="2" t="s">
        <v>24</v>
      </c>
      <c r="S565" s="2" t="b">
        <f>COUNTIF('Marcas Target'!A:A,dados!$E565)&gt;0</f>
        <v>0</v>
      </c>
    </row>
    <row r="566" ht="15.75" customHeight="1">
      <c r="A566" s="2" t="s">
        <v>989</v>
      </c>
      <c r="B566" s="2" t="s">
        <v>990</v>
      </c>
      <c r="C566" s="2" t="s">
        <v>24</v>
      </c>
      <c r="D566" s="2" t="s">
        <v>24</v>
      </c>
      <c r="E566" s="2" t="s">
        <v>378</v>
      </c>
      <c r="F566" s="2" t="s">
        <v>24</v>
      </c>
      <c r="G566" s="2" t="s">
        <v>24</v>
      </c>
      <c r="H566" s="2" t="s">
        <v>991</v>
      </c>
      <c r="I566" s="2" t="s">
        <v>989</v>
      </c>
      <c r="J566" s="2" t="s">
        <v>26</v>
      </c>
      <c r="K566" s="2" t="s">
        <v>992</v>
      </c>
      <c r="L566" s="3">
        <v>46089.0</v>
      </c>
      <c r="M566" s="2">
        <v>32.99</v>
      </c>
      <c r="N566" s="2">
        <v>32.99</v>
      </c>
      <c r="O566" s="2">
        <v>22.0</v>
      </c>
      <c r="P566" s="2">
        <v>16.0</v>
      </c>
      <c r="Q566" s="2" t="s">
        <v>993</v>
      </c>
      <c r="R566" s="2" t="s">
        <v>24</v>
      </c>
      <c r="S566" s="2" t="b">
        <f>COUNTIF('Marcas Target'!A:A,dados!$E566)&gt;0</f>
        <v>0</v>
      </c>
    </row>
    <row r="567" ht="15.75" customHeight="1">
      <c r="A567" s="2" t="s">
        <v>989</v>
      </c>
      <c r="B567" s="2" t="s">
        <v>990</v>
      </c>
      <c r="C567" s="2" t="s">
        <v>24</v>
      </c>
      <c r="D567" s="2" t="s">
        <v>24</v>
      </c>
      <c r="E567" s="2" t="s">
        <v>378</v>
      </c>
      <c r="F567" s="2" t="s">
        <v>24</v>
      </c>
      <c r="G567" s="2" t="s">
        <v>24</v>
      </c>
      <c r="H567" s="2" t="s">
        <v>991</v>
      </c>
      <c r="I567" s="2" t="s">
        <v>989</v>
      </c>
      <c r="J567" s="2" t="s">
        <v>26</v>
      </c>
      <c r="K567" s="2" t="s">
        <v>992</v>
      </c>
      <c r="L567" s="3">
        <v>46088.0</v>
      </c>
      <c r="M567" s="2">
        <v>32.99</v>
      </c>
      <c r="N567" s="2">
        <v>32.99</v>
      </c>
      <c r="O567" s="2">
        <v>24.0</v>
      </c>
      <c r="P567" s="2">
        <v>19.0</v>
      </c>
      <c r="Q567" s="2" t="s">
        <v>993</v>
      </c>
      <c r="R567" s="2" t="s">
        <v>24</v>
      </c>
      <c r="S567" s="2" t="b">
        <f>COUNTIF('Marcas Target'!A:A,dados!$E567)&gt;0</f>
        <v>0</v>
      </c>
    </row>
    <row r="568" ht="15.75" customHeight="1">
      <c r="A568" s="2" t="s">
        <v>989</v>
      </c>
      <c r="B568" s="2" t="s">
        <v>990</v>
      </c>
      <c r="C568" s="2" t="s">
        <v>24</v>
      </c>
      <c r="D568" s="2" t="s">
        <v>24</v>
      </c>
      <c r="E568" s="2" t="s">
        <v>378</v>
      </c>
      <c r="F568" s="2" t="s">
        <v>24</v>
      </c>
      <c r="G568" s="2" t="s">
        <v>24</v>
      </c>
      <c r="H568" s="2" t="s">
        <v>991</v>
      </c>
      <c r="I568" s="2" t="s">
        <v>989</v>
      </c>
      <c r="J568" s="2" t="s">
        <v>26</v>
      </c>
      <c r="K568" s="2" t="s">
        <v>992</v>
      </c>
      <c r="L568" s="3">
        <v>46087.0</v>
      </c>
      <c r="M568" s="2">
        <v>32.99</v>
      </c>
      <c r="N568" s="2">
        <v>32.99</v>
      </c>
      <c r="O568" s="2">
        <v>3.0</v>
      </c>
      <c r="P568" s="2">
        <v>2.0</v>
      </c>
      <c r="Q568" s="2" t="s">
        <v>993</v>
      </c>
      <c r="R568" s="2" t="s">
        <v>24</v>
      </c>
      <c r="S568" s="2" t="b">
        <f>COUNTIF('Marcas Target'!A:A,dados!$E568)&gt;0</f>
        <v>0</v>
      </c>
    </row>
    <row r="569" ht="15.75" customHeight="1">
      <c r="A569" s="2" t="s">
        <v>994</v>
      </c>
      <c r="B569" s="2" t="s">
        <v>995</v>
      </c>
      <c r="C569" s="2" t="s">
        <v>24</v>
      </c>
      <c r="D569" s="2" t="s">
        <v>24</v>
      </c>
      <c r="E569" s="2" t="s">
        <v>378</v>
      </c>
      <c r="F569" s="2" t="s">
        <v>24</v>
      </c>
      <c r="G569" s="2" t="s">
        <v>24</v>
      </c>
      <c r="H569" s="2" t="s">
        <v>996</v>
      </c>
      <c r="I569" s="2" t="s">
        <v>994</v>
      </c>
      <c r="J569" s="2" t="s">
        <v>26</v>
      </c>
      <c r="K569" s="2" t="s">
        <v>997</v>
      </c>
      <c r="L569" s="3">
        <v>46089.0</v>
      </c>
      <c r="M569" s="2">
        <v>27.99</v>
      </c>
      <c r="N569" s="2">
        <v>27.99</v>
      </c>
      <c r="O569" s="2">
        <v>22.0</v>
      </c>
      <c r="P569" s="2">
        <v>22.0</v>
      </c>
      <c r="Q569" s="2" t="s">
        <v>998</v>
      </c>
      <c r="R569" s="2" t="s">
        <v>24</v>
      </c>
      <c r="S569" s="2" t="b">
        <f>COUNTIF('Marcas Target'!A:A,dados!$E569)&gt;0</f>
        <v>0</v>
      </c>
    </row>
    <row r="570" ht="15.75" customHeight="1">
      <c r="A570" s="2" t="s">
        <v>994</v>
      </c>
      <c r="B570" s="2" t="s">
        <v>995</v>
      </c>
      <c r="C570" s="2" t="s">
        <v>24</v>
      </c>
      <c r="D570" s="2" t="s">
        <v>24</v>
      </c>
      <c r="E570" s="2" t="s">
        <v>378</v>
      </c>
      <c r="F570" s="2" t="s">
        <v>24</v>
      </c>
      <c r="G570" s="2" t="s">
        <v>24</v>
      </c>
      <c r="H570" s="2" t="s">
        <v>996</v>
      </c>
      <c r="I570" s="2" t="s">
        <v>994</v>
      </c>
      <c r="J570" s="2" t="s">
        <v>26</v>
      </c>
      <c r="K570" s="2" t="s">
        <v>997</v>
      </c>
      <c r="L570" s="3">
        <v>46088.0</v>
      </c>
      <c r="M570" s="2">
        <v>27.99</v>
      </c>
      <c r="N570" s="2">
        <v>27.99</v>
      </c>
      <c r="O570" s="2">
        <v>24.0</v>
      </c>
      <c r="P570" s="2">
        <v>24.0</v>
      </c>
      <c r="Q570" s="2" t="s">
        <v>998</v>
      </c>
      <c r="R570" s="2" t="s">
        <v>24</v>
      </c>
      <c r="S570" s="2" t="b">
        <f>COUNTIF('Marcas Target'!A:A,dados!$E570)&gt;0</f>
        <v>0</v>
      </c>
    </row>
    <row r="571" ht="15.75" customHeight="1">
      <c r="A571" s="2" t="s">
        <v>994</v>
      </c>
      <c r="B571" s="2" t="s">
        <v>995</v>
      </c>
      <c r="C571" s="2" t="s">
        <v>24</v>
      </c>
      <c r="D571" s="2" t="s">
        <v>24</v>
      </c>
      <c r="E571" s="2" t="s">
        <v>378</v>
      </c>
      <c r="F571" s="2" t="s">
        <v>24</v>
      </c>
      <c r="G571" s="2" t="s">
        <v>24</v>
      </c>
      <c r="H571" s="2" t="s">
        <v>996</v>
      </c>
      <c r="I571" s="2" t="s">
        <v>994</v>
      </c>
      <c r="J571" s="2" t="s">
        <v>26</v>
      </c>
      <c r="K571" s="2" t="s">
        <v>997</v>
      </c>
      <c r="L571" s="3">
        <v>46087.0</v>
      </c>
      <c r="M571" s="2">
        <v>27.99</v>
      </c>
      <c r="N571" s="2">
        <v>27.99</v>
      </c>
      <c r="O571" s="2">
        <v>3.0</v>
      </c>
      <c r="P571" s="2">
        <v>2.0</v>
      </c>
      <c r="Q571" s="2" t="s">
        <v>998</v>
      </c>
      <c r="R571" s="2" t="s">
        <v>24</v>
      </c>
      <c r="S571" s="2" t="b">
        <f>COUNTIF('Marcas Target'!A:A,dados!$E571)&gt;0</f>
        <v>0</v>
      </c>
    </row>
    <row r="572" ht="15.75" customHeight="1">
      <c r="A572" s="2" t="s">
        <v>999</v>
      </c>
      <c r="B572" s="2" t="s">
        <v>1000</v>
      </c>
      <c r="C572" s="2" t="s">
        <v>24</v>
      </c>
      <c r="D572" s="2" t="s">
        <v>24</v>
      </c>
      <c r="E572" s="2" t="s">
        <v>378</v>
      </c>
      <c r="F572" s="2" t="s">
        <v>24</v>
      </c>
      <c r="G572" s="2" t="s">
        <v>24</v>
      </c>
      <c r="H572" s="2" t="s">
        <v>1001</v>
      </c>
      <c r="I572" s="2" t="s">
        <v>999</v>
      </c>
      <c r="J572" s="2" t="s">
        <v>26</v>
      </c>
      <c r="K572" s="2" t="s">
        <v>1002</v>
      </c>
      <c r="L572" s="3">
        <v>46089.0</v>
      </c>
      <c r="M572" s="2">
        <v>27.99</v>
      </c>
      <c r="N572" s="2">
        <v>27.99</v>
      </c>
      <c r="O572" s="2">
        <v>22.0</v>
      </c>
      <c r="P572" s="2">
        <v>22.0</v>
      </c>
      <c r="Q572" s="2" t="s">
        <v>1003</v>
      </c>
      <c r="R572" s="2" t="s">
        <v>24</v>
      </c>
      <c r="S572" s="2" t="b">
        <f>COUNTIF('Marcas Target'!A:A,dados!$E572)&gt;0</f>
        <v>0</v>
      </c>
    </row>
    <row r="573" ht="15.75" customHeight="1">
      <c r="A573" s="2" t="s">
        <v>999</v>
      </c>
      <c r="B573" s="2" t="s">
        <v>1000</v>
      </c>
      <c r="C573" s="2" t="s">
        <v>24</v>
      </c>
      <c r="D573" s="2" t="s">
        <v>24</v>
      </c>
      <c r="E573" s="2" t="s">
        <v>378</v>
      </c>
      <c r="F573" s="2" t="s">
        <v>24</v>
      </c>
      <c r="G573" s="2" t="s">
        <v>24</v>
      </c>
      <c r="H573" s="2" t="s">
        <v>1001</v>
      </c>
      <c r="I573" s="2" t="s">
        <v>999</v>
      </c>
      <c r="J573" s="2" t="s">
        <v>26</v>
      </c>
      <c r="K573" s="2" t="s">
        <v>1002</v>
      </c>
      <c r="L573" s="3">
        <v>46088.0</v>
      </c>
      <c r="M573" s="2">
        <v>27.99</v>
      </c>
      <c r="N573" s="2">
        <v>27.99</v>
      </c>
      <c r="O573" s="2">
        <v>24.0</v>
      </c>
      <c r="P573" s="2">
        <v>24.0</v>
      </c>
      <c r="Q573" s="2" t="s">
        <v>1003</v>
      </c>
      <c r="R573" s="2" t="s">
        <v>24</v>
      </c>
      <c r="S573" s="2" t="b">
        <f>COUNTIF('Marcas Target'!A:A,dados!$E573)&gt;0</f>
        <v>0</v>
      </c>
    </row>
    <row r="574" ht="15.75" customHeight="1">
      <c r="A574" s="2" t="s">
        <v>999</v>
      </c>
      <c r="B574" s="2" t="s">
        <v>1000</v>
      </c>
      <c r="C574" s="2" t="s">
        <v>24</v>
      </c>
      <c r="D574" s="2" t="s">
        <v>24</v>
      </c>
      <c r="E574" s="2" t="s">
        <v>378</v>
      </c>
      <c r="F574" s="2" t="s">
        <v>24</v>
      </c>
      <c r="G574" s="2" t="s">
        <v>24</v>
      </c>
      <c r="H574" s="2" t="s">
        <v>1001</v>
      </c>
      <c r="I574" s="2" t="s">
        <v>999</v>
      </c>
      <c r="J574" s="2" t="s">
        <v>26</v>
      </c>
      <c r="K574" s="2" t="s">
        <v>1002</v>
      </c>
      <c r="L574" s="3">
        <v>46087.0</v>
      </c>
      <c r="M574" s="2">
        <v>27.99</v>
      </c>
      <c r="N574" s="2">
        <v>27.99</v>
      </c>
      <c r="O574" s="2">
        <v>3.0</v>
      </c>
      <c r="P574" s="2">
        <v>2.0</v>
      </c>
      <c r="Q574" s="2" t="s">
        <v>1003</v>
      </c>
      <c r="R574" s="2" t="s">
        <v>24</v>
      </c>
      <c r="S574" s="2" t="b">
        <f>COUNTIF('Marcas Target'!A:A,dados!$E574)&gt;0</f>
        <v>0</v>
      </c>
    </row>
    <row r="575" ht="15.75" customHeight="1">
      <c r="A575" s="2" t="s">
        <v>1004</v>
      </c>
      <c r="B575" s="2" t="s">
        <v>1005</v>
      </c>
      <c r="C575" s="2" t="s">
        <v>24</v>
      </c>
      <c r="D575" s="2" t="s">
        <v>24</v>
      </c>
      <c r="E575" s="2" t="s">
        <v>425</v>
      </c>
      <c r="F575" s="2" t="s">
        <v>24</v>
      </c>
      <c r="G575" s="2" t="s">
        <v>24</v>
      </c>
      <c r="H575" s="2" t="s">
        <v>1006</v>
      </c>
      <c r="I575" s="2" t="s">
        <v>1004</v>
      </c>
      <c r="J575" s="2" t="s">
        <v>26</v>
      </c>
      <c r="K575" s="2" t="s">
        <v>1007</v>
      </c>
      <c r="L575" s="3">
        <v>46089.0</v>
      </c>
      <c r="M575" s="2">
        <v>21.99</v>
      </c>
      <c r="N575" s="2">
        <v>21.99</v>
      </c>
      <c r="O575" s="2">
        <v>22.0</v>
      </c>
      <c r="P575" s="2">
        <v>22.0</v>
      </c>
      <c r="Q575" s="2" t="s">
        <v>1008</v>
      </c>
      <c r="R575" s="2" t="s">
        <v>24</v>
      </c>
      <c r="S575" s="2" t="b">
        <f>COUNTIF('Marcas Target'!A:A,dados!$E575)&gt;0</f>
        <v>0</v>
      </c>
    </row>
    <row r="576" ht="15.75" customHeight="1">
      <c r="A576" s="2" t="s">
        <v>1004</v>
      </c>
      <c r="B576" s="2" t="s">
        <v>1005</v>
      </c>
      <c r="C576" s="2" t="s">
        <v>24</v>
      </c>
      <c r="D576" s="2" t="s">
        <v>24</v>
      </c>
      <c r="E576" s="2" t="s">
        <v>425</v>
      </c>
      <c r="F576" s="2" t="s">
        <v>24</v>
      </c>
      <c r="G576" s="2" t="s">
        <v>24</v>
      </c>
      <c r="H576" s="2" t="s">
        <v>1006</v>
      </c>
      <c r="I576" s="2" t="s">
        <v>1004</v>
      </c>
      <c r="J576" s="2" t="s">
        <v>26</v>
      </c>
      <c r="K576" s="2" t="s">
        <v>1007</v>
      </c>
      <c r="L576" s="3">
        <v>46088.0</v>
      </c>
      <c r="M576" s="2">
        <v>21.99</v>
      </c>
      <c r="N576" s="2">
        <v>21.99</v>
      </c>
      <c r="O576" s="2">
        <v>24.0</v>
      </c>
      <c r="P576" s="2">
        <v>24.0</v>
      </c>
      <c r="Q576" s="2" t="s">
        <v>1008</v>
      </c>
      <c r="R576" s="2" t="s">
        <v>24</v>
      </c>
      <c r="S576" s="2" t="b">
        <f>COUNTIF('Marcas Target'!A:A,dados!$E576)&gt;0</f>
        <v>0</v>
      </c>
    </row>
    <row r="577" ht="15.75" customHeight="1">
      <c r="A577" s="2" t="s">
        <v>1004</v>
      </c>
      <c r="B577" s="2" t="s">
        <v>1005</v>
      </c>
      <c r="C577" s="2" t="s">
        <v>24</v>
      </c>
      <c r="D577" s="2" t="s">
        <v>24</v>
      </c>
      <c r="E577" s="2" t="s">
        <v>425</v>
      </c>
      <c r="F577" s="2" t="s">
        <v>24</v>
      </c>
      <c r="G577" s="2" t="s">
        <v>24</v>
      </c>
      <c r="H577" s="2" t="s">
        <v>1006</v>
      </c>
      <c r="I577" s="2" t="s">
        <v>1004</v>
      </c>
      <c r="J577" s="2" t="s">
        <v>26</v>
      </c>
      <c r="K577" s="2" t="s">
        <v>1007</v>
      </c>
      <c r="L577" s="3">
        <v>46087.0</v>
      </c>
      <c r="M577" s="2">
        <v>21.99</v>
      </c>
      <c r="N577" s="2">
        <v>21.99</v>
      </c>
      <c r="O577" s="2">
        <v>3.0</v>
      </c>
      <c r="P577" s="2">
        <v>3.0</v>
      </c>
      <c r="Q577" s="2" t="s">
        <v>1008</v>
      </c>
      <c r="R577" s="2" t="s">
        <v>24</v>
      </c>
      <c r="S577" s="2" t="b">
        <f>COUNTIF('Marcas Target'!A:A,dados!$E577)&gt;0</f>
        <v>0</v>
      </c>
    </row>
    <row r="578" ht="15.75" customHeight="1">
      <c r="A578" s="2" t="s">
        <v>1009</v>
      </c>
      <c r="B578" s="2" t="s">
        <v>1010</v>
      </c>
      <c r="C578" s="2" t="s">
        <v>24</v>
      </c>
      <c r="D578" s="2" t="s">
        <v>24</v>
      </c>
      <c r="E578" s="2" t="s">
        <v>378</v>
      </c>
      <c r="F578" s="2" t="s">
        <v>24</v>
      </c>
      <c r="G578" s="2" t="s">
        <v>24</v>
      </c>
      <c r="H578" s="2" t="s">
        <v>1011</v>
      </c>
      <c r="I578" s="2" t="s">
        <v>1009</v>
      </c>
      <c r="J578" s="2" t="s">
        <v>26</v>
      </c>
      <c r="K578" s="2" t="s">
        <v>1012</v>
      </c>
      <c r="L578" s="3">
        <v>46089.0</v>
      </c>
      <c r="M578" s="2">
        <v>27.99</v>
      </c>
      <c r="N578" s="2">
        <v>27.99</v>
      </c>
      <c r="O578" s="2">
        <v>23.0</v>
      </c>
      <c r="P578" s="2">
        <v>22.0</v>
      </c>
      <c r="Q578" s="2" t="s">
        <v>1013</v>
      </c>
      <c r="R578" s="2" t="s">
        <v>24</v>
      </c>
      <c r="S578" s="2" t="b">
        <f>COUNTIF('Marcas Target'!A:A,dados!$E578)&gt;0</f>
        <v>0</v>
      </c>
    </row>
    <row r="579" ht="15.75" customHeight="1">
      <c r="A579" s="2" t="s">
        <v>1009</v>
      </c>
      <c r="B579" s="2" t="s">
        <v>1010</v>
      </c>
      <c r="C579" s="2" t="s">
        <v>24</v>
      </c>
      <c r="D579" s="2" t="s">
        <v>24</v>
      </c>
      <c r="E579" s="2" t="s">
        <v>378</v>
      </c>
      <c r="F579" s="2" t="s">
        <v>24</v>
      </c>
      <c r="G579" s="2" t="s">
        <v>24</v>
      </c>
      <c r="H579" s="2" t="s">
        <v>1011</v>
      </c>
      <c r="I579" s="2" t="s">
        <v>1009</v>
      </c>
      <c r="J579" s="2" t="s">
        <v>26</v>
      </c>
      <c r="K579" s="2" t="s">
        <v>1012</v>
      </c>
      <c r="L579" s="3">
        <v>46088.0</v>
      </c>
      <c r="M579" s="2">
        <v>27.99</v>
      </c>
      <c r="N579" s="2">
        <v>27.99</v>
      </c>
      <c r="O579" s="2">
        <v>24.0</v>
      </c>
      <c r="P579" s="2">
        <v>23.0</v>
      </c>
      <c r="Q579" s="2" t="s">
        <v>1013</v>
      </c>
      <c r="R579" s="2" t="s">
        <v>24</v>
      </c>
      <c r="S579" s="2" t="b">
        <f>COUNTIF('Marcas Target'!A:A,dados!$E579)&gt;0</f>
        <v>0</v>
      </c>
    </row>
    <row r="580" ht="15.75" customHeight="1">
      <c r="A580" s="2" t="s">
        <v>1009</v>
      </c>
      <c r="B580" s="2" t="s">
        <v>1010</v>
      </c>
      <c r="C580" s="2" t="s">
        <v>24</v>
      </c>
      <c r="D580" s="2" t="s">
        <v>24</v>
      </c>
      <c r="E580" s="2" t="s">
        <v>378</v>
      </c>
      <c r="F580" s="2" t="s">
        <v>24</v>
      </c>
      <c r="G580" s="2" t="s">
        <v>24</v>
      </c>
      <c r="H580" s="2" t="s">
        <v>1011</v>
      </c>
      <c r="I580" s="2" t="s">
        <v>1009</v>
      </c>
      <c r="J580" s="2" t="s">
        <v>26</v>
      </c>
      <c r="K580" s="2" t="s">
        <v>1012</v>
      </c>
      <c r="L580" s="3">
        <v>46087.0</v>
      </c>
      <c r="M580" s="2">
        <v>27.99</v>
      </c>
      <c r="N580" s="2">
        <v>27.99</v>
      </c>
      <c r="O580" s="2">
        <v>3.0</v>
      </c>
      <c r="P580" s="2">
        <v>2.0</v>
      </c>
      <c r="Q580" s="2" t="s">
        <v>1013</v>
      </c>
      <c r="R580" s="2" t="s">
        <v>24</v>
      </c>
      <c r="S580" s="2" t="b">
        <f>COUNTIF('Marcas Target'!A:A,dados!$E580)&gt;0</f>
        <v>0</v>
      </c>
    </row>
    <row r="581" ht="15.75" customHeight="1">
      <c r="A581" s="2" t="s">
        <v>1014</v>
      </c>
      <c r="B581" s="2" t="s">
        <v>1015</v>
      </c>
      <c r="C581" s="2" t="s">
        <v>24</v>
      </c>
      <c r="D581" s="2" t="s">
        <v>24</v>
      </c>
      <c r="E581" s="2" t="s">
        <v>128</v>
      </c>
      <c r="F581" s="2" t="s">
        <v>24</v>
      </c>
      <c r="G581" s="2" t="s">
        <v>24</v>
      </c>
      <c r="H581" s="2" t="s">
        <v>1016</v>
      </c>
      <c r="I581" s="2" t="s">
        <v>1014</v>
      </c>
      <c r="J581" s="2" t="s">
        <v>26</v>
      </c>
      <c r="K581" s="2" t="s">
        <v>1017</v>
      </c>
      <c r="L581" s="3">
        <v>46089.0</v>
      </c>
      <c r="M581" s="2">
        <v>24.04</v>
      </c>
      <c r="N581" s="2">
        <v>24.04</v>
      </c>
      <c r="O581" s="2">
        <v>22.0</v>
      </c>
      <c r="P581" s="2">
        <v>22.0</v>
      </c>
      <c r="Q581" s="2" t="s">
        <v>1018</v>
      </c>
      <c r="R581" s="2" t="s">
        <v>24</v>
      </c>
      <c r="S581" s="2" t="b">
        <f>COUNTIF('Marcas Target'!A:A,dados!$E581)&gt;0</f>
        <v>1</v>
      </c>
    </row>
    <row r="582" ht="15.75" customHeight="1">
      <c r="A582" s="2" t="s">
        <v>1014</v>
      </c>
      <c r="B582" s="2" t="s">
        <v>1015</v>
      </c>
      <c r="C582" s="2" t="s">
        <v>24</v>
      </c>
      <c r="D582" s="2" t="s">
        <v>24</v>
      </c>
      <c r="E582" s="2" t="s">
        <v>128</v>
      </c>
      <c r="F582" s="2" t="s">
        <v>24</v>
      </c>
      <c r="G582" s="2" t="s">
        <v>24</v>
      </c>
      <c r="H582" s="2" t="s">
        <v>1016</v>
      </c>
      <c r="I582" s="2" t="s">
        <v>1014</v>
      </c>
      <c r="J582" s="2" t="s">
        <v>26</v>
      </c>
      <c r="K582" s="2" t="s">
        <v>1017</v>
      </c>
      <c r="L582" s="3">
        <v>46088.0</v>
      </c>
      <c r="M582" s="2">
        <v>27.57</v>
      </c>
      <c r="N582" s="2">
        <v>27.57</v>
      </c>
      <c r="O582" s="2">
        <v>24.0</v>
      </c>
      <c r="P582" s="2">
        <v>11.0</v>
      </c>
      <c r="Q582" s="2" t="s">
        <v>1018</v>
      </c>
      <c r="R582" s="2" t="s">
        <v>24</v>
      </c>
      <c r="S582" s="2" t="b">
        <f>COUNTIF('Marcas Target'!A:A,dados!$E582)&gt;0</f>
        <v>1</v>
      </c>
    </row>
    <row r="583" ht="15.75" customHeight="1">
      <c r="A583" s="2" t="s">
        <v>1014</v>
      </c>
      <c r="B583" s="2" t="s">
        <v>1015</v>
      </c>
      <c r="C583" s="2" t="s">
        <v>24</v>
      </c>
      <c r="D583" s="2" t="s">
        <v>24</v>
      </c>
      <c r="E583" s="2" t="s">
        <v>128</v>
      </c>
      <c r="F583" s="2" t="s">
        <v>24</v>
      </c>
      <c r="G583" s="2" t="s">
        <v>24</v>
      </c>
      <c r="H583" s="2" t="s">
        <v>1016</v>
      </c>
      <c r="I583" s="2" t="s">
        <v>1014</v>
      </c>
      <c r="J583" s="2" t="s">
        <v>26</v>
      </c>
      <c r="K583" s="2" t="s">
        <v>1017</v>
      </c>
      <c r="L583" s="3">
        <v>46087.0</v>
      </c>
      <c r="M583" s="2" t="s">
        <v>24</v>
      </c>
      <c r="N583" s="2" t="s">
        <v>24</v>
      </c>
      <c r="O583" s="2">
        <v>3.0</v>
      </c>
      <c r="P583" s="2">
        <v>0.0</v>
      </c>
      <c r="Q583" s="2" t="s">
        <v>1018</v>
      </c>
      <c r="R583" s="2" t="s">
        <v>24</v>
      </c>
      <c r="S583" s="2" t="b">
        <f>COUNTIF('Marcas Target'!A:A,dados!$E583)&gt;0</f>
        <v>1</v>
      </c>
    </row>
    <row r="584" ht="15.75" customHeight="1">
      <c r="A584" s="2" t="s">
        <v>1019</v>
      </c>
      <c r="B584" s="2" t="s">
        <v>1020</v>
      </c>
      <c r="C584" s="2" t="s">
        <v>24</v>
      </c>
      <c r="D584" s="2" t="s">
        <v>24</v>
      </c>
      <c r="E584" s="2" t="s">
        <v>128</v>
      </c>
      <c r="F584" s="2" t="s">
        <v>24</v>
      </c>
      <c r="G584" s="2" t="s">
        <v>24</v>
      </c>
      <c r="H584" s="2" t="s">
        <v>1021</v>
      </c>
      <c r="I584" s="2" t="s">
        <v>1019</v>
      </c>
      <c r="J584" s="2" t="s">
        <v>26</v>
      </c>
      <c r="K584" s="2" t="s">
        <v>1022</v>
      </c>
      <c r="L584" s="3">
        <v>46089.0</v>
      </c>
      <c r="M584" s="2">
        <v>24.04</v>
      </c>
      <c r="N584" s="2">
        <v>24.04</v>
      </c>
      <c r="O584" s="2">
        <v>22.0</v>
      </c>
      <c r="P584" s="2">
        <v>21.0</v>
      </c>
      <c r="Q584" s="2" t="s">
        <v>1023</v>
      </c>
      <c r="R584" s="2" t="s">
        <v>24</v>
      </c>
      <c r="S584" s="2" t="b">
        <f>COUNTIF('Marcas Target'!A:A,dados!$E584)&gt;0</f>
        <v>1</v>
      </c>
    </row>
    <row r="585" ht="15.75" customHeight="1">
      <c r="A585" s="2" t="s">
        <v>1019</v>
      </c>
      <c r="B585" s="2" t="s">
        <v>1020</v>
      </c>
      <c r="C585" s="2" t="s">
        <v>24</v>
      </c>
      <c r="D585" s="2" t="s">
        <v>24</v>
      </c>
      <c r="E585" s="2" t="s">
        <v>128</v>
      </c>
      <c r="F585" s="2" t="s">
        <v>24</v>
      </c>
      <c r="G585" s="2" t="s">
        <v>24</v>
      </c>
      <c r="H585" s="2" t="s">
        <v>1021</v>
      </c>
      <c r="I585" s="2" t="s">
        <v>1019</v>
      </c>
      <c r="J585" s="2" t="s">
        <v>26</v>
      </c>
      <c r="K585" s="2" t="s">
        <v>1022</v>
      </c>
      <c r="L585" s="3">
        <v>46088.0</v>
      </c>
      <c r="M585" s="2">
        <v>32.13</v>
      </c>
      <c r="N585" s="2">
        <v>32.13</v>
      </c>
      <c r="O585" s="2">
        <v>24.0</v>
      </c>
      <c r="P585" s="2">
        <v>24.0</v>
      </c>
      <c r="Q585" s="2" t="s">
        <v>1023</v>
      </c>
      <c r="R585" s="2" t="s">
        <v>24</v>
      </c>
      <c r="S585" s="2" t="b">
        <f>COUNTIF('Marcas Target'!A:A,dados!$E585)&gt;0</f>
        <v>1</v>
      </c>
    </row>
    <row r="586" ht="15.75" customHeight="1">
      <c r="A586" s="2" t="s">
        <v>1019</v>
      </c>
      <c r="B586" s="2" t="s">
        <v>1020</v>
      </c>
      <c r="C586" s="2" t="s">
        <v>24</v>
      </c>
      <c r="D586" s="2" t="s">
        <v>24</v>
      </c>
      <c r="E586" s="2" t="s">
        <v>128</v>
      </c>
      <c r="F586" s="2" t="s">
        <v>24</v>
      </c>
      <c r="G586" s="2" t="s">
        <v>24</v>
      </c>
      <c r="H586" s="2" t="s">
        <v>1021</v>
      </c>
      <c r="I586" s="2" t="s">
        <v>1019</v>
      </c>
      <c r="J586" s="2" t="s">
        <v>26</v>
      </c>
      <c r="K586" s="2" t="s">
        <v>1022</v>
      </c>
      <c r="L586" s="3">
        <v>46087.0</v>
      </c>
      <c r="M586" s="2">
        <v>24.04</v>
      </c>
      <c r="N586" s="2">
        <v>24.04</v>
      </c>
      <c r="O586" s="2">
        <v>3.0</v>
      </c>
      <c r="P586" s="2">
        <v>2.0</v>
      </c>
      <c r="Q586" s="2" t="s">
        <v>1023</v>
      </c>
      <c r="R586" s="2" t="s">
        <v>24</v>
      </c>
      <c r="S586" s="2" t="b">
        <f>COUNTIF('Marcas Target'!A:A,dados!$E586)&gt;0</f>
        <v>1</v>
      </c>
    </row>
    <row r="587" ht="15.75" customHeight="1">
      <c r="A587" s="2" t="s">
        <v>1024</v>
      </c>
      <c r="B587" s="2" t="s">
        <v>1025</v>
      </c>
      <c r="C587" s="2" t="s">
        <v>24</v>
      </c>
      <c r="D587" s="2" t="s">
        <v>24</v>
      </c>
      <c r="E587" s="2" t="s">
        <v>394</v>
      </c>
      <c r="F587" s="2" t="s">
        <v>24</v>
      </c>
      <c r="G587" s="2" t="s">
        <v>24</v>
      </c>
      <c r="H587" s="2" t="s">
        <v>1026</v>
      </c>
      <c r="I587" s="2" t="s">
        <v>1024</v>
      </c>
      <c r="J587" s="2" t="s">
        <v>26</v>
      </c>
      <c r="K587" s="2" t="s">
        <v>1027</v>
      </c>
      <c r="L587" s="3">
        <v>46089.0</v>
      </c>
      <c r="M587" s="2">
        <v>25.49</v>
      </c>
      <c r="N587" s="2">
        <v>25.49</v>
      </c>
      <c r="O587" s="2">
        <v>22.0</v>
      </c>
      <c r="P587" s="2">
        <v>21.0</v>
      </c>
      <c r="Q587" s="2" t="s">
        <v>1028</v>
      </c>
      <c r="R587" s="2" t="s">
        <v>24</v>
      </c>
      <c r="S587" s="2" t="b">
        <f>COUNTIF('Marcas Target'!A:A,dados!$E587)&gt;0</f>
        <v>0</v>
      </c>
    </row>
    <row r="588" ht="15.75" customHeight="1">
      <c r="A588" s="2" t="s">
        <v>1024</v>
      </c>
      <c r="B588" s="2" t="s">
        <v>1025</v>
      </c>
      <c r="C588" s="2" t="s">
        <v>24</v>
      </c>
      <c r="D588" s="2" t="s">
        <v>24</v>
      </c>
      <c r="E588" s="2" t="s">
        <v>394</v>
      </c>
      <c r="F588" s="2" t="s">
        <v>24</v>
      </c>
      <c r="G588" s="2" t="s">
        <v>24</v>
      </c>
      <c r="H588" s="2" t="s">
        <v>1026</v>
      </c>
      <c r="I588" s="2" t="s">
        <v>1024</v>
      </c>
      <c r="J588" s="2" t="s">
        <v>26</v>
      </c>
      <c r="K588" s="2" t="s">
        <v>1027</v>
      </c>
      <c r="L588" s="3">
        <v>46088.0</v>
      </c>
      <c r="M588" s="2">
        <v>25.49</v>
      </c>
      <c r="N588" s="2">
        <v>25.49</v>
      </c>
      <c r="O588" s="2">
        <v>24.0</v>
      </c>
      <c r="P588" s="2">
        <v>24.0</v>
      </c>
      <c r="Q588" s="2" t="s">
        <v>1028</v>
      </c>
      <c r="R588" s="2" t="s">
        <v>24</v>
      </c>
      <c r="S588" s="2" t="b">
        <f>COUNTIF('Marcas Target'!A:A,dados!$E588)&gt;0</f>
        <v>0</v>
      </c>
    </row>
    <row r="589" ht="15.75" customHeight="1">
      <c r="A589" s="2" t="s">
        <v>1024</v>
      </c>
      <c r="B589" s="2" t="s">
        <v>1025</v>
      </c>
      <c r="C589" s="2" t="s">
        <v>24</v>
      </c>
      <c r="D589" s="2" t="s">
        <v>24</v>
      </c>
      <c r="E589" s="2" t="s">
        <v>394</v>
      </c>
      <c r="F589" s="2" t="s">
        <v>24</v>
      </c>
      <c r="G589" s="2" t="s">
        <v>24</v>
      </c>
      <c r="H589" s="2" t="s">
        <v>1026</v>
      </c>
      <c r="I589" s="2" t="s">
        <v>1024</v>
      </c>
      <c r="J589" s="2" t="s">
        <v>26</v>
      </c>
      <c r="K589" s="2" t="s">
        <v>1027</v>
      </c>
      <c r="L589" s="3">
        <v>46087.0</v>
      </c>
      <c r="M589" s="2">
        <v>25.49</v>
      </c>
      <c r="N589" s="2">
        <v>25.49</v>
      </c>
      <c r="O589" s="2">
        <v>3.0</v>
      </c>
      <c r="P589" s="2">
        <v>3.0</v>
      </c>
      <c r="Q589" s="2" t="s">
        <v>1028</v>
      </c>
      <c r="R589" s="2" t="s">
        <v>24</v>
      </c>
      <c r="S589" s="2" t="b">
        <f>COUNTIF('Marcas Target'!A:A,dados!$E589)&gt;0</f>
        <v>0</v>
      </c>
    </row>
    <row r="590" ht="15.75" customHeight="1">
      <c r="A590" s="2" t="s">
        <v>1029</v>
      </c>
      <c r="B590" s="2" t="s">
        <v>1030</v>
      </c>
      <c r="C590" s="2" t="s">
        <v>24</v>
      </c>
      <c r="D590" s="2" t="s">
        <v>24</v>
      </c>
      <c r="E590" s="2" t="s">
        <v>227</v>
      </c>
      <c r="F590" s="2" t="s">
        <v>24</v>
      </c>
      <c r="G590" s="2" t="s">
        <v>24</v>
      </c>
      <c r="H590" s="2" t="s">
        <v>1031</v>
      </c>
      <c r="I590" s="2" t="s">
        <v>1029</v>
      </c>
      <c r="J590" s="2" t="s">
        <v>26</v>
      </c>
      <c r="K590" s="2" t="s">
        <v>1032</v>
      </c>
      <c r="L590" s="3">
        <v>46089.0</v>
      </c>
      <c r="M590" s="2">
        <v>8.99</v>
      </c>
      <c r="N590" s="2">
        <v>8.99</v>
      </c>
      <c r="O590" s="2">
        <v>23.0</v>
      </c>
      <c r="P590" s="2">
        <v>22.0</v>
      </c>
      <c r="Q590" s="2" t="s">
        <v>1033</v>
      </c>
      <c r="R590" s="2" t="s">
        <v>24</v>
      </c>
      <c r="S590" s="2" t="b">
        <f>COUNTIF('Marcas Target'!A:A,dados!$E590)&gt;0</f>
        <v>0</v>
      </c>
    </row>
    <row r="591" ht="15.75" customHeight="1">
      <c r="A591" s="2" t="s">
        <v>1029</v>
      </c>
      <c r="B591" s="2" t="s">
        <v>1030</v>
      </c>
      <c r="C591" s="2" t="s">
        <v>24</v>
      </c>
      <c r="D591" s="2" t="s">
        <v>24</v>
      </c>
      <c r="E591" s="2" t="s">
        <v>227</v>
      </c>
      <c r="F591" s="2" t="s">
        <v>24</v>
      </c>
      <c r="G591" s="2" t="s">
        <v>24</v>
      </c>
      <c r="H591" s="2" t="s">
        <v>1031</v>
      </c>
      <c r="I591" s="2" t="s">
        <v>1029</v>
      </c>
      <c r="J591" s="2" t="s">
        <v>26</v>
      </c>
      <c r="K591" s="2" t="s">
        <v>1032</v>
      </c>
      <c r="L591" s="3">
        <v>46088.0</v>
      </c>
      <c r="M591" s="2">
        <v>8.99</v>
      </c>
      <c r="N591" s="2">
        <v>8.99</v>
      </c>
      <c r="O591" s="2">
        <v>24.0</v>
      </c>
      <c r="P591" s="2">
        <v>24.0</v>
      </c>
      <c r="Q591" s="2" t="s">
        <v>1033</v>
      </c>
      <c r="R591" s="2" t="s">
        <v>24</v>
      </c>
      <c r="S591" s="2" t="b">
        <f>COUNTIF('Marcas Target'!A:A,dados!$E591)&gt;0</f>
        <v>0</v>
      </c>
    </row>
    <row r="592" ht="15.75" customHeight="1">
      <c r="A592" s="2" t="s">
        <v>1029</v>
      </c>
      <c r="B592" s="2" t="s">
        <v>1030</v>
      </c>
      <c r="C592" s="2" t="s">
        <v>24</v>
      </c>
      <c r="D592" s="2" t="s">
        <v>24</v>
      </c>
      <c r="E592" s="2" t="s">
        <v>227</v>
      </c>
      <c r="F592" s="2" t="s">
        <v>24</v>
      </c>
      <c r="G592" s="2" t="s">
        <v>24</v>
      </c>
      <c r="H592" s="2" t="s">
        <v>1031</v>
      </c>
      <c r="I592" s="2" t="s">
        <v>1029</v>
      </c>
      <c r="J592" s="2" t="s">
        <v>26</v>
      </c>
      <c r="K592" s="2" t="s">
        <v>1032</v>
      </c>
      <c r="L592" s="3">
        <v>46087.0</v>
      </c>
      <c r="M592" s="2">
        <v>8.99</v>
      </c>
      <c r="N592" s="2">
        <v>8.99</v>
      </c>
      <c r="O592" s="2">
        <v>3.0</v>
      </c>
      <c r="P592" s="2">
        <v>2.0</v>
      </c>
      <c r="Q592" s="2" t="s">
        <v>1033</v>
      </c>
      <c r="R592" s="2" t="s">
        <v>24</v>
      </c>
      <c r="S592" s="2" t="b">
        <f>COUNTIF('Marcas Target'!A:A,dados!$E592)&gt;0</f>
        <v>0</v>
      </c>
    </row>
    <row r="593" ht="15.75" customHeight="1">
      <c r="A593" s="2" t="s">
        <v>1034</v>
      </c>
      <c r="B593" s="2" t="s">
        <v>1035</v>
      </c>
      <c r="C593" s="2" t="s">
        <v>24</v>
      </c>
      <c r="D593" s="2" t="s">
        <v>24</v>
      </c>
      <c r="E593" s="2" t="s">
        <v>378</v>
      </c>
      <c r="F593" s="2" t="s">
        <v>24</v>
      </c>
      <c r="G593" s="2" t="s">
        <v>24</v>
      </c>
      <c r="H593" s="2" t="s">
        <v>1036</v>
      </c>
      <c r="I593" s="2" t="s">
        <v>1034</v>
      </c>
      <c r="J593" s="2" t="s">
        <v>26</v>
      </c>
      <c r="K593" s="2" t="s">
        <v>1037</v>
      </c>
      <c r="L593" s="3">
        <v>46089.0</v>
      </c>
      <c r="M593" s="2" t="s">
        <v>24</v>
      </c>
      <c r="N593" s="2" t="s">
        <v>24</v>
      </c>
      <c r="O593" s="2">
        <v>22.0</v>
      </c>
      <c r="P593" s="2">
        <v>0.0</v>
      </c>
      <c r="Q593" s="2" t="s">
        <v>1038</v>
      </c>
      <c r="R593" s="2" t="s">
        <v>24</v>
      </c>
      <c r="S593" s="2" t="b">
        <f>COUNTIF('Marcas Target'!A:A,dados!$E593)&gt;0</f>
        <v>0</v>
      </c>
    </row>
    <row r="594" ht="15.75" customHeight="1">
      <c r="A594" s="2" t="s">
        <v>1034</v>
      </c>
      <c r="B594" s="2" t="s">
        <v>1035</v>
      </c>
      <c r="C594" s="2" t="s">
        <v>24</v>
      </c>
      <c r="D594" s="2" t="s">
        <v>24</v>
      </c>
      <c r="E594" s="2" t="s">
        <v>378</v>
      </c>
      <c r="F594" s="2" t="s">
        <v>24</v>
      </c>
      <c r="G594" s="2" t="s">
        <v>24</v>
      </c>
      <c r="H594" s="2" t="s">
        <v>1036</v>
      </c>
      <c r="I594" s="2" t="s">
        <v>1034</v>
      </c>
      <c r="J594" s="2" t="s">
        <v>26</v>
      </c>
      <c r="K594" s="2" t="s">
        <v>1037</v>
      </c>
      <c r="L594" s="3">
        <v>46088.0</v>
      </c>
      <c r="M594" s="2">
        <v>9.99</v>
      </c>
      <c r="N594" s="2">
        <v>9.99</v>
      </c>
      <c r="O594" s="2">
        <v>24.0</v>
      </c>
      <c r="P594" s="2">
        <v>1.0</v>
      </c>
      <c r="Q594" s="2" t="s">
        <v>1038</v>
      </c>
      <c r="R594" s="2" t="s">
        <v>24</v>
      </c>
      <c r="S594" s="2" t="b">
        <f>COUNTIF('Marcas Target'!A:A,dados!$E594)&gt;0</f>
        <v>0</v>
      </c>
    </row>
    <row r="595" ht="15.75" customHeight="1">
      <c r="A595" s="2" t="s">
        <v>1034</v>
      </c>
      <c r="B595" s="2" t="s">
        <v>1035</v>
      </c>
      <c r="C595" s="2" t="s">
        <v>24</v>
      </c>
      <c r="D595" s="2" t="s">
        <v>24</v>
      </c>
      <c r="E595" s="2" t="s">
        <v>378</v>
      </c>
      <c r="F595" s="2" t="s">
        <v>24</v>
      </c>
      <c r="G595" s="2" t="s">
        <v>24</v>
      </c>
      <c r="H595" s="2" t="s">
        <v>1036</v>
      </c>
      <c r="I595" s="2" t="s">
        <v>1034</v>
      </c>
      <c r="J595" s="2" t="s">
        <v>26</v>
      </c>
      <c r="K595" s="2" t="s">
        <v>1037</v>
      </c>
      <c r="L595" s="3">
        <v>46087.0</v>
      </c>
      <c r="M595" s="2">
        <v>23.99</v>
      </c>
      <c r="N595" s="2">
        <v>23.99</v>
      </c>
      <c r="O595" s="2">
        <v>3.0</v>
      </c>
      <c r="P595" s="2">
        <v>1.0</v>
      </c>
      <c r="Q595" s="2" t="s">
        <v>1038</v>
      </c>
      <c r="R595" s="2" t="s">
        <v>24</v>
      </c>
      <c r="S595" s="2" t="b">
        <f>COUNTIF('Marcas Target'!A:A,dados!$E595)&gt;0</f>
        <v>0</v>
      </c>
    </row>
    <row r="596" ht="15.75" customHeight="1">
      <c r="A596" s="2" t="s">
        <v>1039</v>
      </c>
      <c r="B596" s="2" t="s">
        <v>1040</v>
      </c>
      <c r="C596" s="2" t="s">
        <v>24</v>
      </c>
      <c r="D596" s="2" t="s">
        <v>24</v>
      </c>
      <c r="E596" s="2" t="s">
        <v>1041</v>
      </c>
      <c r="F596" s="2" t="s">
        <v>24</v>
      </c>
      <c r="G596" s="2" t="s">
        <v>24</v>
      </c>
      <c r="H596" s="2" t="s">
        <v>1042</v>
      </c>
      <c r="I596" s="2" t="s">
        <v>1039</v>
      </c>
      <c r="J596" s="2" t="s">
        <v>26</v>
      </c>
      <c r="K596" s="2" t="s">
        <v>1043</v>
      </c>
      <c r="L596" s="3">
        <v>46089.0</v>
      </c>
      <c r="M596" s="2">
        <v>22.99</v>
      </c>
      <c r="N596" s="2">
        <v>22.99</v>
      </c>
      <c r="O596" s="2">
        <v>22.0</v>
      </c>
      <c r="P596" s="2">
        <v>1.0</v>
      </c>
      <c r="Q596" s="2" t="s">
        <v>1044</v>
      </c>
      <c r="R596" s="2" t="s">
        <v>24</v>
      </c>
      <c r="S596" s="2" t="b">
        <f>COUNTIF('Marcas Target'!A:A,dados!$E596)&gt;0</f>
        <v>0</v>
      </c>
    </row>
    <row r="597" ht="15.75" customHeight="1">
      <c r="A597" s="2" t="s">
        <v>1039</v>
      </c>
      <c r="B597" s="2" t="s">
        <v>1040</v>
      </c>
      <c r="C597" s="2" t="s">
        <v>24</v>
      </c>
      <c r="D597" s="2" t="s">
        <v>24</v>
      </c>
      <c r="E597" s="2" t="s">
        <v>1041</v>
      </c>
      <c r="F597" s="2" t="s">
        <v>24</v>
      </c>
      <c r="G597" s="2" t="s">
        <v>24</v>
      </c>
      <c r="H597" s="2" t="s">
        <v>1042</v>
      </c>
      <c r="I597" s="2" t="s">
        <v>1039</v>
      </c>
      <c r="J597" s="2" t="s">
        <v>26</v>
      </c>
      <c r="K597" s="2" t="s">
        <v>1043</v>
      </c>
      <c r="L597" s="3">
        <v>46088.0</v>
      </c>
      <c r="M597" s="2">
        <v>28.65</v>
      </c>
      <c r="N597" s="2">
        <v>28.65</v>
      </c>
      <c r="O597" s="2">
        <v>24.0</v>
      </c>
      <c r="P597" s="2">
        <v>2.0</v>
      </c>
      <c r="Q597" s="2" t="s">
        <v>1044</v>
      </c>
      <c r="R597" s="2" t="s">
        <v>24</v>
      </c>
      <c r="S597" s="2" t="b">
        <f>COUNTIF('Marcas Target'!A:A,dados!$E597)&gt;0</f>
        <v>0</v>
      </c>
    </row>
    <row r="598" ht="15.75" customHeight="1">
      <c r="A598" s="2" t="s">
        <v>1039</v>
      </c>
      <c r="B598" s="2" t="s">
        <v>1040</v>
      </c>
      <c r="C598" s="2" t="s">
        <v>24</v>
      </c>
      <c r="D598" s="2" t="s">
        <v>24</v>
      </c>
      <c r="E598" s="2" t="s">
        <v>1041</v>
      </c>
      <c r="F598" s="2" t="s">
        <v>24</v>
      </c>
      <c r="G598" s="2" t="s">
        <v>24</v>
      </c>
      <c r="H598" s="2" t="s">
        <v>1042</v>
      </c>
      <c r="I598" s="2" t="s">
        <v>1039</v>
      </c>
      <c r="J598" s="2" t="s">
        <v>26</v>
      </c>
      <c r="K598" s="2" t="s">
        <v>1043</v>
      </c>
      <c r="L598" s="3">
        <v>46087.0</v>
      </c>
      <c r="M598" s="2" t="s">
        <v>24</v>
      </c>
      <c r="N598" s="2" t="s">
        <v>24</v>
      </c>
      <c r="O598" s="2">
        <v>3.0</v>
      </c>
      <c r="P598" s="2">
        <v>0.0</v>
      </c>
      <c r="Q598" s="2" t="s">
        <v>1044</v>
      </c>
      <c r="R598" s="2" t="s">
        <v>24</v>
      </c>
      <c r="S598" s="2" t="b">
        <f>COUNTIF('Marcas Target'!A:A,dados!$E598)&gt;0</f>
        <v>0</v>
      </c>
    </row>
    <row r="599" ht="15.75" customHeight="1">
      <c r="A599" s="2" t="s">
        <v>1045</v>
      </c>
      <c r="B599" s="2" t="s">
        <v>1046</v>
      </c>
      <c r="C599" s="2" t="s">
        <v>24</v>
      </c>
      <c r="D599" s="2" t="s">
        <v>24</v>
      </c>
      <c r="E599" s="2" t="s">
        <v>503</v>
      </c>
      <c r="F599" s="2" t="s">
        <v>24</v>
      </c>
      <c r="G599" s="2" t="s">
        <v>24</v>
      </c>
      <c r="H599" s="2" t="s">
        <v>1047</v>
      </c>
      <c r="I599" s="2" t="s">
        <v>1045</v>
      </c>
      <c r="J599" s="2" t="s">
        <v>26</v>
      </c>
      <c r="K599" s="2" t="s">
        <v>1048</v>
      </c>
      <c r="L599" s="3">
        <v>46089.0</v>
      </c>
      <c r="M599" s="2">
        <v>17.49</v>
      </c>
      <c r="N599" s="2">
        <v>17.49</v>
      </c>
      <c r="O599" s="2">
        <v>22.0</v>
      </c>
      <c r="P599" s="2">
        <v>1.0</v>
      </c>
      <c r="Q599" s="2" t="s">
        <v>1049</v>
      </c>
      <c r="R599" s="2" t="s">
        <v>24</v>
      </c>
      <c r="S599" s="2" t="b">
        <f>COUNTIF('Marcas Target'!A:A,dados!$E599)&gt;0</f>
        <v>0</v>
      </c>
    </row>
    <row r="600" ht="15.75" customHeight="1">
      <c r="A600" s="2" t="s">
        <v>1045</v>
      </c>
      <c r="B600" s="2" t="s">
        <v>1046</v>
      </c>
      <c r="C600" s="2" t="s">
        <v>24</v>
      </c>
      <c r="D600" s="2" t="s">
        <v>24</v>
      </c>
      <c r="E600" s="2" t="s">
        <v>503</v>
      </c>
      <c r="F600" s="2" t="s">
        <v>24</v>
      </c>
      <c r="G600" s="2" t="s">
        <v>24</v>
      </c>
      <c r="H600" s="2" t="s">
        <v>1047</v>
      </c>
      <c r="I600" s="2" t="s">
        <v>1045</v>
      </c>
      <c r="J600" s="2" t="s">
        <v>26</v>
      </c>
      <c r="K600" s="2" t="s">
        <v>1048</v>
      </c>
      <c r="L600" s="3">
        <v>46088.0</v>
      </c>
      <c r="M600" s="2">
        <v>8.99</v>
      </c>
      <c r="N600" s="2">
        <v>8.99</v>
      </c>
      <c r="O600" s="2">
        <v>24.0</v>
      </c>
      <c r="P600" s="2">
        <v>1.0</v>
      </c>
      <c r="Q600" s="2" t="s">
        <v>1049</v>
      </c>
      <c r="R600" s="2" t="s">
        <v>24</v>
      </c>
      <c r="S600" s="2" t="b">
        <f>COUNTIF('Marcas Target'!A:A,dados!$E600)&gt;0</f>
        <v>0</v>
      </c>
    </row>
    <row r="601" ht="15.75" customHeight="1">
      <c r="A601" s="2" t="s">
        <v>1045</v>
      </c>
      <c r="B601" s="2" t="s">
        <v>1046</v>
      </c>
      <c r="C601" s="2" t="s">
        <v>24</v>
      </c>
      <c r="D601" s="2" t="s">
        <v>24</v>
      </c>
      <c r="E601" s="2" t="s">
        <v>503</v>
      </c>
      <c r="F601" s="2" t="s">
        <v>24</v>
      </c>
      <c r="G601" s="2" t="s">
        <v>24</v>
      </c>
      <c r="H601" s="2" t="s">
        <v>1047</v>
      </c>
      <c r="I601" s="2" t="s">
        <v>1045</v>
      </c>
      <c r="J601" s="2" t="s">
        <v>26</v>
      </c>
      <c r="K601" s="2" t="s">
        <v>1048</v>
      </c>
      <c r="L601" s="3">
        <v>46087.0</v>
      </c>
      <c r="M601" s="2" t="s">
        <v>24</v>
      </c>
      <c r="N601" s="2" t="s">
        <v>24</v>
      </c>
      <c r="O601" s="2">
        <v>3.0</v>
      </c>
      <c r="P601" s="2">
        <v>0.0</v>
      </c>
      <c r="Q601" s="2" t="s">
        <v>1049</v>
      </c>
      <c r="R601" s="2" t="s">
        <v>24</v>
      </c>
      <c r="S601" s="2" t="b">
        <f>COUNTIF('Marcas Target'!A:A,dados!$E601)&gt;0</f>
        <v>0</v>
      </c>
    </row>
    <row r="602" ht="15.75" customHeight="1">
      <c r="A602" s="2" t="s">
        <v>1050</v>
      </c>
      <c r="B602" s="2" t="s">
        <v>1051</v>
      </c>
      <c r="C602" s="2" t="s">
        <v>24</v>
      </c>
      <c r="D602" s="2" t="s">
        <v>24</v>
      </c>
      <c r="E602" s="2" t="s">
        <v>1052</v>
      </c>
      <c r="F602" s="2" t="s">
        <v>24</v>
      </c>
      <c r="G602" s="2" t="s">
        <v>24</v>
      </c>
      <c r="H602" s="2" t="s">
        <v>1053</v>
      </c>
      <c r="I602" s="2" t="s">
        <v>1050</v>
      </c>
      <c r="J602" s="2" t="s">
        <v>26</v>
      </c>
      <c r="K602" s="2" t="s">
        <v>1054</v>
      </c>
      <c r="L602" s="3">
        <v>46089.0</v>
      </c>
      <c r="M602" s="2">
        <v>34.99</v>
      </c>
      <c r="N602" s="2">
        <v>34.99</v>
      </c>
      <c r="O602" s="2">
        <v>22.0</v>
      </c>
      <c r="P602" s="2">
        <v>21.0</v>
      </c>
      <c r="Q602" s="2" t="s">
        <v>1055</v>
      </c>
      <c r="R602" s="2" t="s">
        <v>24</v>
      </c>
      <c r="S602" s="2" t="b">
        <f>COUNTIF('Marcas Target'!A:A,dados!$E602)&gt;0</f>
        <v>0</v>
      </c>
    </row>
    <row r="603" ht="15.75" customHeight="1">
      <c r="A603" s="2" t="s">
        <v>1050</v>
      </c>
      <c r="B603" s="2" t="s">
        <v>1051</v>
      </c>
      <c r="C603" s="2" t="s">
        <v>24</v>
      </c>
      <c r="D603" s="2" t="s">
        <v>24</v>
      </c>
      <c r="E603" s="2" t="s">
        <v>1052</v>
      </c>
      <c r="F603" s="2" t="s">
        <v>24</v>
      </c>
      <c r="G603" s="2" t="s">
        <v>24</v>
      </c>
      <c r="H603" s="2" t="s">
        <v>1053</v>
      </c>
      <c r="I603" s="2" t="s">
        <v>1050</v>
      </c>
      <c r="J603" s="2" t="s">
        <v>26</v>
      </c>
      <c r="K603" s="2" t="s">
        <v>1054</v>
      </c>
      <c r="L603" s="3">
        <v>46088.0</v>
      </c>
      <c r="M603" s="2">
        <v>34.99</v>
      </c>
      <c r="N603" s="2">
        <v>34.99</v>
      </c>
      <c r="O603" s="2">
        <v>24.0</v>
      </c>
      <c r="P603" s="2">
        <v>23.0</v>
      </c>
      <c r="Q603" s="2" t="s">
        <v>1055</v>
      </c>
      <c r="R603" s="2" t="s">
        <v>24</v>
      </c>
      <c r="S603" s="2" t="b">
        <f>COUNTIF('Marcas Target'!A:A,dados!$E603)&gt;0</f>
        <v>0</v>
      </c>
    </row>
    <row r="604" ht="15.75" customHeight="1">
      <c r="A604" s="2" t="s">
        <v>1050</v>
      </c>
      <c r="B604" s="2" t="s">
        <v>1051</v>
      </c>
      <c r="C604" s="2" t="s">
        <v>24</v>
      </c>
      <c r="D604" s="2" t="s">
        <v>24</v>
      </c>
      <c r="E604" s="2" t="s">
        <v>1052</v>
      </c>
      <c r="F604" s="2" t="s">
        <v>24</v>
      </c>
      <c r="G604" s="2" t="s">
        <v>24</v>
      </c>
      <c r="H604" s="2" t="s">
        <v>1053</v>
      </c>
      <c r="I604" s="2" t="s">
        <v>1050</v>
      </c>
      <c r="J604" s="2" t="s">
        <v>26</v>
      </c>
      <c r="K604" s="2" t="s">
        <v>1054</v>
      </c>
      <c r="L604" s="3">
        <v>46087.0</v>
      </c>
      <c r="M604" s="2">
        <v>34.99</v>
      </c>
      <c r="N604" s="2">
        <v>34.99</v>
      </c>
      <c r="O604" s="2">
        <v>3.0</v>
      </c>
      <c r="P604" s="2">
        <v>2.0</v>
      </c>
      <c r="Q604" s="2" t="s">
        <v>1055</v>
      </c>
      <c r="R604" s="2" t="s">
        <v>24</v>
      </c>
      <c r="S604" s="2" t="b">
        <f>COUNTIF('Marcas Target'!A:A,dados!$E604)&gt;0</f>
        <v>0</v>
      </c>
    </row>
    <row r="605" ht="15.75" customHeight="1">
      <c r="A605" s="2" t="s">
        <v>1056</v>
      </c>
      <c r="B605" s="2" t="s">
        <v>1057</v>
      </c>
      <c r="C605" s="2" t="s">
        <v>24</v>
      </c>
      <c r="D605" s="2" t="s">
        <v>24</v>
      </c>
      <c r="E605" s="2" t="s">
        <v>227</v>
      </c>
      <c r="F605" s="2" t="s">
        <v>24</v>
      </c>
      <c r="G605" s="2" t="s">
        <v>24</v>
      </c>
      <c r="H605" s="2" t="s">
        <v>1058</v>
      </c>
      <c r="I605" s="2" t="s">
        <v>1056</v>
      </c>
      <c r="J605" s="2" t="s">
        <v>26</v>
      </c>
      <c r="K605" s="2" t="s">
        <v>1059</v>
      </c>
      <c r="L605" s="3">
        <v>46089.0</v>
      </c>
      <c r="M605" s="2">
        <v>2.99</v>
      </c>
      <c r="N605" s="2">
        <v>2.99</v>
      </c>
      <c r="O605" s="2">
        <v>22.0</v>
      </c>
      <c r="P605" s="2">
        <v>13.0</v>
      </c>
      <c r="Q605" s="2" t="s">
        <v>1060</v>
      </c>
      <c r="R605" s="2" t="s">
        <v>24</v>
      </c>
      <c r="S605" s="2" t="b">
        <f>COUNTIF('Marcas Target'!A:A,dados!$E605)&gt;0</f>
        <v>0</v>
      </c>
    </row>
    <row r="606" ht="15.75" customHeight="1">
      <c r="A606" s="2" t="s">
        <v>1056</v>
      </c>
      <c r="B606" s="2" t="s">
        <v>1057</v>
      </c>
      <c r="C606" s="2" t="s">
        <v>24</v>
      </c>
      <c r="D606" s="2" t="s">
        <v>24</v>
      </c>
      <c r="E606" s="2" t="s">
        <v>227</v>
      </c>
      <c r="F606" s="2" t="s">
        <v>24</v>
      </c>
      <c r="G606" s="2" t="s">
        <v>24</v>
      </c>
      <c r="H606" s="2" t="s">
        <v>1058</v>
      </c>
      <c r="I606" s="2" t="s">
        <v>1056</v>
      </c>
      <c r="J606" s="2" t="s">
        <v>26</v>
      </c>
      <c r="K606" s="2" t="s">
        <v>1059</v>
      </c>
      <c r="L606" s="3">
        <v>46088.0</v>
      </c>
      <c r="M606" s="2">
        <v>2.99</v>
      </c>
      <c r="N606" s="2">
        <v>2.99</v>
      </c>
      <c r="O606" s="2">
        <v>24.0</v>
      </c>
      <c r="P606" s="2">
        <v>11.0</v>
      </c>
      <c r="Q606" s="2" t="s">
        <v>1060</v>
      </c>
      <c r="R606" s="2" t="s">
        <v>24</v>
      </c>
      <c r="S606" s="2" t="b">
        <f>COUNTIF('Marcas Target'!A:A,dados!$E606)&gt;0</f>
        <v>0</v>
      </c>
    </row>
    <row r="607" ht="15.75" customHeight="1">
      <c r="A607" s="2" t="s">
        <v>1056</v>
      </c>
      <c r="B607" s="2" t="s">
        <v>1057</v>
      </c>
      <c r="C607" s="2" t="s">
        <v>24</v>
      </c>
      <c r="D607" s="2" t="s">
        <v>24</v>
      </c>
      <c r="E607" s="2" t="s">
        <v>227</v>
      </c>
      <c r="F607" s="2" t="s">
        <v>24</v>
      </c>
      <c r="G607" s="2" t="s">
        <v>24</v>
      </c>
      <c r="H607" s="2" t="s">
        <v>1058</v>
      </c>
      <c r="I607" s="2" t="s">
        <v>1056</v>
      </c>
      <c r="J607" s="2" t="s">
        <v>26</v>
      </c>
      <c r="K607" s="2" t="s">
        <v>1059</v>
      </c>
      <c r="L607" s="3">
        <v>46087.0</v>
      </c>
      <c r="M607" s="2">
        <v>2.99</v>
      </c>
      <c r="N607" s="2">
        <v>2.99</v>
      </c>
      <c r="O607" s="2">
        <v>3.0</v>
      </c>
      <c r="P607" s="2">
        <v>2.0</v>
      </c>
      <c r="Q607" s="2" t="s">
        <v>1060</v>
      </c>
      <c r="R607" s="2" t="s">
        <v>24</v>
      </c>
      <c r="S607" s="2" t="b">
        <f>COUNTIF('Marcas Target'!A:A,dados!$E607)&gt;0</f>
        <v>0</v>
      </c>
    </row>
    <row r="608" ht="15.75" customHeight="1">
      <c r="A608" s="2" t="s">
        <v>1061</v>
      </c>
      <c r="B608" s="2" t="s">
        <v>1062</v>
      </c>
      <c r="C608" s="2" t="s">
        <v>24</v>
      </c>
      <c r="D608" s="2" t="s">
        <v>24</v>
      </c>
      <c r="E608" s="2" t="s">
        <v>362</v>
      </c>
      <c r="F608" s="2" t="s">
        <v>24</v>
      </c>
      <c r="G608" s="2" t="s">
        <v>24</v>
      </c>
      <c r="H608" s="2" t="s">
        <v>1063</v>
      </c>
      <c r="I608" s="2" t="s">
        <v>1061</v>
      </c>
      <c r="J608" s="2" t="s">
        <v>26</v>
      </c>
      <c r="K608" s="2" t="s">
        <v>1064</v>
      </c>
      <c r="L608" s="3">
        <v>46089.0</v>
      </c>
      <c r="M608" s="2">
        <v>24.99</v>
      </c>
      <c r="N608" s="2">
        <v>24.99</v>
      </c>
      <c r="O608" s="2">
        <v>22.0</v>
      </c>
      <c r="P608" s="2">
        <v>22.0</v>
      </c>
      <c r="Q608" s="2" t="s">
        <v>1065</v>
      </c>
      <c r="R608" s="2" t="s">
        <v>24</v>
      </c>
      <c r="S608" s="2" t="b">
        <f>COUNTIF('Marcas Target'!A:A,dados!$E608)&gt;0</f>
        <v>0</v>
      </c>
    </row>
    <row r="609" ht="15.75" customHeight="1">
      <c r="A609" s="2" t="s">
        <v>1061</v>
      </c>
      <c r="B609" s="2" t="s">
        <v>1062</v>
      </c>
      <c r="C609" s="2" t="s">
        <v>24</v>
      </c>
      <c r="D609" s="2" t="s">
        <v>24</v>
      </c>
      <c r="E609" s="2" t="s">
        <v>362</v>
      </c>
      <c r="F609" s="2" t="s">
        <v>24</v>
      </c>
      <c r="G609" s="2" t="s">
        <v>24</v>
      </c>
      <c r="H609" s="2" t="s">
        <v>1063</v>
      </c>
      <c r="I609" s="2" t="s">
        <v>1061</v>
      </c>
      <c r="J609" s="2" t="s">
        <v>26</v>
      </c>
      <c r="K609" s="2" t="s">
        <v>1064</v>
      </c>
      <c r="L609" s="3">
        <v>46088.0</v>
      </c>
      <c r="M609" s="2">
        <v>24.99</v>
      </c>
      <c r="N609" s="2">
        <v>24.99</v>
      </c>
      <c r="O609" s="2">
        <v>24.0</v>
      </c>
      <c r="P609" s="2">
        <v>23.0</v>
      </c>
      <c r="Q609" s="2" t="s">
        <v>1065</v>
      </c>
      <c r="R609" s="2" t="s">
        <v>24</v>
      </c>
      <c r="S609" s="2" t="b">
        <f>COUNTIF('Marcas Target'!A:A,dados!$E609)&gt;0</f>
        <v>0</v>
      </c>
    </row>
    <row r="610" ht="15.75" customHeight="1">
      <c r="A610" s="2" t="s">
        <v>1061</v>
      </c>
      <c r="B610" s="2" t="s">
        <v>1062</v>
      </c>
      <c r="C610" s="2" t="s">
        <v>24</v>
      </c>
      <c r="D610" s="2" t="s">
        <v>24</v>
      </c>
      <c r="E610" s="2" t="s">
        <v>362</v>
      </c>
      <c r="F610" s="2" t="s">
        <v>24</v>
      </c>
      <c r="G610" s="2" t="s">
        <v>24</v>
      </c>
      <c r="H610" s="2" t="s">
        <v>1063</v>
      </c>
      <c r="I610" s="2" t="s">
        <v>1061</v>
      </c>
      <c r="J610" s="2" t="s">
        <v>26</v>
      </c>
      <c r="K610" s="2" t="s">
        <v>1064</v>
      </c>
      <c r="L610" s="3">
        <v>46087.0</v>
      </c>
      <c r="M610" s="2">
        <v>24.99</v>
      </c>
      <c r="N610" s="2">
        <v>24.99</v>
      </c>
      <c r="O610" s="2">
        <v>3.0</v>
      </c>
      <c r="P610" s="2">
        <v>2.0</v>
      </c>
      <c r="Q610" s="2" t="s">
        <v>1065</v>
      </c>
      <c r="R610" s="2" t="s">
        <v>24</v>
      </c>
      <c r="S610" s="2" t="b">
        <f>COUNTIF('Marcas Target'!A:A,dados!$E610)&gt;0</f>
        <v>0</v>
      </c>
    </row>
    <row r="611" ht="15.75" customHeight="1">
      <c r="A611" s="2" t="s">
        <v>1066</v>
      </c>
      <c r="B611" s="2" t="s">
        <v>1067</v>
      </c>
      <c r="C611" s="2" t="s">
        <v>24</v>
      </c>
      <c r="D611" s="2" t="s">
        <v>24</v>
      </c>
      <c r="E611" s="2" t="s">
        <v>294</v>
      </c>
      <c r="F611" s="2" t="s">
        <v>24</v>
      </c>
      <c r="G611" s="2" t="s">
        <v>24</v>
      </c>
      <c r="H611" s="2" t="s">
        <v>1068</v>
      </c>
      <c r="I611" s="2" t="s">
        <v>1066</v>
      </c>
      <c r="J611" s="2" t="s">
        <v>26</v>
      </c>
      <c r="K611" s="2" t="s">
        <v>1069</v>
      </c>
      <c r="L611" s="3">
        <v>46089.0</v>
      </c>
      <c r="M611" s="2">
        <v>24.99</v>
      </c>
      <c r="N611" s="2">
        <v>24.99</v>
      </c>
      <c r="O611" s="2">
        <v>22.0</v>
      </c>
      <c r="P611" s="2">
        <v>22.0</v>
      </c>
      <c r="Q611" s="2" t="s">
        <v>1070</v>
      </c>
      <c r="R611" s="2" t="s">
        <v>24</v>
      </c>
      <c r="S611" s="2" t="b">
        <f>COUNTIF('Marcas Target'!A:A,dados!$E611)&gt;0</f>
        <v>1</v>
      </c>
    </row>
    <row r="612" ht="15.75" customHeight="1">
      <c r="A612" s="2" t="s">
        <v>1066</v>
      </c>
      <c r="B612" s="2" t="s">
        <v>1067</v>
      </c>
      <c r="C612" s="2" t="s">
        <v>24</v>
      </c>
      <c r="D612" s="2" t="s">
        <v>24</v>
      </c>
      <c r="E612" s="2" t="s">
        <v>294</v>
      </c>
      <c r="F612" s="2" t="s">
        <v>24</v>
      </c>
      <c r="G612" s="2" t="s">
        <v>24</v>
      </c>
      <c r="H612" s="2" t="s">
        <v>1068</v>
      </c>
      <c r="I612" s="2" t="s">
        <v>1066</v>
      </c>
      <c r="J612" s="2" t="s">
        <v>26</v>
      </c>
      <c r="K612" s="2" t="s">
        <v>1069</v>
      </c>
      <c r="L612" s="3">
        <v>46088.0</v>
      </c>
      <c r="M612" s="2">
        <v>24.99</v>
      </c>
      <c r="N612" s="2">
        <v>24.99</v>
      </c>
      <c r="O612" s="2">
        <v>24.0</v>
      </c>
      <c r="P612" s="2">
        <v>24.0</v>
      </c>
      <c r="Q612" s="2" t="s">
        <v>1070</v>
      </c>
      <c r="R612" s="2" t="s">
        <v>24</v>
      </c>
      <c r="S612" s="2" t="b">
        <f>COUNTIF('Marcas Target'!A:A,dados!$E612)&gt;0</f>
        <v>1</v>
      </c>
    </row>
    <row r="613" ht="15.75" customHeight="1">
      <c r="A613" s="2" t="s">
        <v>1066</v>
      </c>
      <c r="B613" s="2" t="s">
        <v>1067</v>
      </c>
      <c r="C613" s="2" t="s">
        <v>24</v>
      </c>
      <c r="D613" s="2" t="s">
        <v>24</v>
      </c>
      <c r="E613" s="2" t="s">
        <v>294</v>
      </c>
      <c r="F613" s="2" t="s">
        <v>24</v>
      </c>
      <c r="G613" s="2" t="s">
        <v>24</v>
      </c>
      <c r="H613" s="2" t="s">
        <v>1068</v>
      </c>
      <c r="I613" s="2" t="s">
        <v>1066</v>
      </c>
      <c r="J613" s="2" t="s">
        <v>26</v>
      </c>
      <c r="K613" s="2" t="s">
        <v>1069</v>
      </c>
      <c r="L613" s="3">
        <v>46087.0</v>
      </c>
      <c r="M613" s="2">
        <v>24.99</v>
      </c>
      <c r="N613" s="2">
        <v>24.99</v>
      </c>
      <c r="O613" s="2">
        <v>3.0</v>
      </c>
      <c r="P613" s="2">
        <v>3.0</v>
      </c>
      <c r="Q613" s="2" t="s">
        <v>1070</v>
      </c>
      <c r="R613" s="2" t="s">
        <v>24</v>
      </c>
      <c r="S613" s="2" t="b">
        <f>COUNTIF('Marcas Target'!A:A,dados!$E613)&gt;0</f>
        <v>1</v>
      </c>
    </row>
    <row r="614" ht="15.75" customHeight="1">
      <c r="A614" s="2" t="s">
        <v>1071</v>
      </c>
      <c r="B614" s="2" t="s">
        <v>1072</v>
      </c>
      <c r="C614" s="2" t="s">
        <v>24</v>
      </c>
      <c r="D614" s="2" t="s">
        <v>24</v>
      </c>
      <c r="E614" s="2" t="s">
        <v>378</v>
      </c>
      <c r="F614" s="2" t="s">
        <v>24</v>
      </c>
      <c r="G614" s="2" t="s">
        <v>24</v>
      </c>
      <c r="H614" s="2" t="s">
        <v>1073</v>
      </c>
      <c r="I614" s="2" t="s">
        <v>1071</v>
      </c>
      <c r="J614" s="2" t="s">
        <v>26</v>
      </c>
      <c r="K614" s="2" t="s">
        <v>1074</v>
      </c>
      <c r="L614" s="3">
        <v>46089.0</v>
      </c>
      <c r="M614" s="2">
        <v>27.99</v>
      </c>
      <c r="N614" s="2">
        <v>27.99</v>
      </c>
      <c r="O614" s="2">
        <v>22.0</v>
      </c>
      <c r="P614" s="2">
        <v>22.0</v>
      </c>
      <c r="Q614" s="2" t="s">
        <v>1075</v>
      </c>
      <c r="R614" s="2" t="s">
        <v>24</v>
      </c>
      <c r="S614" s="2" t="b">
        <f>COUNTIF('Marcas Target'!A:A,dados!$E614)&gt;0</f>
        <v>0</v>
      </c>
    </row>
    <row r="615" ht="15.75" customHeight="1">
      <c r="A615" s="2" t="s">
        <v>1071</v>
      </c>
      <c r="B615" s="2" t="s">
        <v>1072</v>
      </c>
      <c r="C615" s="2" t="s">
        <v>24</v>
      </c>
      <c r="D615" s="2" t="s">
        <v>24</v>
      </c>
      <c r="E615" s="2" t="s">
        <v>378</v>
      </c>
      <c r="F615" s="2" t="s">
        <v>24</v>
      </c>
      <c r="G615" s="2" t="s">
        <v>24</v>
      </c>
      <c r="H615" s="2" t="s">
        <v>1073</v>
      </c>
      <c r="I615" s="2" t="s">
        <v>1071</v>
      </c>
      <c r="J615" s="2" t="s">
        <v>26</v>
      </c>
      <c r="K615" s="2" t="s">
        <v>1074</v>
      </c>
      <c r="L615" s="3">
        <v>46088.0</v>
      </c>
      <c r="M615" s="2">
        <v>27.99</v>
      </c>
      <c r="N615" s="2">
        <v>27.99</v>
      </c>
      <c r="O615" s="2">
        <v>24.0</v>
      </c>
      <c r="P615" s="2">
        <v>24.0</v>
      </c>
      <c r="Q615" s="2" t="s">
        <v>1075</v>
      </c>
      <c r="R615" s="2" t="s">
        <v>24</v>
      </c>
      <c r="S615" s="2" t="b">
        <f>COUNTIF('Marcas Target'!A:A,dados!$E615)&gt;0</f>
        <v>0</v>
      </c>
    </row>
    <row r="616" ht="15.75" customHeight="1">
      <c r="A616" s="2" t="s">
        <v>1071</v>
      </c>
      <c r="B616" s="2" t="s">
        <v>1072</v>
      </c>
      <c r="C616" s="2" t="s">
        <v>24</v>
      </c>
      <c r="D616" s="2" t="s">
        <v>24</v>
      </c>
      <c r="E616" s="2" t="s">
        <v>378</v>
      </c>
      <c r="F616" s="2" t="s">
        <v>24</v>
      </c>
      <c r="G616" s="2" t="s">
        <v>24</v>
      </c>
      <c r="H616" s="2" t="s">
        <v>1073</v>
      </c>
      <c r="I616" s="2" t="s">
        <v>1071</v>
      </c>
      <c r="J616" s="2" t="s">
        <v>26</v>
      </c>
      <c r="K616" s="2" t="s">
        <v>1074</v>
      </c>
      <c r="L616" s="3">
        <v>46087.0</v>
      </c>
      <c r="M616" s="2">
        <v>27.99</v>
      </c>
      <c r="N616" s="2">
        <v>27.99</v>
      </c>
      <c r="O616" s="2">
        <v>3.0</v>
      </c>
      <c r="P616" s="2">
        <v>3.0</v>
      </c>
      <c r="Q616" s="2" t="s">
        <v>1075</v>
      </c>
      <c r="R616" s="2" t="s">
        <v>24</v>
      </c>
      <c r="S616" s="2" t="b">
        <f>COUNTIF('Marcas Target'!A:A,dados!$E616)&gt;0</f>
        <v>0</v>
      </c>
    </row>
    <row r="617" ht="15.75" customHeight="1">
      <c r="A617" s="2" t="s">
        <v>1076</v>
      </c>
      <c r="B617" s="2" t="s">
        <v>1077</v>
      </c>
      <c r="C617" s="2" t="s">
        <v>24</v>
      </c>
      <c r="D617" s="2" t="s">
        <v>24</v>
      </c>
      <c r="E617" s="2" t="s">
        <v>1078</v>
      </c>
      <c r="F617" s="2" t="s">
        <v>24</v>
      </c>
      <c r="G617" s="2" t="s">
        <v>24</v>
      </c>
      <c r="H617" s="2" t="s">
        <v>1079</v>
      </c>
      <c r="I617" s="2" t="s">
        <v>1076</v>
      </c>
      <c r="J617" s="2" t="s">
        <v>26</v>
      </c>
      <c r="K617" s="2" t="s">
        <v>1080</v>
      </c>
      <c r="L617" s="3">
        <v>46089.0</v>
      </c>
      <c r="M617" s="2" t="s">
        <v>24</v>
      </c>
      <c r="N617" s="2" t="s">
        <v>24</v>
      </c>
      <c r="O617" s="2">
        <v>22.0</v>
      </c>
      <c r="P617" s="2">
        <v>0.0</v>
      </c>
      <c r="Q617" s="2" t="s">
        <v>1081</v>
      </c>
      <c r="R617" s="2" t="s">
        <v>24</v>
      </c>
      <c r="S617" s="2" t="b">
        <f>COUNTIF('Marcas Target'!A:A,dados!$E617)&gt;0</f>
        <v>0</v>
      </c>
    </row>
    <row r="618" ht="15.75" customHeight="1">
      <c r="A618" s="2" t="s">
        <v>1076</v>
      </c>
      <c r="B618" s="2" t="s">
        <v>1077</v>
      </c>
      <c r="C618" s="2" t="s">
        <v>24</v>
      </c>
      <c r="D618" s="2" t="s">
        <v>24</v>
      </c>
      <c r="E618" s="2" t="s">
        <v>1078</v>
      </c>
      <c r="F618" s="2" t="s">
        <v>24</v>
      </c>
      <c r="G618" s="2" t="s">
        <v>24</v>
      </c>
      <c r="H618" s="2" t="s">
        <v>1079</v>
      </c>
      <c r="I618" s="2" t="s">
        <v>1076</v>
      </c>
      <c r="J618" s="2" t="s">
        <v>26</v>
      </c>
      <c r="K618" s="2" t="s">
        <v>1080</v>
      </c>
      <c r="L618" s="3">
        <v>46088.0</v>
      </c>
      <c r="M618" s="2">
        <v>28.39</v>
      </c>
      <c r="N618" s="2">
        <v>28.39</v>
      </c>
      <c r="O618" s="2">
        <v>24.0</v>
      </c>
      <c r="P618" s="2">
        <v>2.0</v>
      </c>
      <c r="Q618" s="2" t="s">
        <v>1081</v>
      </c>
      <c r="R618" s="2" t="s">
        <v>24</v>
      </c>
      <c r="S618" s="2" t="b">
        <f>COUNTIF('Marcas Target'!A:A,dados!$E618)&gt;0</f>
        <v>0</v>
      </c>
    </row>
    <row r="619" ht="15.75" customHeight="1">
      <c r="A619" s="2" t="s">
        <v>1076</v>
      </c>
      <c r="B619" s="2" t="s">
        <v>1077</v>
      </c>
      <c r="C619" s="2" t="s">
        <v>24</v>
      </c>
      <c r="D619" s="2" t="s">
        <v>24</v>
      </c>
      <c r="E619" s="2" t="s">
        <v>1078</v>
      </c>
      <c r="F619" s="2" t="s">
        <v>24</v>
      </c>
      <c r="G619" s="2" t="s">
        <v>24</v>
      </c>
      <c r="H619" s="2" t="s">
        <v>1079</v>
      </c>
      <c r="I619" s="2" t="s">
        <v>1076</v>
      </c>
      <c r="J619" s="2" t="s">
        <v>26</v>
      </c>
      <c r="K619" s="2" t="s">
        <v>1080</v>
      </c>
      <c r="L619" s="3">
        <v>46087.0</v>
      </c>
      <c r="M619" s="2">
        <v>29.99</v>
      </c>
      <c r="N619" s="2">
        <v>29.99</v>
      </c>
      <c r="O619" s="2">
        <v>3.0</v>
      </c>
      <c r="P619" s="2">
        <v>1.0</v>
      </c>
      <c r="Q619" s="2" t="s">
        <v>1081</v>
      </c>
      <c r="R619" s="2" t="s">
        <v>24</v>
      </c>
      <c r="S619" s="2" t="b">
        <f>COUNTIF('Marcas Target'!A:A,dados!$E619)&gt;0</f>
        <v>0</v>
      </c>
    </row>
    <row r="620" ht="15.75" customHeight="1">
      <c r="A620" s="2" t="s">
        <v>1082</v>
      </c>
      <c r="B620" s="2" t="s">
        <v>1083</v>
      </c>
      <c r="C620" s="2" t="s">
        <v>24</v>
      </c>
      <c r="D620" s="2" t="s">
        <v>24</v>
      </c>
      <c r="E620" s="2" t="s">
        <v>666</v>
      </c>
      <c r="F620" s="2" t="s">
        <v>24</v>
      </c>
      <c r="G620" s="2" t="s">
        <v>24</v>
      </c>
      <c r="H620" s="2" t="s">
        <v>1084</v>
      </c>
      <c r="I620" s="2" t="s">
        <v>1082</v>
      </c>
      <c r="J620" s="2" t="s">
        <v>26</v>
      </c>
      <c r="K620" s="2" t="s">
        <v>1085</v>
      </c>
      <c r="L620" s="3">
        <v>46089.0</v>
      </c>
      <c r="M620" s="2">
        <v>46.99</v>
      </c>
      <c r="N620" s="2">
        <v>46.99</v>
      </c>
      <c r="O620" s="2">
        <v>22.0</v>
      </c>
      <c r="P620" s="2">
        <v>22.0</v>
      </c>
      <c r="Q620" s="2" t="s">
        <v>1086</v>
      </c>
      <c r="R620" s="2" t="s">
        <v>24</v>
      </c>
      <c r="S620" s="2" t="b">
        <f>COUNTIF('Marcas Target'!A:A,dados!$E620)&gt;0</f>
        <v>1</v>
      </c>
    </row>
    <row r="621" ht="15.75" customHeight="1">
      <c r="A621" s="2" t="s">
        <v>1082</v>
      </c>
      <c r="B621" s="2" t="s">
        <v>1083</v>
      </c>
      <c r="C621" s="2" t="s">
        <v>24</v>
      </c>
      <c r="D621" s="2" t="s">
        <v>24</v>
      </c>
      <c r="E621" s="2" t="s">
        <v>666</v>
      </c>
      <c r="F621" s="2" t="s">
        <v>24</v>
      </c>
      <c r="G621" s="2" t="s">
        <v>24</v>
      </c>
      <c r="H621" s="2" t="s">
        <v>1084</v>
      </c>
      <c r="I621" s="2" t="s">
        <v>1082</v>
      </c>
      <c r="J621" s="2" t="s">
        <v>26</v>
      </c>
      <c r="K621" s="2" t="s">
        <v>1085</v>
      </c>
      <c r="L621" s="3">
        <v>46088.0</v>
      </c>
      <c r="M621" s="2">
        <v>46.99</v>
      </c>
      <c r="N621" s="2">
        <v>46.99</v>
      </c>
      <c r="O621" s="2">
        <v>24.0</v>
      </c>
      <c r="P621" s="2">
        <v>24.0</v>
      </c>
      <c r="Q621" s="2" t="s">
        <v>1086</v>
      </c>
      <c r="R621" s="2" t="s">
        <v>24</v>
      </c>
      <c r="S621" s="2" t="b">
        <f>COUNTIF('Marcas Target'!A:A,dados!$E621)&gt;0</f>
        <v>1</v>
      </c>
    </row>
    <row r="622" ht="15.75" customHeight="1">
      <c r="A622" s="2" t="s">
        <v>1082</v>
      </c>
      <c r="B622" s="2" t="s">
        <v>1083</v>
      </c>
      <c r="C622" s="2" t="s">
        <v>24</v>
      </c>
      <c r="D622" s="2" t="s">
        <v>24</v>
      </c>
      <c r="E622" s="2" t="s">
        <v>666</v>
      </c>
      <c r="F622" s="2" t="s">
        <v>24</v>
      </c>
      <c r="G622" s="2" t="s">
        <v>24</v>
      </c>
      <c r="H622" s="2" t="s">
        <v>1084</v>
      </c>
      <c r="I622" s="2" t="s">
        <v>1082</v>
      </c>
      <c r="J622" s="2" t="s">
        <v>26</v>
      </c>
      <c r="K622" s="2" t="s">
        <v>1085</v>
      </c>
      <c r="L622" s="3">
        <v>46087.0</v>
      </c>
      <c r="M622" s="2">
        <v>46.99</v>
      </c>
      <c r="N622" s="2">
        <v>46.99</v>
      </c>
      <c r="O622" s="2">
        <v>3.0</v>
      </c>
      <c r="P622" s="2">
        <v>3.0</v>
      </c>
      <c r="Q622" s="2" t="s">
        <v>1086</v>
      </c>
      <c r="R622" s="2" t="s">
        <v>24</v>
      </c>
      <c r="S622" s="2" t="b">
        <f>COUNTIF('Marcas Target'!A:A,dados!$E622)&gt;0</f>
        <v>1</v>
      </c>
    </row>
    <row r="623" ht="15.75" customHeight="1">
      <c r="A623" s="2" t="s">
        <v>1087</v>
      </c>
      <c r="B623" s="2" t="s">
        <v>1088</v>
      </c>
      <c r="C623" s="2" t="s">
        <v>24</v>
      </c>
      <c r="D623" s="2" t="s">
        <v>24</v>
      </c>
      <c r="E623" s="2" t="s">
        <v>874</v>
      </c>
      <c r="F623" s="2" t="s">
        <v>24</v>
      </c>
      <c r="G623" s="2" t="s">
        <v>24</v>
      </c>
      <c r="H623" s="2" t="s">
        <v>1089</v>
      </c>
      <c r="I623" s="2" t="s">
        <v>1087</v>
      </c>
      <c r="J623" s="2" t="s">
        <v>26</v>
      </c>
      <c r="K623" s="2" t="s">
        <v>1090</v>
      </c>
      <c r="L623" s="3">
        <v>46089.0</v>
      </c>
      <c r="M623" s="2">
        <v>27.99</v>
      </c>
      <c r="N623" s="2">
        <v>27.99</v>
      </c>
      <c r="O623" s="2">
        <v>22.0</v>
      </c>
      <c r="P623" s="2">
        <v>22.0</v>
      </c>
      <c r="Q623" s="2" t="s">
        <v>1091</v>
      </c>
      <c r="R623" s="2" t="s">
        <v>24</v>
      </c>
      <c r="S623" s="2" t="b">
        <f>COUNTIF('Marcas Target'!A:A,dados!$E623)&gt;0</f>
        <v>1</v>
      </c>
    </row>
    <row r="624" ht="15.75" customHeight="1">
      <c r="A624" s="2" t="s">
        <v>1087</v>
      </c>
      <c r="B624" s="2" t="s">
        <v>1088</v>
      </c>
      <c r="C624" s="2" t="s">
        <v>24</v>
      </c>
      <c r="D624" s="2" t="s">
        <v>24</v>
      </c>
      <c r="E624" s="2" t="s">
        <v>874</v>
      </c>
      <c r="F624" s="2" t="s">
        <v>24</v>
      </c>
      <c r="G624" s="2" t="s">
        <v>24</v>
      </c>
      <c r="H624" s="2" t="s">
        <v>1089</v>
      </c>
      <c r="I624" s="2" t="s">
        <v>1087</v>
      </c>
      <c r="J624" s="2" t="s">
        <v>26</v>
      </c>
      <c r="K624" s="2" t="s">
        <v>1090</v>
      </c>
      <c r="L624" s="3">
        <v>46088.0</v>
      </c>
      <c r="M624" s="2">
        <v>27.99</v>
      </c>
      <c r="N624" s="2">
        <v>27.99</v>
      </c>
      <c r="O624" s="2">
        <v>24.0</v>
      </c>
      <c r="P624" s="2">
        <v>24.0</v>
      </c>
      <c r="Q624" s="2" t="s">
        <v>1091</v>
      </c>
      <c r="R624" s="2" t="s">
        <v>24</v>
      </c>
      <c r="S624" s="2" t="b">
        <f>COUNTIF('Marcas Target'!A:A,dados!$E624)&gt;0</f>
        <v>1</v>
      </c>
    </row>
    <row r="625" ht="15.75" customHeight="1">
      <c r="A625" s="2" t="s">
        <v>1087</v>
      </c>
      <c r="B625" s="2" t="s">
        <v>1088</v>
      </c>
      <c r="C625" s="2" t="s">
        <v>24</v>
      </c>
      <c r="D625" s="2" t="s">
        <v>24</v>
      </c>
      <c r="E625" s="2" t="s">
        <v>874</v>
      </c>
      <c r="F625" s="2" t="s">
        <v>24</v>
      </c>
      <c r="G625" s="2" t="s">
        <v>24</v>
      </c>
      <c r="H625" s="2" t="s">
        <v>1089</v>
      </c>
      <c r="I625" s="2" t="s">
        <v>1087</v>
      </c>
      <c r="J625" s="2" t="s">
        <v>26</v>
      </c>
      <c r="K625" s="2" t="s">
        <v>1090</v>
      </c>
      <c r="L625" s="3">
        <v>46087.0</v>
      </c>
      <c r="M625" s="2">
        <v>27.99</v>
      </c>
      <c r="N625" s="2">
        <v>27.99</v>
      </c>
      <c r="O625" s="2">
        <v>3.0</v>
      </c>
      <c r="P625" s="2">
        <v>2.0</v>
      </c>
      <c r="Q625" s="2" t="s">
        <v>1091</v>
      </c>
      <c r="R625" s="2" t="s">
        <v>24</v>
      </c>
      <c r="S625" s="2" t="b">
        <f>COUNTIF('Marcas Target'!A:A,dados!$E625)&gt;0</f>
        <v>1</v>
      </c>
    </row>
    <row r="626" ht="15.75" customHeight="1">
      <c r="A626" s="2" t="s">
        <v>1092</v>
      </c>
      <c r="B626" s="2" t="s">
        <v>1093</v>
      </c>
      <c r="C626" s="2" t="s">
        <v>24</v>
      </c>
      <c r="D626" s="2" t="s">
        <v>24</v>
      </c>
      <c r="E626" s="2" t="s">
        <v>378</v>
      </c>
      <c r="F626" s="2" t="s">
        <v>24</v>
      </c>
      <c r="G626" s="2" t="s">
        <v>24</v>
      </c>
      <c r="H626" s="2" t="s">
        <v>1094</v>
      </c>
      <c r="I626" s="2" t="s">
        <v>1092</v>
      </c>
      <c r="J626" s="2" t="s">
        <v>26</v>
      </c>
      <c r="K626" s="2" t="s">
        <v>1095</v>
      </c>
      <c r="L626" s="3">
        <v>46089.0</v>
      </c>
      <c r="M626" s="2">
        <v>17.64</v>
      </c>
      <c r="N626" s="2">
        <v>17.64</v>
      </c>
      <c r="O626" s="2">
        <v>22.0</v>
      </c>
      <c r="P626" s="2">
        <v>2.0</v>
      </c>
      <c r="Q626" s="2" t="s">
        <v>1096</v>
      </c>
      <c r="R626" s="2" t="s">
        <v>24</v>
      </c>
      <c r="S626" s="2" t="b">
        <f>COUNTIF('Marcas Target'!A:A,dados!$E626)&gt;0</f>
        <v>0</v>
      </c>
    </row>
    <row r="627" ht="15.75" customHeight="1">
      <c r="A627" s="2" t="s">
        <v>1092</v>
      </c>
      <c r="B627" s="2" t="s">
        <v>1093</v>
      </c>
      <c r="C627" s="2" t="s">
        <v>24</v>
      </c>
      <c r="D627" s="2" t="s">
        <v>24</v>
      </c>
      <c r="E627" s="2" t="s">
        <v>378</v>
      </c>
      <c r="F627" s="2" t="s">
        <v>24</v>
      </c>
      <c r="G627" s="2" t="s">
        <v>24</v>
      </c>
      <c r="H627" s="2" t="s">
        <v>1094</v>
      </c>
      <c r="I627" s="2" t="s">
        <v>1092</v>
      </c>
      <c r="J627" s="2" t="s">
        <v>26</v>
      </c>
      <c r="K627" s="2" t="s">
        <v>1095</v>
      </c>
      <c r="L627" s="3">
        <v>46088.0</v>
      </c>
      <c r="M627" s="2" t="s">
        <v>24</v>
      </c>
      <c r="N627" s="2" t="s">
        <v>24</v>
      </c>
      <c r="O627" s="2">
        <v>24.0</v>
      </c>
      <c r="P627" s="2">
        <v>0.0</v>
      </c>
      <c r="Q627" s="2" t="s">
        <v>1096</v>
      </c>
      <c r="R627" s="2" t="s">
        <v>24</v>
      </c>
      <c r="S627" s="2" t="b">
        <f>COUNTIF('Marcas Target'!A:A,dados!$E627)&gt;0</f>
        <v>0</v>
      </c>
    </row>
    <row r="628" ht="15.75" customHeight="1">
      <c r="A628" s="2" t="s">
        <v>1092</v>
      </c>
      <c r="B628" s="2" t="s">
        <v>1093</v>
      </c>
      <c r="C628" s="2" t="s">
        <v>24</v>
      </c>
      <c r="D628" s="2" t="s">
        <v>24</v>
      </c>
      <c r="E628" s="2" t="s">
        <v>378</v>
      </c>
      <c r="F628" s="2" t="s">
        <v>24</v>
      </c>
      <c r="G628" s="2" t="s">
        <v>24</v>
      </c>
      <c r="H628" s="2" t="s">
        <v>1094</v>
      </c>
      <c r="I628" s="2" t="s">
        <v>1092</v>
      </c>
      <c r="J628" s="2" t="s">
        <v>26</v>
      </c>
      <c r="K628" s="2" t="s">
        <v>1095</v>
      </c>
      <c r="L628" s="3">
        <v>46087.0</v>
      </c>
      <c r="M628" s="2" t="s">
        <v>24</v>
      </c>
      <c r="N628" s="2" t="s">
        <v>24</v>
      </c>
      <c r="O628" s="2">
        <v>3.0</v>
      </c>
      <c r="P628" s="2">
        <v>0.0</v>
      </c>
      <c r="Q628" s="2" t="s">
        <v>1096</v>
      </c>
      <c r="R628" s="2" t="s">
        <v>24</v>
      </c>
      <c r="S628" s="2" t="b">
        <f>COUNTIF('Marcas Target'!A:A,dados!$E628)&gt;0</f>
        <v>0</v>
      </c>
    </row>
    <row r="629" ht="15.75" customHeight="1">
      <c r="A629" s="2" t="s">
        <v>1097</v>
      </c>
      <c r="B629" s="2" t="s">
        <v>1098</v>
      </c>
      <c r="C629" s="2" t="s">
        <v>24</v>
      </c>
      <c r="D629" s="2" t="s">
        <v>24</v>
      </c>
      <c r="E629" s="2" t="s">
        <v>980</v>
      </c>
      <c r="F629" s="2" t="s">
        <v>24</v>
      </c>
      <c r="G629" s="2" t="s">
        <v>24</v>
      </c>
      <c r="H629" s="2" t="s">
        <v>1099</v>
      </c>
      <c r="I629" s="2" t="s">
        <v>1097</v>
      </c>
      <c r="J629" s="2" t="s">
        <v>26</v>
      </c>
      <c r="K629" s="2" t="s">
        <v>1100</v>
      </c>
      <c r="L629" s="3">
        <v>46089.0</v>
      </c>
      <c r="M629" s="2">
        <v>23.99</v>
      </c>
      <c r="N629" s="2">
        <v>23.99</v>
      </c>
      <c r="O629" s="2">
        <v>22.0</v>
      </c>
      <c r="P629" s="2">
        <v>22.0</v>
      </c>
      <c r="Q629" s="2" t="s">
        <v>1101</v>
      </c>
      <c r="R629" s="2" t="s">
        <v>24</v>
      </c>
      <c r="S629" s="2" t="b">
        <f>COUNTIF('Marcas Target'!A:A,dados!$E629)&gt;0</f>
        <v>1</v>
      </c>
    </row>
    <row r="630" ht="15.75" customHeight="1">
      <c r="A630" s="2" t="s">
        <v>1097</v>
      </c>
      <c r="B630" s="2" t="s">
        <v>1098</v>
      </c>
      <c r="C630" s="2" t="s">
        <v>24</v>
      </c>
      <c r="D630" s="2" t="s">
        <v>24</v>
      </c>
      <c r="E630" s="2" t="s">
        <v>980</v>
      </c>
      <c r="F630" s="2" t="s">
        <v>24</v>
      </c>
      <c r="G630" s="2" t="s">
        <v>24</v>
      </c>
      <c r="H630" s="2" t="s">
        <v>1099</v>
      </c>
      <c r="I630" s="2" t="s">
        <v>1097</v>
      </c>
      <c r="J630" s="2" t="s">
        <v>26</v>
      </c>
      <c r="K630" s="2" t="s">
        <v>1100</v>
      </c>
      <c r="L630" s="3">
        <v>46088.0</v>
      </c>
      <c r="M630" s="2">
        <v>23.99</v>
      </c>
      <c r="N630" s="2">
        <v>23.99</v>
      </c>
      <c r="O630" s="2">
        <v>24.0</v>
      </c>
      <c r="P630" s="2">
        <v>24.0</v>
      </c>
      <c r="Q630" s="2" t="s">
        <v>1101</v>
      </c>
      <c r="R630" s="2" t="s">
        <v>24</v>
      </c>
      <c r="S630" s="2" t="b">
        <f>COUNTIF('Marcas Target'!A:A,dados!$E630)&gt;0</f>
        <v>1</v>
      </c>
    </row>
    <row r="631" ht="15.75" customHeight="1">
      <c r="A631" s="2" t="s">
        <v>1097</v>
      </c>
      <c r="B631" s="2" t="s">
        <v>1098</v>
      </c>
      <c r="C631" s="2" t="s">
        <v>24</v>
      </c>
      <c r="D631" s="2" t="s">
        <v>24</v>
      </c>
      <c r="E631" s="2" t="s">
        <v>980</v>
      </c>
      <c r="F631" s="2" t="s">
        <v>24</v>
      </c>
      <c r="G631" s="2" t="s">
        <v>24</v>
      </c>
      <c r="H631" s="2" t="s">
        <v>1099</v>
      </c>
      <c r="I631" s="2" t="s">
        <v>1097</v>
      </c>
      <c r="J631" s="2" t="s">
        <v>26</v>
      </c>
      <c r="K631" s="2" t="s">
        <v>1100</v>
      </c>
      <c r="L631" s="3">
        <v>46087.0</v>
      </c>
      <c r="M631" s="2">
        <v>23.99</v>
      </c>
      <c r="N631" s="2">
        <v>23.99</v>
      </c>
      <c r="O631" s="2">
        <v>3.0</v>
      </c>
      <c r="P631" s="2">
        <v>3.0</v>
      </c>
      <c r="Q631" s="2" t="s">
        <v>1101</v>
      </c>
      <c r="R631" s="2" t="s">
        <v>24</v>
      </c>
      <c r="S631" s="2" t="b">
        <f>COUNTIF('Marcas Target'!A:A,dados!$E631)&gt;0</f>
        <v>1</v>
      </c>
    </row>
    <row r="632" ht="15.75" customHeight="1">
      <c r="A632" s="2" t="s">
        <v>1102</v>
      </c>
      <c r="B632" s="2" t="s">
        <v>930</v>
      </c>
      <c r="C632" s="2" t="s">
        <v>24</v>
      </c>
      <c r="D632" s="2" t="s">
        <v>24</v>
      </c>
      <c r="E632" s="2" t="s">
        <v>503</v>
      </c>
      <c r="F632" s="2" t="s">
        <v>24</v>
      </c>
      <c r="G632" s="2" t="s">
        <v>24</v>
      </c>
      <c r="H632" s="2" t="s">
        <v>1103</v>
      </c>
      <c r="I632" s="2" t="s">
        <v>1102</v>
      </c>
      <c r="J632" s="2" t="s">
        <v>26</v>
      </c>
      <c r="K632" s="2" t="s">
        <v>1104</v>
      </c>
      <c r="L632" s="3">
        <v>46089.0</v>
      </c>
      <c r="M632" s="2">
        <v>17.99</v>
      </c>
      <c r="N632" s="2">
        <v>17.99</v>
      </c>
      <c r="O632" s="2">
        <v>22.0</v>
      </c>
      <c r="P632" s="2">
        <v>1.0</v>
      </c>
      <c r="Q632" s="2" t="s">
        <v>1105</v>
      </c>
      <c r="R632" s="2" t="s">
        <v>24</v>
      </c>
      <c r="S632" s="2" t="b">
        <f>COUNTIF('Marcas Target'!A:A,dados!$E632)&gt;0</f>
        <v>0</v>
      </c>
    </row>
    <row r="633" ht="15.75" customHeight="1">
      <c r="A633" s="2" t="s">
        <v>1102</v>
      </c>
      <c r="B633" s="2" t="s">
        <v>930</v>
      </c>
      <c r="C633" s="2" t="s">
        <v>24</v>
      </c>
      <c r="D633" s="2" t="s">
        <v>24</v>
      </c>
      <c r="E633" s="2" t="s">
        <v>503</v>
      </c>
      <c r="F633" s="2" t="s">
        <v>24</v>
      </c>
      <c r="G633" s="2" t="s">
        <v>24</v>
      </c>
      <c r="H633" s="2" t="s">
        <v>1103</v>
      </c>
      <c r="I633" s="2" t="s">
        <v>1102</v>
      </c>
      <c r="J633" s="2" t="s">
        <v>26</v>
      </c>
      <c r="K633" s="2" t="s">
        <v>1104</v>
      </c>
      <c r="L633" s="3">
        <v>46088.0</v>
      </c>
      <c r="M633" s="2">
        <v>10.82</v>
      </c>
      <c r="N633" s="2">
        <v>10.82</v>
      </c>
      <c r="O633" s="2">
        <v>24.0</v>
      </c>
      <c r="P633" s="2">
        <v>3.0</v>
      </c>
      <c r="Q633" s="2" t="s">
        <v>1105</v>
      </c>
      <c r="R633" s="2" t="s">
        <v>24</v>
      </c>
      <c r="S633" s="2" t="b">
        <f>COUNTIF('Marcas Target'!A:A,dados!$E633)&gt;0</f>
        <v>0</v>
      </c>
    </row>
    <row r="634" ht="15.75" customHeight="1">
      <c r="A634" s="2" t="s">
        <v>1102</v>
      </c>
      <c r="B634" s="2" t="s">
        <v>930</v>
      </c>
      <c r="C634" s="2" t="s">
        <v>24</v>
      </c>
      <c r="D634" s="2" t="s">
        <v>24</v>
      </c>
      <c r="E634" s="2" t="s">
        <v>503</v>
      </c>
      <c r="F634" s="2" t="s">
        <v>24</v>
      </c>
      <c r="G634" s="2" t="s">
        <v>24</v>
      </c>
      <c r="H634" s="2" t="s">
        <v>1103</v>
      </c>
      <c r="I634" s="2" t="s">
        <v>1102</v>
      </c>
      <c r="J634" s="2" t="s">
        <v>26</v>
      </c>
      <c r="K634" s="2" t="s">
        <v>1104</v>
      </c>
      <c r="L634" s="3">
        <v>46087.0</v>
      </c>
      <c r="M634" s="2" t="s">
        <v>24</v>
      </c>
      <c r="N634" s="2" t="s">
        <v>24</v>
      </c>
      <c r="O634" s="2">
        <v>3.0</v>
      </c>
      <c r="P634" s="2">
        <v>0.0</v>
      </c>
      <c r="Q634" s="2" t="s">
        <v>1105</v>
      </c>
      <c r="R634" s="2" t="s">
        <v>24</v>
      </c>
      <c r="S634" s="2" t="b">
        <f>COUNTIF('Marcas Target'!A:A,dados!$E634)&gt;0</f>
        <v>0</v>
      </c>
    </row>
    <row r="635" ht="15.75" customHeight="1">
      <c r="A635" s="2" t="s">
        <v>1106</v>
      </c>
      <c r="B635" s="2" t="s">
        <v>1107</v>
      </c>
      <c r="C635" s="2" t="s">
        <v>24</v>
      </c>
      <c r="D635" s="2" t="s">
        <v>24</v>
      </c>
      <c r="E635" s="2" t="s">
        <v>425</v>
      </c>
      <c r="F635" s="2" t="s">
        <v>24</v>
      </c>
      <c r="G635" s="2" t="s">
        <v>24</v>
      </c>
      <c r="H635" s="2" t="s">
        <v>1108</v>
      </c>
      <c r="I635" s="2" t="s">
        <v>1106</v>
      </c>
      <c r="J635" s="2" t="s">
        <v>26</v>
      </c>
      <c r="K635" s="2" t="s">
        <v>1109</v>
      </c>
      <c r="L635" s="3">
        <v>46089.0</v>
      </c>
      <c r="M635" s="2">
        <v>21.99</v>
      </c>
      <c r="N635" s="2">
        <v>21.99</v>
      </c>
      <c r="O635" s="2">
        <v>22.0</v>
      </c>
      <c r="P635" s="2">
        <v>7.0</v>
      </c>
      <c r="Q635" s="2" t="s">
        <v>1110</v>
      </c>
      <c r="R635" s="2" t="s">
        <v>24</v>
      </c>
      <c r="S635" s="2" t="b">
        <f>COUNTIF('Marcas Target'!A:A,dados!$E635)&gt;0</f>
        <v>0</v>
      </c>
    </row>
    <row r="636" ht="15.75" customHeight="1">
      <c r="A636" s="2" t="s">
        <v>1106</v>
      </c>
      <c r="B636" s="2" t="s">
        <v>1107</v>
      </c>
      <c r="C636" s="2" t="s">
        <v>24</v>
      </c>
      <c r="D636" s="2" t="s">
        <v>24</v>
      </c>
      <c r="E636" s="2" t="s">
        <v>425</v>
      </c>
      <c r="F636" s="2" t="s">
        <v>24</v>
      </c>
      <c r="G636" s="2" t="s">
        <v>24</v>
      </c>
      <c r="H636" s="2" t="s">
        <v>1108</v>
      </c>
      <c r="I636" s="2" t="s">
        <v>1106</v>
      </c>
      <c r="J636" s="2" t="s">
        <v>26</v>
      </c>
      <c r="K636" s="2" t="s">
        <v>1109</v>
      </c>
      <c r="L636" s="3">
        <v>46088.0</v>
      </c>
      <c r="M636" s="2">
        <v>21.99</v>
      </c>
      <c r="N636" s="2">
        <v>21.99</v>
      </c>
      <c r="O636" s="2">
        <v>24.0</v>
      </c>
      <c r="P636" s="2">
        <v>20.0</v>
      </c>
      <c r="Q636" s="2" t="s">
        <v>1110</v>
      </c>
      <c r="R636" s="2" t="s">
        <v>24</v>
      </c>
      <c r="S636" s="2" t="b">
        <f>COUNTIF('Marcas Target'!A:A,dados!$E636)&gt;0</f>
        <v>0</v>
      </c>
    </row>
    <row r="637" ht="15.75" customHeight="1">
      <c r="A637" s="2" t="s">
        <v>1106</v>
      </c>
      <c r="B637" s="2" t="s">
        <v>1107</v>
      </c>
      <c r="C637" s="2" t="s">
        <v>24</v>
      </c>
      <c r="D637" s="2" t="s">
        <v>24</v>
      </c>
      <c r="E637" s="2" t="s">
        <v>425</v>
      </c>
      <c r="F637" s="2" t="s">
        <v>24</v>
      </c>
      <c r="G637" s="2" t="s">
        <v>24</v>
      </c>
      <c r="H637" s="2" t="s">
        <v>1108</v>
      </c>
      <c r="I637" s="2" t="s">
        <v>1106</v>
      </c>
      <c r="J637" s="2" t="s">
        <v>26</v>
      </c>
      <c r="K637" s="2" t="s">
        <v>1109</v>
      </c>
      <c r="L637" s="3">
        <v>46087.0</v>
      </c>
      <c r="M637" s="2" t="s">
        <v>24</v>
      </c>
      <c r="N637" s="2" t="s">
        <v>24</v>
      </c>
      <c r="O637" s="2">
        <v>3.0</v>
      </c>
      <c r="P637" s="2">
        <v>0.0</v>
      </c>
      <c r="Q637" s="2" t="s">
        <v>1110</v>
      </c>
      <c r="R637" s="2" t="s">
        <v>24</v>
      </c>
      <c r="S637" s="2" t="b">
        <f>COUNTIF('Marcas Target'!A:A,dados!$E637)&gt;0</f>
        <v>0</v>
      </c>
    </row>
    <row r="638" ht="15.75" customHeight="1">
      <c r="A638" s="2" t="s">
        <v>1111</v>
      </c>
      <c r="B638" s="2" t="s">
        <v>1112</v>
      </c>
      <c r="C638" s="2" t="s">
        <v>24</v>
      </c>
      <c r="D638" s="2" t="s">
        <v>24</v>
      </c>
      <c r="E638" s="2" t="s">
        <v>425</v>
      </c>
      <c r="F638" s="2" t="s">
        <v>24</v>
      </c>
      <c r="G638" s="2" t="s">
        <v>24</v>
      </c>
      <c r="H638" s="2" t="s">
        <v>1113</v>
      </c>
      <c r="I638" s="2" t="s">
        <v>1111</v>
      </c>
      <c r="J638" s="2" t="s">
        <v>26</v>
      </c>
      <c r="K638" s="2" t="s">
        <v>1114</v>
      </c>
      <c r="L638" s="3">
        <v>46089.0</v>
      </c>
      <c r="M638" s="2">
        <v>21.99</v>
      </c>
      <c r="N638" s="2">
        <v>21.99</v>
      </c>
      <c r="O638" s="2">
        <v>22.0</v>
      </c>
      <c r="P638" s="2">
        <v>10.0</v>
      </c>
      <c r="Q638" s="2" t="s">
        <v>1115</v>
      </c>
      <c r="R638" s="2" t="s">
        <v>24</v>
      </c>
      <c r="S638" s="2" t="b">
        <f>COUNTIF('Marcas Target'!A:A,dados!$E638)&gt;0</f>
        <v>0</v>
      </c>
    </row>
    <row r="639" ht="15.75" customHeight="1">
      <c r="A639" s="2" t="s">
        <v>1111</v>
      </c>
      <c r="B639" s="2" t="s">
        <v>1112</v>
      </c>
      <c r="C639" s="2" t="s">
        <v>24</v>
      </c>
      <c r="D639" s="2" t="s">
        <v>24</v>
      </c>
      <c r="E639" s="2" t="s">
        <v>425</v>
      </c>
      <c r="F639" s="2" t="s">
        <v>24</v>
      </c>
      <c r="G639" s="2" t="s">
        <v>24</v>
      </c>
      <c r="H639" s="2" t="s">
        <v>1113</v>
      </c>
      <c r="I639" s="2" t="s">
        <v>1111</v>
      </c>
      <c r="J639" s="2" t="s">
        <v>26</v>
      </c>
      <c r="K639" s="2" t="s">
        <v>1114</v>
      </c>
      <c r="L639" s="3">
        <v>46088.0</v>
      </c>
      <c r="M639" s="2">
        <v>21.99</v>
      </c>
      <c r="N639" s="2">
        <v>21.99</v>
      </c>
      <c r="O639" s="2">
        <v>24.0</v>
      </c>
      <c r="P639" s="2">
        <v>19.0</v>
      </c>
      <c r="Q639" s="2" t="s">
        <v>1115</v>
      </c>
      <c r="R639" s="2" t="s">
        <v>24</v>
      </c>
      <c r="S639" s="2" t="b">
        <f>COUNTIF('Marcas Target'!A:A,dados!$E639)&gt;0</f>
        <v>0</v>
      </c>
    </row>
    <row r="640" ht="15.75" customHeight="1">
      <c r="A640" s="2" t="s">
        <v>1111</v>
      </c>
      <c r="B640" s="2" t="s">
        <v>1112</v>
      </c>
      <c r="C640" s="2" t="s">
        <v>24</v>
      </c>
      <c r="D640" s="2" t="s">
        <v>24</v>
      </c>
      <c r="E640" s="2" t="s">
        <v>425</v>
      </c>
      <c r="F640" s="2" t="s">
        <v>24</v>
      </c>
      <c r="G640" s="2" t="s">
        <v>24</v>
      </c>
      <c r="H640" s="2" t="s">
        <v>1113</v>
      </c>
      <c r="I640" s="2" t="s">
        <v>1111</v>
      </c>
      <c r="J640" s="2" t="s">
        <v>26</v>
      </c>
      <c r="K640" s="2" t="s">
        <v>1114</v>
      </c>
      <c r="L640" s="3">
        <v>46087.0</v>
      </c>
      <c r="M640" s="2">
        <v>21.99</v>
      </c>
      <c r="N640" s="2">
        <v>21.99</v>
      </c>
      <c r="O640" s="2">
        <v>3.0</v>
      </c>
      <c r="P640" s="2">
        <v>1.0</v>
      </c>
      <c r="Q640" s="2" t="s">
        <v>1115</v>
      </c>
      <c r="R640" s="2" t="s">
        <v>24</v>
      </c>
      <c r="S640" s="2" t="b">
        <f>COUNTIF('Marcas Target'!A:A,dados!$E640)&gt;0</f>
        <v>0</v>
      </c>
    </row>
    <row r="641" ht="15.75" customHeight="1">
      <c r="A641" s="2" t="s">
        <v>1116</v>
      </c>
      <c r="B641" s="2" t="s">
        <v>1117</v>
      </c>
      <c r="C641" s="2" t="s">
        <v>24</v>
      </c>
      <c r="D641" s="2" t="s">
        <v>24</v>
      </c>
      <c r="E641" s="2" t="s">
        <v>128</v>
      </c>
      <c r="F641" s="2" t="s">
        <v>24</v>
      </c>
      <c r="G641" s="2" t="s">
        <v>24</v>
      </c>
      <c r="H641" s="2" t="s">
        <v>1118</v>
      </c>
      <c r="I641" s="2" t="s">
        <v>1116</v>
      </c>
      <c r="J641" s="2" t="s">
        <v>26</v>
      </c>
      <c r="K641" s="2" t="s">
        <v>1119</v>
      </c>
      <c r="L641" s="3">
        <v>46089.0</v>
      </c>
      <c r="M641" s="2">
        <v>9.09</v>
      </c>
      <c r="N641" s="2">
        <v>9.09</v>
      </c>
      <c r="O641" s="2">
        <v>22.0</v>
      </c>
      <c r="P641" s="2">
        <v>22.0</v>
      </c>
      <c r="Q641" s="2" t="s">
        <v>1120</v>
      </c>
      <c r="R641" s="2" t="s">
        <v>24</v>
      </c>
      <c r="S641" s="2" t="b">
        <f>COUNTIF('Marcas Target'!A:A,dados!$E641)&gt;0</f>
        <v>1</v>
      </c>
    </row>
    <row r="642" ht="15.75" customHeight="1">
      <c r="A642" s="2" t="s">
        <v>1116</v>
      </c>
      <c r="B642" s="2" t="s">
        <v>1117</v>
      </c>
      <c r="C642" s="2" t="s">
        <v>24</v>
      </c>
      <c r="D642" s="2" t="s">
        <v>24</v>
      </c>
      <c r="E642" s="2" t="s">
        <v>128</v>
      </c>
      <c r="F642" s="2" t="s">
        <v>24</v>
      </c>
      <c r="G642" s="2" t="s">
        <v>24</v>
      </c>
      <c r="H642" s="2" t="s">
        <v>1118</v>
      </c>
      <c r="I642" s="2" t="s">
        <v>1116</v>
      </c>
      <c r="J642" s="2" t="s">
        <v>26</v>
      </c>
      <c r="K642" s="2" t="s">
        <v>1119</v>
      </c>
      <c r="L642" s="3">
        <v>46088.0</v>
      </c>
      <c r="M642" s="2">
        <v>11.54</v>
      </c>
      <c r="N642" s="2">
        <v>11.54</v>
      </c>
      <c r="O642" s="2">
        <v>24.0</v>
      </c>
      <c r="P642" s="2">
        <v>20.0</v>
      </c>
      <c r="Q642" s="2" t="s">
        <v>1120</v>
      </c>
      <c r="R642" s="2" t="s">
        <v>24</v>
      </c>
      <c r="S642" s="2" t="b">
        <f>COUNTIF('Marcas Target'!A:A,dados!$E642)&gt;0</f>
        <v>1</v>
      </c>
    </row>
    <row r="643" ht="15.75" customHeight="1">
      <c r="A643" s="2" t="s">
        <v>1116</v>
      </c>
      <c r="B643" s="2" t="s">
        <v>1117</v>
      </c>
      <c r="C643" s="2" t="s">
        <v>24</v>
      </c>
      <c r="D643" s="2" t="s">
        <v>24</v>
      </c>
      <c r="E643" s="2" t="s">
        <v>128</v>
      </c>
      <c r="F643" s="2" t="s">
        <v>24</v>
      </c>
      <c r="G643" s="2" t="s">
        <v>24</v>
      </c>
      <c r="H643" s="2" t="s">
        <v>1118</v>
      </c>
      <c r="I643" s="2" t="s">
        <v>1116</v>
      </c>
      <c r="J643" s="2" t="s">
        <v>26</v>
      </c>
      <c r="K643" s="2" t="s">
        <v>1119</v>
      </c>
      <c r="L643" s="3">
        <v>46087.0</v>
      </c>
      <c r="M643" s="2">
        <v>9.09</v>
      </c>
      <c r="N643" s="2">
        <v>9.09</v>
      </c>
      <c r="O643" s="2">
        <v>3.0</v>
      </c>
      <c r="P643" s="2">
        <v>2.0</v>
      </c>
      <c r="Q643" s="2" t="s">
        <v>1120</v>
      </c>
      <c r="R643" s="2" t="s">
        <v>24</v>
      </c>
      <c r="S643" s="2" t="b">
        <f>COUNTIF('Marcas Target'!A:A,dados!$E643)&gt;0</f>
        <v>1</v>
      </c>
    </row>
    <row r="644" ht="15.75" customHeight="1">
      <c r="A644" s="2" t="s">
        <v>1121</v>
      </c>
      <c r="B644" s="2" t="s">
        <v>1122</v>
      </c>
      <c r="C644" s="2" t="s">
        <v>24</v>
      </c>
      <c r="D644" s="2" t="s">
        <v>24</v>
      </c>
      <c r="E644" s="2" t="s">
        <v>106</v>
      </c>
      <c r="F644" s="2" t="s">
        <v>24</v>
      </c>
      <c r="G644" s="2" t="s">
        <v>24</v>
      </c>
      <c r="H644" s="2" t="s">
        <v>1123</v>
      </c>
      <c r="I644" s="2" t="s">
        <v>1121</v>
      </c>
      <c r="J644" s="2" t="s">
        <v>26</v>
      </c>
      <c r="K644" s="2" t="s">
        <v>1124</v>
      </c>
      <c r="L644" s="3">
        <v>46089.0</v>
      </c>
      <c r="M644" s="2">
        <v>20.14</v>
      </c>
      <c r="N644" s="2">
        <v>20.14</v>
      </c>
      <c r="O644" s="2">
        <v>22.0</v>
      </c>
      <c r="P644" s="2">
        <v>9.0</v>
      </c>
      <c r="Q644" s="2" t="s">
        <v>1125</v>
      </c>
      <c r="R644" s="2" t="s">
        <v>24</v>
      </c>
      <c r="S644" s="2" t="b">
        <f>COUNTIF('Marcas Target'!A:A,dados!$E644)&gt;0</f>
        <v>0</v>
      </c>
    </row>
    <row r="645" ht="15.75" customHeight="1">
      <c r="A645" s="2" t="s">
        <v>1121</v>
      </c>
      <c r="B645" s="2" t="s">
        <v>1122</v>
      </c>
      <c r="C645" s="2" t="s">
        <v>24</v>
      </c>
      <c r="D645" s="2" t="s">
        <v>24</v>
      </c>
      <c r="E645" s="2" t="s">
        <v>106</v>
      </c>
      <c r="F645" s="2" t="s">
        <v>24</v>
      </c>
      <c r="G645" s="2" t="s">
        <v>24</v>
      </c>
      <c r="H645" s="2" t="s">
        <v>1123</v>
      </c>
      <c r="I645" s="2" t="s">
        <v>1121</v>
      </c>
      <c r="J645" s="2" t="s">
        <v>26</v>
      </c>
      <c r="K645" s="2" t="s">
        <v>1124</v>
      </c>
      <c r="L645" s="3">
        <v>46088.0</v>
      </c>
      <c r="M645" s="2">
        <v>29.18</v>
      </c>
      <c r="N645" s="2">
        <v>29.18</v>
      </c>
      <c r="O645" s="2">
        <v>24.0</v>
      </c>
      <c r="P645" s="2">
        <v>18.0</v>
      </c>
      <c r="Q645" s="2" t="s">
        <v>1125</v>
      </c>
      <c r="R645" s="2" t="s">
        <v>24</v>
      </c>
      <c r="S645" s="2" t="b">
        <f>COUNTIF('Marcas Target'!A:A,dados!$E645)&gt;0</f>
        <v>0</v>
      </c>
    </row>
    <row r="646" ht="15.75" customHeight="1">
      <c r="A646" s="2" t="s">
        <v>1121</v>
      </c>
      <c r="B646" s="2" t="s">
        <v>1122</v>
      </c>
      <c r="C646" s="2" t="s">
        <v>24</v>
      </c>
      <c r="D646" s="2" t="s">
        <v>24</v>
      </c>
      <c r="E646" s="2" t="s">
        <v>106</v>
      </c>
      <c r="F646" s="2" t="s">
        <v>24</v>
      </c>
      <c r="G646" s="2" t="s">
        <v>24</v>
      </c>
      <c r="H646" s="2" t="s">
        <v>1123</v>
      </c>
      <c r="I646" s="2" t="s">
        <v>1121</v>
      </c>
      <c r="J646" s="2" t="s">
        <v>26</v>
      </c>
      <c r="K646" s="2" t="s">
        <v>1124</v>
      </c>
      <c r="L646" s="3">
        <v>46087.0</v>
      </c>
      <c r="M646" s="2">
        <v>20.14</v>
      </c>
      <c r="N646" s="2">
        <v>20.14</v>
      </c>
      <c r="O646" s="2">
        <v>3.0</v>
      </c>
      <c r="P646" s="2">
        <v>2.0</v>
      </c>
      <c r="Q646" s="2" t="s">
        <v>1125</v>
      </c>
      <c r="R646" s="2" t="s">
        <v>24</v>
      </c>
      <c r="S646" s="2" t="b">
        <f>COUNTIF('Marcas Target'!A:A,dados!$E646)&gt;0</f>
        <v>0</v>
      </c>
    </row>
    <row r="647" ht="15.75" customHeight="1">
      <c r="A647" s="2" t="s">
        <v>1126</v>
      </c>
      <c r="B647" s="2" t="s">
        <v>1127</v>
      </c>
      <c r="C647" s="2" t="s">
        <v>24</v>
      </c>
      <c r="D647" s="2" t="s">
        <v>24</v>
      </c>
      <c r="E647" s="2" t="s">
        <v>227</v>
      </c>
      <c r="F647" s="2" t="s">
        <v>24</v>
      </c>
      <c r="G647" s="2" t="s">
        <v>24</v>
      </c>
      <c r="H647" s="2" t="s">
        <v>1128</v>
      </c>
      <c r="I647" s="2" t="s">
        <v>1126</v>
      </c>
      <c r="J647" s="2" t="s">
        <v>26</v>
      </c>
      <c r="K647" s="2" t="s">
        <v>1129</v>
      </c>
      <c r="L647" s="3">
        <v>46089.0</v>
      </c>
      <c r="M647" s="2">
        <v>26.99</v>
      </c>
      <c r="N647" s="2">
        <v>26.99</v>
      </c>
      <c r="O647" s="2">
        <v>22.0</v>
      </c>
      <c r="P647" s="2">
        <v>1.0</v>
      </c>
      <c r="Q647" s="2" t="s">
        <v>1130</v>
      </c>
      <c r="R647" s="2" t="s">
        <v>24</v>
      </c>
      <c r="S647" s="2" t="b">
        <f>COUNTIF('Marcas Target'!A:A,dados!$E647)&gt;0</f>
        <v>0</v>
      </c>
    </row>
    <row r="648" ht="15.75" customHeight="1">
      <c r="A648" s="2" t="s">
        <v>1126</v>
      </c>
      <c r="B648" s="2" t="s">
        <v>1127</v>
      </c>
      <c r="C648" s="2" t="s">
        <v>24</v>
      </c>
      <c r="D648" s="2" t="s">
        <v>24</v>
      </c>
      <c r="E648" s="2" t="s">
        <v>227</v>
      </c>
      <c r="F648" s="2" t="s">
        <v>24</v>
      </c>
      <c r="G648" s="2" t="s">
        <v>24</v>
      </c>
      <c r="H648" s="2" t="s">
        <v>1128</v>
      </c>
      <c r="I648" s="2" t="s">
        <v>1126</v>
      </c>
      <c r="J648" s="2" t="s">
        <v>26</v>
      </c>
      <c r="K648" s="2" t="s">
        <v>1129</v>
      </c>
      <c r="L648" s="3">
        <v>46088.0</v>
      </c>
      <c r="M648" s="2">
        <v>26.99</v>
      </c>
      <c r="N648" s="2">
        <v>26.99</v>
      </c>
      <c r="O648" s="2">
        <v>24.0</v>
      </c>
      <c r="P648" s="2">
        <v>14.0</v>
      </c>
      <c r="Q648" s="2" t="s">
        <v>1130</v>
      </c>
      <c r="R648" s="2" t="s">
        <v>24</v>
      </c>
      <c r="S648" s="2" t="b">
        <f>COUNTIF('Marcas Target'!A:A,dados!$E648)&gt;0</f>
        <v>0</v>
      </c>
    </row>
    <row r="649" ht="15.75" customHeight="1">
      <c r="A649" s="2" t="s">
        <v>1126</v>
      </c>
      <c r="B649" s="2" t="s">
        <v>1127</v>
      </c>
      <c r="C649" s="2" t="s">
        <v>24</v>
      </c>
      <c r="D649" s="2" t="s">
        <v>24</v>
      </c>
      <c r="E649" s="2" t="s">
        <v>227</v>
      </c>
      <c r="F649" s="2" t="s">
        <v>24</v>
      </c>
      <c r="G649" s="2" t="s">
        <v>24</v>
      </c>
      <c r="H649" s="2" t="s">
        <v>1128</v>
      </c>
      <c r="I649" s="2" t="s">
        <v>1126</v>
      </c>
      <c r="J649" s="2" t="s">
        <v>26</v>
      </c>
      <c r="K649" s="2" t="s">
        <v>1129</v>
      </c>
      <c r="L649" s="3">
        <v>46087.0</v>
      </c>
      <c r="M649" s="2" t="s">
        <v>24</v>
      </c>
      <c r="N649" s="2" t="s">
        <v>24</v>
      </c>
      <c r="O649" s="2">
        <v>3.0</v>
      </c>
      <c r="P649" s="2">
        <v>0.0</v>
      </c>
      <c r="Q649" s="2" t="s">
        <v>1130</v>
      </c>
      <c r="R649" s="2" t="s">
        <v>24</v>
      </c>
      <c r="S649" s="2" t="b">
        <f>COUNTIF('Marcas Target'!A:A,dados!$E649)&gt;0</f>
        <v>0</v>
      </c>
    </row>
    <row r="650" ht="15.75" customHeight="1">
      <c r="A650" s="2" t="s">
        <v>1131</v>
      </c>
      <c r="B650" s="2" t="s">
        <v>1132</v>
      </c>
      <c r="C650" s="2" t="s">
        <v>24</v>
      </c>
      <c r="D650" s="2" t="s">
        <v>24</v>
      </c>
      <c r="E650" s="2" t="s">
        <v>874</v>
      </c>
      <c r="F650" s="2" t="s">
        <v>24</v>
      </c>
      <c r="G650" s="2" t="s">
        <v>24</v>
      </c>
      <c r="H650" s="2" t="s">
        <v>1133</v>
      </c>
      <c r="I650" s="2" t="s">
        <v>1131</v>
      </c>
      <c r="J650" s="2" t="s">
        <v>26</v>
      </c>
      <c r="K650" s="2" t="s">
        <v>1134</v>
      </c>
      <c r="L650" s="3">
        <v>46089.0</v>
      </c>
      <c r="M650" s="2">
        <v>27.99</v>
      </c>
      <c r="N650" s="2">
        <v>27.99</v>
      </c>
      <c r="O650" s="2">
        <v>23.0</v>
      </c>
      <c r="P650" s="2">
        <v>3.0</v>
      </c>
      <c r="Q650" s="2" t="s">
        <v>1135</v>
      </c>
      <c r="R650" s="2" t="s">
        <v>24</v>
      </c>
      <c r="S650" s="2" t="b">
        <f>COUNTIF('Marcas Target'!A:A,dados!$E650)&gt;0</f>
        <v>1</v>
      </c>
    </row>
    <row r="651" ht="15.75" customHeight="1">
      <c r="A651" s="2" t="s">
        <v>1131</v>
      </c>
      <c r="B651" s="2" t="s">
        <v>1132</v>
      </c>
      <c r="C651" s="2" t="s">
        <v>24</v>
      </c>
      <c r="D651" s="2" t="s">
        <v>24</v>
      </c>
      <c r="E651" s="2" t="s">
        <v>874</v>
      </c>
      <c r="F651" s="2" t="s">
        <v>24</v>
      </c>
      <c r="G651" s="2" t="s">
        <v>24</v>
      </c>
      <c r="H651" s="2" t="s">
        <v>1133</v>
      </c>
      <c r="I651" s="2" t="s">
        <v>1131</v>
      </c>
      <c r="J651" s="2" t="s">
        <v>26</v>
      </c>
      <c r="K651" s="2" t="s">
        <v>1134</v>
      </c>
      <c r="L651" s="3">
        <v>46088.0</v>
      </c>
      <c r="M651" s="2">
        <v>27.99</v>
      </c>
      <c r="N651" s="2">
        <v>27.99</v>
      </c>
      <c r="O651" s="2">
        <v>23.0</v>
      </c>
      <c r="P651" s="2">
        <v>5.0</v>
      </c>
      <c r="Q651" s="2" t="s">
        <v>1135</v>
      </c>
      <c r="R651" s="2" t="s">
        <v>24</v>
      </c>
      <c r="S651" s="2" t="b">
        <f>COUNTIF('Marcas Target'!A:A,dados!$E651)&gt;0</f>
        <v>1</v>
      </c>
    </row>
    <row r="652" ht="15.75" customHeight="1">
      <c r="A652" s="2" t="s">
        <v>1131</v>
      </c>
      <c r="B652" s="2" t="s">
        <v>1132</v>
      </c>
      <c r="C652" s="2" t="s">
        <v>24</v>
      </c>
      <c r="D652" s="2" t="s">
        <v>24</v>
      </c>
      <c r="E652" s="2" t="s">
        <v>874</v>
      </c>
      <c r="F652" s="2" t="s">
        <v>24</v>
      </c>
      <c r="G652" s="2" t="s">
        <v>24</v>
      </c>
      <c r="H652" s="2" t="s">
        <v>1133</v>
      </c>
      <c r="I652" s="2" t="s">
        <v>1131</v>
      </c>
      <c r="J652" s="2" t="s">
        <v>26</v>
      </c>
      <c r="K652" s="2" t="s">
        <v>1134</v>
      </c>
      <c r="L652" s="3">
        <v>46087.0</v>
      </c>
      <c r="M652" s="2" t="s">
        <v>24</v>
      </c>
      <c r="N652" s="2" t="s">
        <v>24</v>
      </c>
      <c r="O652" s="2">
        <v>3.0</v>
      </c>
      <c r="P652" s="2">
        <v>0.0</v>
      </c>
      <c r="Q652" s="2" t="s">
        <v>1135</v>
      </c>
      <c r="R652" s="2" t="s">
        <v>24</v>
      </c>
      <c r="S652" s="2" t="b">
        <f>COUNTIF('Marcas Target'!A:A,dados!$E652)&gt;0</f>
        <v>1</v>
      </c>
    </row>
    <row r="653" ht="15.75" customHeight="1">
      <c r="A653" s="2" t="s">
        <v>1136</v>
      </c>
      <c r="B653" s="2" t="s">
        <v>1137</v>
      </c>
      <c r="C653" s="2" t="s">
        <v>24</v>
      </c>
      <c r="D653" s="2" t="s">
        <v>24</v>
      </c>
      <c r="E653" s="2" t="s">
        <v>378</v>
      </c>
      <c r="F653" s="2" t="s">
        <v>24</v>
      </c>
      <c r="G653" s="2" t="s">
        <v>24</v>
      </c>
      <c r="H653" s="2" t="s">
        <v>1138</v>
      </c>
      <c r="I653" s="2" t="s">
        <v>1136</v>
      </c>
      <c r="J653" s="2" t="s">
        <v>26</v>
      </c>
      <c r="K653" s="2" t="s">
        <v>1139</v>
      </c>
      <c r="L653" s="3">
        <v>46089.0</v>
      </c>
      <c r="M653" s="2" t="s">
        <v>24</v>
      </c>
      <c r="N653" s="2" t="s">
        <v>24</v>
      </c>
      <c r="O653" s="2">
        <v>22.0</v>
      </c>
      <c r="P653" s="2">
        <v>0.0</v>
      </c>
      <c r="Q653" s="2" t="s">
        <v>1140</v>
      </c>
      <c r="R653" s="2" t="s">
        <v>24</v>
      </c>
      <c r="S653" s="2" t="b">
        <f>COUNTIF('Marcas Target'!A:A,dados!$E653)&gt;0</f>
        <v>0</v>
      </c>
    </row>
    <row r="654" ht="15.75" customHeight="1">
      <c r="A654" s="2" t="s">
        <v>1136</v>
      </c>
      <c r="B654" s="2" t="s">
        <v>1137</v>
      </c>
      <c r="C654" s="2" t="s">
        <v>24</v>
      </c>
      <c r="D654" s="2" t="s">
        <v>24</v>
      </c>
      <c r="E654" s="2" t="s">
        <v>378</v>
      </c>
      <c r="F654" s="2" t="s">
        <v>24</v>
      </c>
      <c r="G654" s="2" t="s">
        <v>24</v>
      </c>
      <c r="H654" s="2" t="s">
        <v>1138</v>
      </c>
      <c r="I654" s="2" t="s">
        <v>1136</v>
      </c>
      <c r="J654" s="2" t="s">
        <v>26</v>
      </c>
      <c r="K654" s="2" t="s">
        <v>1139</v>
      </c>
      <c r="L654" s="3">
        <v>46088.0</v>
      </c>
      <c r="M654" s="2">
        <v>13.99</v>
      </c>
      <c r="N654" s="2">
        <v>13.99</v>
      </c>
      <c r="O654" s="2">
        <v>24.0</v>
      </c>
      <c r="P654" s="2">
        <v>2.0</v>
      </c>
      <c r="Q654" s="2" t="s">
        <v>1140</v>
      </c>
      <c r="R654" s="2" t="s">
        <v>24</v>
      </c>
      <c r="S654" s="2" t="b">
        <f>COUNTIF('Marcas Target'!A:A,dados!$E654)&gt;0</f>
        <v>0</v>
      </c>
    </row>
    <row r="655" ht="15.75" customHeight="1">
      <c r="A655" s="2" t="s">
        <v>1136</v>
      </c>
      <c r="B655" s="2" t="s">
        <v>1137</v>
      </c>
      <c r="C655" s="2" t="s">
        <v>24</v>
      </c>
      <c r="D655" s="2" t="s">
        <v>24</v>
      </c>
      <c r="E655" s="2" t="s">
        <v>378</v>
      </c>
      <c r="F655" s="2" t="s">
        <v>24</v>
      </c>
      <c r="G655" s="2" t="s">
        <v>24</v>
      </c>
      <c r="H655" s="2" t="s">
        <v>1138</v>
      </c>
      <c r="I655" s="2" t="s">
        <v>1136</v>
      </c>
      <c r="J655" s="2" t="s">
        <v>26</v>
      </c>
      <c r="K655" s="2" t="s">
        <v>1139</v>
      </c>
      <c r="L655" s="3">
        <v>46087.0</v>
      </c>
      <c r="M655" s="2" t="s">
        <v>24</v>
      </c>
      <c r="N655" s="2" t="s">
        <v>24</v>
      </c>
      <c r="O655" s="2">
        <v>3.0</v>
      </c>
      <c r="P655" s="2">
        <v>0.0</v>
      </c>
      <c r="Q655" s="2" t="s">
        <v>1140</v>
      </c>
      <c r="R655" s="2" t="s">
        <v>24</v>
      </c>
      <c r="S655" s="2" t="b">
        <f>COUNTIF('Marcas Target'!A:A,dados!$E655)&gt;0</f>
        <v>0</v>
      </c>
    </row>
    <row r="656" ht="15.75" customHeight="1">
      <c r="A656" s="2" t="s">
        <v>1141</v>
      </c>
      <c r="B656" s="2" t="s">
        <v>1142</v>
      </c>
      <c r="C656" s="2" t="s">
        <v>24</v>
      </c>
      <c r="D656" s="2" t="s">
        <v>24</v>
      </c>
      <c r="E656" s="2" t="s">
        <v>503</v>
      </c>
      <c r="F656" s="2" t="s">
        <v>24</v>
      </c>
      <c r="G656" s="2" t="s">
        <v>24</v>
      </c>
      <c r="H656" s="2" t="s">
        <v>1143</v>
      </c>
      <c r="I656" s="2" t="s">
        <v>1141</v>
      </c>
      <c r="J656" s="2" t="s">
        <v>26</v>
      </c>
      <c r="K656" s="2" t="s">
        <v>1144</v>
      </c>
      <c r="L656" s="3">
        <v>46089.0</v>
      </c>
      <c r="M656" s="2">
        <v>38.63</v>
      </c>
      <c r="N656" s="2">
        <v>38.63</v>
      </c>
      <c r="O656" s="2">
        <v>22.0</v>
      </c>
      <c r="P656" s="2">
        <v>22.0</v>
      </c>
      <c r="Q656" s="2" t="s">
        <v>1145</v>
      </c>
      <c r="R656" s="2" t="s">
        <v>24</v>
      </c>
      <c r="S656" s="2" t="b">
        <f>COUNTIF('Marcas Target'!A:A,dados!$E656)&gt;0</f>
        <v>0</v>
      </c>
    </row>
    <row r="657" ht="15.75" customHeight="1">
      <c r="A657" s="2" t="s">
        <v>1141</v>
      </c>
      <c r="B657" s="2" t="s">
        <v>1142</v>
      </c>
      <c r="C657" s="2" t="s">
        <v>24</v>
      </c>
      <c r="D657" s="2" t="s">
        <v>24</v>
      </c>
      <c r="E657" s="2" t="s">
        <v>503</v>
      </c>
      <c r="F657" s="2" t="s">
        <v>24</v>
      </c>
      <c r="G657" s="2" t="s">
        <v>24</v>
      </c>
      <c r="H657" s="2" t="s">
        <v>1143</v>
      </c>
      <c r="I657" s="2" t="s">
        <v>1141</v>
      </c>
      <c r="J657" s="2" t="s">
        <v>26</v>
      </c>
      <c r="K657" s="2" t="s">
        <v>1144</v>
      </c>
      <c r="L657" s="3">
        <v>46088.0</v>
      </c>
      <c r="M657" s="2">
        <v>42.7</v>
      </c>
      <c r="N657" s="2">
        <v>42.7</v>
      </c>
      <c r="O657" s="2">
        <v>24.0</v>
      </c>
      <c r="P657" s="2">
        <v>19.0</v>
      </c>
      <c r="Q657" s="2" t="s">
        <v>1145</v>
      </c>
      <c r="R657" s="2" t="s">
        <v>24</v>
      </c>
      <c r="S657" s="2" t="b">
        <f>COUNTIF('Marcas Target'!A:A,dados!$E657)&gt;0</f>
        <v>0</v>
      </c>
    </row>
    <row r="658" ht="15.75" customHeight="1">
      <c r="A658" s="2" t="s">
        <v>1141</v>
      </c>
      <c r="B658" s="2" t="s">
        <v>1142</v>
      </c>
      <c r="C658" s="2" t="s">
        <v>24</v>
      </c>
      <c r="D658" s="2" t="s">
        <v>24</v>
      </c>
      <c r="E658" s="2" t="s">
        <v>503</v>
      </c>
      <c r="F658" s="2" t="s">
        <v>24</v>
      </c>
      <c r="G658" s="2" t="s">
        <v>24</v>
      </c>
      <c r="H658" s="2" t="s">
        <v>1143</v>
      </c>
      <c r="I658" s="2" t="s">
        <v>1141</v>
      </c>
      <c r="J658" s="2" t="s">
        <v>26</v>
      </c>
      <c r="K658" s="2" t="s">
        <v>1144</v>
      </c>
      <c r="L658" s="3">
        <v>46087.0</v>
      </c>
      <c r="M658" s="2">
        <v>38.63</v>
      </c>
      <c r="N658" s="2">
        <v>38.63</v>
      </c>
      <c r="O658" s="2">
        <v>3.0</v>
      </c>
      <c r="P658" s="2">
        <v>3.0</v>
      </c>
      <c r="Q658" s="2" t="s">
        <v>1145</v>
      </c>
      <c r="R658" s="2" t="s">
        <v>24</v>
      </c>
      <c r="S658" s="2" t="b">
        <f>COUNTIF('Marcas Target'!A:A,dados!$E658)&gt;0</f>
        <v>0</v>
      </c>
    </row>
    <row r="659" ht="15.75" customHeight="1">
      <c r="A659" s="2" t="s">
        <v>1146</v>
      </c>
      <c r="B659" s="2" t="s">
        <v>1147</v>
      </c>
      <c r="C659" s="2" t="s">
        <v>24</v>
      </c>
      <c r="D659" s="2" t="s">
        <v>24</v>
      </c>
      <c r="E659" s="2" t="s">
        <v>503</v>
      </c>
      <c r="F659" s="2" t="s">
        <v>24</v>
      </c>
      <c r="G659" s="2" t="s">
        <v>24</v>
      </c>
      <c r="H659" s="2" t="s">
        <v>1148</v>
      </c>
      <c r="I659" s="2" t="s">
        <v>1146</v>
      </c>
      <c r="J659" s="2" t="s">
        <v>26</v>
      </c>
      <c r="K659" s="2" t="s">
        <v>1149</v>
      </c>
      <c r="L659" s="3">
        <v>46089.0</v>
      </c>
      <c r="M659" s="2">
        <v>17.59</v>
      </c>
      <c r="N659" s="2">
        <v>17.59</v>
      </c>
      <c r="O659" s="2">
        <v>22.0</v>
      </c>
      <c r="P659" s="2">
        <v>22.0</v>
      </c>
      <c r="Q659" s="2" t="s">
        <v>1150</v>
      </c>
      <c r="R659" s="2" t="s">
        <v>24</v>
      </c>
      <c r="S659" s="2" t="b">
        <f>COUNTIF('Marcas Target'!A:A,dados!$E659)&gt;0</f>
        <v>0</v>
      </c>
    </row>
    <row r="660" ht="15.75" customHeight="1">
      <c r="A660" s="2" t="s">
        <v>1146</v>
      </c>
      <c r="B660" s="2" t="s">
        <v>1147</v>
      </c>
      <c r="C660" s="2" t="s">
        <v>24</v>
      </c>
      <c r="D660" s="2" t="s">
        <v>24</v>
      </c>
      <c r="E660" s="2" t="s">
        <v>503</v>
      </c>
      <c r="F660" s="2" t="s">
        <v>24</v>
      </c>
      <c r="G660" s="2" t="s">
        <v>24</v>
      </c>
      <c r="H660" s="2" t="s">
        <v>1148</v>
      </c>
      <c r="I660" s="2" t="s">
        <v>1146</v>
      </c>
      <c r="J660" s="2" t="s">
        <v>26</v>
      </c>
      <c r="K660" s="2" t="s">
        <v>1149</v>
      </c>
      <c r="L660" s="3">
        <v>46088.0</v>
      </c>
      <c r="M660" s="2">
        <v>20.34</v>
      </c>
      <c r="N660" s="2">
        <v>20.34</v>
      </c>
      <c r="O660" s="2">
        <v>24.0</v>
      </c>
      <c r="P660" s="2">
        <v>24.0</v>
      </c>
      <c r="Q660" s="2" t="s">
        <v>1150</v>
      </c>
      <c r="R660" s="2" t="s">
        <v>24</v>
      </c>
      <c r="S660" s="2" t="b">
        <f>COUNTIF('Marcas Target'!A:A,dados!$E660)&gt;0</f>
        <v>0</v>
      </c>
    </row>
    <row r="661" ht="15.75" customHeight="1">
      <c r="A661" s="2" t="s">
        <v>1146</v>
      </c>
      <c r="B661" s="2" t="s">
        <v>1147</v>
      </c>
      <c r="C661" s="2" t="s">
        <v>24</v>
      </c>
      <c r="D661" s="2" t="s">
        <v>24</v>
      </c>
      <c r="E661" s="2" t="s">
        <v>503</v>
      </c>
      <c r="F661" s="2" t="s">
        <v>24</v>
      </c>
      <c r="G661" s="2" t="s">
        <v>24</v>
      </c>
      <c r="H661" s="2" t="s">
        <v>1148</v>
      </c>
      <c r="I661" s="2" t="s">
        <v>1146</v>
      </c>
      <c r="J661" s="2" t="s">
        <v>26</v>
      </c>
      <c r="K661" s="2" t="s">
        <v>1149</v>
      </c>
      <c r="L661" s="3">
        <v>46087.0</v>
      </c>
      <c r="M661" s="2">
        <v>17.59</v>
      </c>
      <c r="N661" s="2">
        <v>17.59</v>
      </c>
      <c r="O661" s="2">
        <v>3.0</v>
      </c>
      <c r="P661" s="2">
        <v>3.0</v>
      </c>
      <c r="Q661" s="2" t="s">
        <v>1150</v>
      </c>
      <c r="R661" s="2" t="s">
        <v>24</v>
      </c>
      <c r="S661" s="2" t="b">
        <f>COUNTIF('Marcas Target'!A:A,dados!$E661)&gt;0</f>
        <v>0</v>
      </c>
    </row>
    <row r="662" ht="15.75" customHeight="1">
      <c r="A662" s="2" t="s">
        <v>1151</v>
      </c>
      <c r="B662" s="2" t="s">
        <v>1152</v>
      </c>
      <c r="C662" s="2" t="s">
        <v>24</v>
      </c>
      <c r="D662" s="2" t="s">
        <v>24</v>
      </c>
      <c r="E662" s="2" t="s">
        <v>843</v>
      </c>
      <c r="F662" s="2" t="s">
        <v>24</v>
      </c>
      <c r="G662" s="2" t="s">
        <v>24</v>
      </c>
      <c r="H662" s="2" t="s">
        <v>1153</v>
      </c>
      <c r="I662" s="2" t="s">
        <v>1151</v>
      </c>
      <c r="J662" s="2" t="s">
        <v>26</v>
      </c>
      <c r="K662" s="2" t="s">
        <v>1154</v>
      </c>
      <c r="L662" s="3">
        <v>46089.0</v>
      </c>
      <c r="M662" s="2">
        <v>30.99</v>
      </c>
      <c r="N662" s="2">
        <v>30.99</v>
      </c>
      <c r="O662" s="2">
        <v>22.0</v>
      </c>
      <c r="P662" s="2">
        <v>1.0</v>
      </c>
      <c r="Q662" s="2" t="s">
        <v>1155</v>
      </c>
      <c r="R662" s="2" t="s">
        <v>24</v>
      </c>
      <c r="S662" s="2" t="b">
        <f>COUNTIF('Marcas Target'!A:A,dados!$E662)&gt;0</f>
        <v>1</v>
      </c>
    </row>
    <row r="663" ht="15.75" customHeight="1">
      <c r="A663" s="2" t="s">
        <v>1151</v>
      </c>
      <c r="B663" s="2" t="s">
        <v>1152</v>
      </c>
      <c r="C663" s="2" t="s">
        <v>24</v>
      </c>
      <c r="D663" s="2" t="s">
        <v>24</v>
      </c>
      <c r="E663" s="2" t="s">
        <v>843</v>
      </c>
      <c r="F663" s="2" t="s">
        <v>24</v>
      </c>
      <c r="G663" s="2" t="s">
        <v>24</v>
      </c>
      <c r="H663" s="2" t="s">
        <v>1153</v>
      </c>
      <c r="I663" s="2" t="s">
        <v>1151</v>
      </c>
      <c r="J663" s="2" t="s">
        <v>26</v>
      </c>
      <c r="K663" s="2" t="s">
        <v>1154</v>
      </c>
      <c r="L663" s="3">
        <v>46088.0</v>
      </c>
      <c r="M663" s="2" t="s">
        <v>24</v>
      </c>
      <c r="N663" s="2" t="s">
        <v>24</v>
      </c>
      <c r="O663" s="2">
        <v>24.0</v>
      </c>
      <c r="P663" s="2">
        <v>0.0</v>
      </c>
      <c r="Q663" s="2" t="s">
        <v>1155</v>
      </c>
      <c r="R663" s="2" t="s">
        <v>24</v>
      </c>
      <c r="S663" s="2" t="b">
        <f>COUNTIF('Marcas Target'!A:A,dados!$E663)&gt;0</f>
        <v>1</v>
      </c>
    </row>
    <row r="664" ht="15.75" customHeight="1">
      <c r="A664" s="2" t="s">
        <v>1151</v>
      </c>
      <c r="B664" s="2" t="s">
        <v>1152</v>
      </c>
      <c r="C664" s="2" t="s">
        <v>24</v>
      </c>
      <c r="D664" s="2" t="s">
        <v>24</v>
      </c>
      <c r="E664" s="2" t="s">
        <v>843</v>
      </c>
      <c r="F664" s="2" t="s">
        <v>24</v>
      </c>
      <c r="G664" s="2" t="s">
        <v>24</v>
      </c>
      <c r="H664" s="2" t="s">
        <v>1153</v>
      </c>
      <c r="I664" s="2" t="s">
        <v>1151</v>
      </c>
      <c r="J664" s="2" t="s">
        <v>26</v>
      </c>
      <c r="K664" s="2" t="s">
        <v>1154</v>
      </c>
      <c r="L664" s="3">
        <v>46087.0</v>
      </c>
      <c r="M664" s="2" t="s">
        <v>24</v>
      </c>
      <c r="N664" s="2" t="s">
        <v>24</v>
      </c>
      <c r="O664" s="2">
        <v>3.0</v>
      </c>
      <c r="P664" s="2">
        <v>0.0</v>
      </c>
      <c r="Q664" s="2" t="s">
        <v>1155</v>
      </c>
      <c r="R664" s="2" t="s">
        <v>24</v>
      </c>
      <c r="S664" s="2" t="b">
        <f>COUNTIF('Marcas Target'!A:A,dados!$E664)&gt;0</f>
        <v>1</v>
      </c>
    </row>
    <row r="665" ht="15.75" customHeight="1">
      <c r="A665" s="2" t="s">
        <v>1156</v>
      </c>
      <c r="B665" s="2" t="s">
        <v>1157</v>
      </c>
      <c r="C665" s="2" t="s">
        <v>24</v>
      </c>
      <c r="D665" s="2" t="s">
        <v>24</v>
      </c>
      <c r="E665" s="2" t="s">
        <v>666</v>
      </c>
      <c r="F665" s="2" t="s">
        <v>24</v>
      </c>
      <c r="G665" s="2" t="s">
        <v>24</v>
      </c>
      <c r="H665" s="2" t="s">
        <v>1158</v>
      </c>
      <c r="I665" s="2" t="s">
        <v>1156</v>
      </c>
      <c r="J665" s="2" t="s">
        <v>26</v>
      </c>
      <c r="K665" s="2" t="s">
        <v>1159</v>
      </c>
      <c r="L665" s="3">
        <v>46089.0</v>
      </c>
      <c r="M665" s="2">
        <v>46.99</v>
      </c>
      <c r="N665" s="2">
        <v>46.99</v>
      </c>
      <c r="O665" s="2">
        <v>23.0</v>
      </c>
      <c r="P665" s="2">
        <v>13.0</v>
      </c>
      <c r="Q665" s="2" t="s">
        <v>1160</v>
      </c>
      <c r="R665" s="2" t="s">
        <v>24</v>
      </c>
      <c r="S665" s="2" t="b">
        <f>COUNTIF('Marcas Target'!A:A,dados!$E665)&gt;0</f>
        <v>1</v>
      </c>
    </row>
    <row r="666" ht="15.75" customHeight="1">
      <c r="A666" s="2" t="s">
        <v>1156</v>
      </c>
      <c r="B666" s="2" t="s">
        <v>1157</v>
      </c>
      <c r="C666" s="2" t="s">
        <v>24</v>
      </c>
      <c r="D666" s="2" t="s">
        <v>24</v>
      </c>
      <c r="E666" s="2" t="s">
        <v>666</v>
      </c>
      <c r="F666" s="2" t="s">
        <v>24</v>
      </c>
      <c r="G666" s="2" t="s">
        <v>24</v>
      </c>
      <c r="H666" s="2" t="s">
        <v>1158</v>
      </c>
      <c r="I666" s="2" t="s">
        <v>1156</v>
      </c>
      <c r="J666" s="2" t="s">
        <v>26</v>
      </c>
      <c r="K666" s="2" t="s">
        <v>1159</v>
      </c>
      <c r="L666" s="3">
        <v>46088.0</v>
      </c>
      <c r="M666" s="2">
        <v>46.99</v>
      </c>
      <c r="N666" s="2">
        <v>46.99</v>
      </c>
      <c r="O666" s="2">
        <v>24.0</v>
      </c>
      <c r="P666" s="2">
        <v>6.0</v>
      </c>
      <c r="Q666" s="2" t="s">
        <v>1160</v>
      </c>
      <c r="R666" s="2" t="s">
        <v>24</v>
      </c>
      <c r="S666" s="2" t="b">
        <f>COUNTIF('Marcas Target'!A:A,dados!$E666)&gt;0</f>
        <v>1</v>
      </c>
    </row>
    <row r="667" ht="15.75" customHeight="1">
      <c r="A667" s="2" t="s">
        <v>1156</v>
      </c>
      <c r="B667" s="2" t="s">
        <v>1157</v>
      </c>
      <c r="C667" s="2" t="s">
        <v>24</v>
      </c>
      <c r="D667" s="2" t="s">
        <v>24</v>
      </c>
      <c r="E667" s="2" t="s">
        <v>666</v>
      </c>
      <c r="F667" s="2" t="s">
        <v>24</v>
      </c>
      <c r="G667" s="2" t="s">
        <v>24</v>
      </c>
      <c r="H667" s="2" t="s">
        <v>1158</v>
      </c>
      <c r="I667" s="2" t="s">
        <v>1156</v>
      </c>
      <c r="J667" s="2" t="s">
        <v>26</v>
      </c>
      <c r="K667" s="2" t="s">
        <v>1159</v>
      </c>
      <c r="L667" s="3">
        <v>46087.0</v>
      </c>
      <c r="M667" s="2" t="s">
        <v>24</v>
      </c>
      <c r="N667" s="2" t="s">
        <v>24</v>
      </c>
      <c r="O667" s="2">
        <v>3.0</v>
      </c>
      <c r="P667" s="2">
        <v>0.0</v>
      </c>
      <c r="Q667" s="2" t="s">
        <v>1160</v>
      </c>
      <c r="R667" s="2" t="s">
        <v>24</v>
      </c>
      <c r="S667" s="2" t="b">
        <f>COUNTIF('Marcas Target'!A:A,dados!$E667)&gt;0</f>
        <v>1</v>
      </c>
    </row>
    <row r="668" ht="15.75" customHeight="1">
      <c r="A668" s="2" t="s">
        <v>1161</v>
      </c>
      <c r="B668" s="2" t="s">
        <v>1162</v>
      </c>
      <c r="C668" s="2" t="s">
        <v>24</v>
      </c>
      <c r="D668" s="2" t="s">
        <v>24</v>
      </c>
      <c r="E668" s="2" t="s">
        <v>1163</v>
      </c>
      <c r="F668" s="2" t="s">
        <v>24</v>
      </c>
      <c r="G668" s="2" t="s">
        <v>24</v>
      </c>
      <c r="H668" s="2" t="s">
        <v>1164</v>
      </c>
      <c r="I668" s="2" t="s">
        <v>1161</v>
      </c>
      <c r="J668" s="2" t="s">
        <v>26</v>
      </c>
      <c r="K668" s="2" t="s">
        <v>1165</v>
      </c>
      <c r="L668" s="3">
        <v>46089.0</v>
      </c>
      <c r="M668" s="2" t="s">
        <v>24</v>
      </c>
      <c r="N668" s="2" t="s">
        <v>24</v>
      </c>
      <c r="O668" s="2">
        <v>22.0</v>
      </c>
      <c r="P668" s="2">
        <v>0.0</v>
      </c>
      <c r="Q668" s="2" t="s">
        <v>1166</v>
      </c>
      <c r="R668" s="2" t="s">
        <v>24</v>
      </c>
      <c r="S668" s="2" t="b">
        <f>COUNTIF('Marcas Target'!A:A,dados!$E668)&gt;0</f>
        <v>0</v>
      </c>
    </row>
    <row r="669" ht="15.75" customHeight="1">
      <c r="A669" s="2" t="s">
        <v>1161</v>
      </c>
      <c r="B669" s="2" t="s">
        <v>1162</v>
      </c>
      <c r="C669" s="2" t="s">
        <v>24</v>
      </c>
      <c r="D669" s="2" t="s">
        <v>24</v>
      </c>
      <c r="E669" s="2" t="s">
        <v>1163</v>
      </c>
      <c r="F669" s="2" t="s">
        <v>24</v>
      </c>
      <c r="G669" s="2" t="s">
        <v>24</v>
      </c>
      <c r="H669" s="2" t="s">
        <v>1164</v>
      </c>
      <c r="I669" s="2" t="s">
        <v>1161</v>
      </c>
      <c r="J669" s="2" t="s">
        <v>26</v>
      </c>
      <c r="K669" s="2" t="s">
        <v>1165</v>
      </c>
      <c r="L669" s="3">
        <v>46088.0</v>
      </c>
      <c r="M669" s="2">
        <v>13.49</v>
      </c>
      <c r="N669" s="2">
        <v>13.49</v>
      </c>
      <c r="O669" s="2">
        <v>24.0</v>
      </c>
      <c r="P669" s="2">
        <v>1.0</v>
      </c>
      <c r="Q669" s="2" t="s">
        <v>1166</v>
      </c>
      <c r="R669" s="2" t="s">
        <v>24</v>
      </c>
      <c r="S669" s="2" t="b">
        <f>COUNTIF('Marcas Target'!A:A,dados!$E669)&gt;0</f>
        <v>0</v>
      </c>
    </row>
    <row r="670" ht="15.75" customHeight="1">
      <c r="A670" s="2" t="s">
        <v>1161</v>
      </c>
      <c r="B670" s="2" t="s">
        <v>1162</v>
      </c>
      <c r="C670" s="2" t="s">
        <v>24</v>
      </c>
      <c r="D670" s="2" t="s">
        <v>24</v>
      </c>
      <c r="E670" s="2" t="s">
        <v>1163</v>
      </c>
      <c r="F670" s="2" t="s">
        <v>24</v>
      </c>
      <c r="G670" s="2" t="s">
        <v>24</v>
      </c>
      <c r="H670" s="2" t="s">
        <v>1164</v>
      </c>
      <c r="I670" s="2" t="s">
        <v>1161</v>
      </c>
      <c r="J670" s="2" t="s">
        <v>26</v>
      </c>
      <c r="K670" s="2" t="s">
        <v>1165</v>
      </c>
      <c r="L670" s="3">
        <v>46087.0</v>
      </c>
      <c r="M670" s="2" t="s">
        <v>24</v>
      </c>
      <c r="N670" s="2" t="s">
        <v>24</v>
      </c>
      <c r="O670" s="2">
        <v>3.0</v>
      </c>
      <c r="P670" s="2">
        <v>0.0</v>
      </c>
      <c r="Q670" s="2" t="s">
        <v>1166</v>
      </c>
      <c r="R670" s="2" t="s">
        <v>24</v>
      </c>
      <c r="S670" s="2" t="b">
        <f>COUNTIF('Marcas Target'!A:A,dados!$E670)&gt;0</f>
        <v>0</v>
      </c>
    </row>
    <row r="671" ht="15.75" customHeight="1">
      <c r="A671" s="2" t="s">
        <v>1167</v>
      </c>
      <c r="B671" s="2" t="s">
        <v>1168</v>
      </c>
      <c r="C671" s="2" t="s">
        <v>24</v>
      </c>
      <c r="D671" s="2" t="s">
        <v>24</v>
      </c>
      <c r="E671" s="2" t="s">
        <v>145</v>
      </c>
      <c r="F671" s="2" t="s">
        <v>24</v>
      </c>
      <c r="G671" s="2" t="s">
        <v>24</v>
      </c>
      <c r="H671" s="2" t="s">
        <v>1169</v>
      </c>
      <c r="I671" s="2" t="s">
        <v>1167</v>
      </c>
      <c r="J671" s="2" t="s">
        <v>26</v>
      </c>
      <c r="K671" s="2" t="s">
        <v>1170</v>
      </c>
      <c r="L671" s="3">
        <v>46089.0</v>
      </c>
      <c r="M671" s="2">
        <v>52.9</v>
      </c>
      <c r="N671" s="2">
        <v>52.9</v>
      </c>
      <c r="O671" s="2">
        <v>22.0</v>
      </c>
      <c r="P671" s="2">
        <v>20.0</v>
      </c>
      <c r="Q671" s="2" t="s">
        <v>1171</v>
      </c>
      <c r="R671" s="2" t="s">
        <v>24</v>
      </c>
      <c r="S671" s="2" t="b">
        <f>COUNTIF('Marcas Target'!A:A,dados!$E671)&gt;0</f>
        <v>1</v>
      </c>
    </row>
    <row r="672" ht="15.75" customHeight="1">
      <c r="A672" s="2" t="s">
        <v>1167</v>
      </c>
      <c r="B672" s="2" t="s">
        <v>1168</v>
      </c>
      <c r="C672" s="2" t="s">
        <v>24</v>
      </c>
      <c r="D672" s="2" t="s">
        <v>24</v>
      </c>
      <c r="E672" s="2" t="s">
        <v>145</v>
      </c>
      <c r="F672" s="2" t="s">
        <v>24</v>
      </c>
      <c r="G672" s="2" t="s">
        <v>24</v>
      </c>
      <c r="H672" s="2" t="s">
        <v>1169</v>
      </c>
      <c r="I672" s="2" t="s">
        <v>1167</v>
      </c>
      <c r="J672" s="2" t="s">
        <v>26</v>
      </c>
      <c r="K672" s="2" t="s">
        <v>1170</v>
      </c>
      <c r="L672" s="3">
        <v>46088.0</v>
      </c>
      <c r="M672" s="2">
        <v>52.9</v>
      </c>
      <c r="N672" s="2">
        <v>52.9</v>
      </c>
      <c r="O672" s="2">
        <v>24.0</v>
      </c>
      <c r="P672" s="2">
        <v>24.0</v>
      </c>
      <c r="Q672" s="2" t="s">
        <v>1171</v>
      </c>
      <c r="R672" s="2" t="s">
        <v>24</v>
      </c>
      <c r="S672" s="2" t="b">
        <f>COUNTIF('Marcas Target'!A:A,dados!$E672)&gt;0</f>
        <v>1</v>
      </c>
    </row>
    <row r="673" ht="15.75" customHeight="1">
      <c r="A673" s="2" t="s">
        <v>1167</v>
      </c>
      <c r="B673" s="2" t="s">
        <v>1168</v>
      </c>
      <c r="C673" s="2" t="s">
        <v>24</v>
      </c>
      <c r="D673" s="2" t="s">
        <v>24</v>
      </c>
      <c r="E673" s="2" t="s">
        <v>145</v>
      </c>
      <c r="F673" s="2" t="s">
        <v>24</v>
      </c>
      <c r="G673" s="2" t="s">
        <v>24</v>
      </c>
      <c r="H673" s="2" t="s">
        <v>1169</v>
      </c>
      <c r="I673" s="2" t="s">
        <v>1167</v>
      </c>
      <c r="J673" s="2" t="s">
        <v>26</v>
      </c>
      <c r="K673" s="2" t="s">
        <v>1170</v>
      </c>
      <c r="L673" s="3">
        <v>46087.0</v>
      </c>
      <c r="M673" s="2">
        <v>52.9</v>
      </c>
      <c r="N673" s="2">
        <v>52.9</v>
      </c>
      <c r="O673" s="2">
        <v>3.0</v>
      </c>
      <c r="P673" s="2">
        <v>2.0</v>
      </c>
      <c r="Q673" s="2" t="s">
        <v>1171</v>
      </c>
      <c r="R673" s="2" t="s">
        <v>24</v>
      </c>
      <c r="S673" s="2" t="b">
        <f>COUNTIF('Marcas Target'!A:A,dados!$E673)&gt;0</f>
        <v>1</v>
      </c>
    </row>
    <row r="674" ht="15.75" customHeight="1">
      <c r="A674" s="2" t="s">
        <v>1172</v>
      </c>
      <c r="B674" s="2" t="s">
        <v>1173</v>
      </c>
      <c r="C674" s="2" t="s">
        <v>24</v>
      </c>
      <c r="D674" s="2" t="s">
        <v>24</v>
      </c>
      <c r="E674" s="2" t="s">
        <v>425</v>
      </c>
      <c r="F674" s="2" t="s">
        <v>24</v>
      </c>
      <c r="G674" s="2" t="s">
        <v>24</v>
      </c>
      <c r="H674" s="2" t="s">
        <v>1174</v>
      </c>
      <c r="I674" s="2" t="s">
        <v>1172</v>
      </c>
      <c r="J674" s="2" t="s">
        <v>26</v>
      </c>
      <c r="K674" s="2" t="s">
        <v>1175</v>
      </c>
      <c r="L674" s="3">
        <v>46089.0</v>
      </c>
      <c r="M674" s="2">
        <v>34.99</v>
      </c>
      <c r="N674" s="2">
        <v>34.99</v>
      </c>
      <c r="O674" s="2">
        <v>22.0</v>
      </c>
      <c r="P674" s="2">
        <v>21.0</v>
      </c>
      <c r="Q674" s="2" t="s">
        <v>1176</v>
      </c>
      <c r="R674" s="2" t="s">
        <v>24</v>
      </c>
      <c r="S674" s="2" t="b">
        <f>COUNTIF('Marcas Target'!A:A,dados!$E674)&gt;0</f>
        <v>0</v>
      </c>
    </row>
    <row r="675" ht="15.75" customHeight="1">
      <c r="A675" s="2" t="s">
        <v>1172</v>
      </c>
      <c r="B675" s="2" t="s">
        <v>1173</v>
      </c>
      <c r="C675" s="2" t="s">
        <v>24</v>
      </c>
      <c r="D675" s="2" t="s">
        <v>24</v>
      </c>
      <c r="E675" s="2" t="s">
        <v>425</v>
      </c>
      <c r="F675" s="2" t="s">
        <v>24</v>
      </c>
      <c r="G675" s="2" t="s">
        <v>24</v>
      </c>
      <c r="H675" s="2" t="s">
        <v>1174</v>
      </c>
      <c r="I675" s="2" t="s">
        <v>1172</v>
      </c>
      <c r="J675" s="2" t="s">
        <v>26</v>
      </c>
      <c r="K675" s="2" t="s">
        <v>1175</v>
      </c>
      <c r="L675" s="3">
        <v>46088.0</v>
      </c>
      <c r="M675" s="2">
        <v>34.99</v>
      </c>
      <c r="N675" s="2">
        <v>34.99</v>
      </c>
      <c r="O675" s="2">
        <v>24.0</v>
      </c>
      <c r="P675" s="2">
        <v>24.0</v>
      </c>
      <c r="Q675" s="2" t="s">
        <v>1176</v>
      </c>
      <c r="R675" s="2" t="s">
        <v>24</v>
      </c>
      <c r="S675" s="2" t="b">
        <f>COUNTIF('Marcas Target'!A:A,dados!$E675)&gt;0</f>
        <v>0</v>
      </c>
    </row>
    <row r="676" ht="15.75" customHeight="1">
      <c r="A676" s="2" t="s">
        <v>1172</v>
      </c>
      <c r="B676" s="2" t="s">
        <v>1173</v>
      </c>
      <c r="C676" s="2" t="s">
        <v>24</v>
      </c>
      <c r="D676" s="2" t="s">
        <v>24</v>
      </c>
      <c r="E676" s="2" t="s">
        <v>425</v>
      </c>
      <c r="F676" s="2" t="s">
        <v>24</v>
      </c>
      <c r="G676" s="2" t="s">
        <v>24</v>
      </c>
      <c r="H676" s="2" t="s">
        <v>1174</v>
      </c>
      <c r="I676" s="2" t="s">
        <v>1172</v>
      </c>
      <c r="J676" s="2" t="s">
        <v>26</v>
      </c>
      <c r="K676" s="2" t="s">
        <v>1175</v>
      </c>
      <c r="L676" s="3">
        <v>46087.0</v>
      </c>
      <c r="M676" s="2">
        <v>34.99</v>
      </c>
      <c r="N676" s="2">
        <v>34.99</v>
      </c>
      <c r="O676" s="2">
        <v>3.0</v>
      </c>
      <c r="P676" s="2">
        <v>3.0</v>
      </c>
      <c r="Q676" s="2" t="s">
        <v>1176</v>
      </c>
      <c r="R676" s="2" t="s">
        <v>24</v>
      </c>
      <c r="S676" s="2" t="b">
        <f>COUNTIF('Marcas Target'!A:A,dados!$E676)&gt;0</f>
        <v>0</v>
      </c>
    </row>
    <row r="677" ht="15.75" customHeight="1">
      <c r="A677" s="2" t="s">
        <v>1177</v>
      </c>
      <c r="B677" s="2" t="s">
        <v>1178</v>
      </c>
      <c r="C677" s="2" t="s">
        <v>24</v>
      </c>
      <c r="D677" s="2" t="s">
        <v>24</v>
      </c>
      <c r="E677" s="2" t="s">
        <v>378</v>
      </c>
      <c r="F677" s="2" t="s">
        <v>24</v>
      </c>
      <c r="G677" s="2" t="s">
        <v>24</v>
      </c>
      <c r="H677" s="2" t="s">
        <v>1179</v>
      </c>
      <c r="I677" s="2" t="s">
        <v>1177</v>
      </c>
      <c r="J677" s="2" t="s">
        <v>26</v>
      </c>
      <c r="K677" s="2" t="s">
        <v>1180</v>
      </c>
      <c r="L677" s="3">
        <v>46089.0</v>
      </c>
      <c r="M677" s="2">
        <v>29.99</v>
      </c>
      <c r="N677" s="2">
        <v>29.99</v>
      </c>
      <c r="O677" s="2">
        <v>22.0</v>
      </c>
      <c r="P677" s="2">
        <v>21.0</v>
      </c>
      <c r="Q677" s="2" t="s">
        <v>1181</v>
      </c>
      <c r="R677" s="2" t="s">
        <v>24</v>
      </c>
      <c r="S677" s="2" t="b">
        <f>COUNTIF('Marcas Target'!A:A,dados!$E677)&gt;0</f>
        <v>0</v>
      </c>
    </row>
    <row r="678" ht="15.75" customHeight="1">
      <c r="A678" s="2" t="s">
        <v>1177</v>
      </c>
      <c r="B678" s="2" t="s">
        <v>1178</v>
      </c>
      <c r="C678" s="2" t="s">
        <v>24</v>
      </c>
      <c r="D678" s="2" t="s">
        <v>24</v>
      </c>
      <c r="E678" s="2" t="s">
        <v>378</v>
      </c>
      <c r="F678" s="2" t="s">
        <v>24</v>
      </c>
      <c r="G678" s="2" t="s">
        <v>24</v>
      </c>
      <c r="H678" s="2" t="s">
        <v>1179</v>
      </c>
      <c r="I678" s="2" t="s">
        <v>1177</v>
      </c>
      <c r="J678" s="2" t="s">
        <v>26</v>
      </c>
      <c r="K678" s="2" t="s">
        <v>1180</v>
      </c>
      <c r="L678" s="3">
        <v>46088.0</v>
      </c>
      <c r="M678" s="2">
        <v>29.99</v>
      </c>
      <c r="N678" s="2">
        <v>29.99</v>
      </c>
      <c r="O678" s="2">
        <v>24.0</v>
      </c>
      <c r="P678" s="2">
        <v>18.0</v>
      </c>
      <c r="Q678" s="2" t="s">
        <v>1181</v>
      </c>
      <c r="R678" s="2" t="s">
        <v>24</v>
      </c>
      <c r="S678" s="2" t="b">
        <f>COUNTIF('Marcas Target'!A:A,dados!$E678)&gt;0</f>
        <v>0</v>
      </c>
    </row>
    <row r="679" ht="15.75" customHeight="1">
      <c r="A679" s="2" t="s">
        <v>1177</v>
      </c>
      <c r="B679" s="2" t="s">
        <v>1178</v>
      </c>
      <c r="C679" s="2" t="s">
        <v>24</v>
      </c>
      <c r="D679" s="2" t="s">
        <v>24</v>
      </c>
      <c r="E679" s="2" t="s">
        <v>378</v>
      </c>
      <c r="F679" s="2" t="s">
        <v>24</v>
      </c>
      <c r="G679" s="2" t="s">
        <v>24</v>
      </c>
      <c r="H679" s="2" t="s">
        <v>1179</v>
      </c>
      <c r="I679" s="2" t="s">
        <v>1177</v>
      </c>
      <c r="J679" s="2" t="s">
        <v>26</v>
      </c>
      <c r="K679" s="2" t="s">
        <v>1180</v>
      </c>
      <c r="L679" s="3">
        <v>46087.0</v>
      </c>
      <c r="M679" s="2">
        <v>29.99</v>
      </c>
      <c r="N679" s="2">
        <v>29.99</v>
      </c>
      <c r="O679" s="2">
        <v>3.0</v>
      </c>
      <c r="P679" s="2">
        <v>3.0</v>
      </c>
      <c r="Q679" s="2" t="s">
        <v>1181</v>
      </c>
      <c r="R679" s="2" t="s">
        <v>24</v>
      </c>
      <c r="S679" s="2" t="b">
        <f>COUNTIF('Marcas Target'!A:A,dados!$E679)&gt;0</f>
        <v>0</v>
      </c>
    </row>
    <row r="680" ht="15.75" customHeight="1">
      <c r="A680" s="2" t="s">
        <v>1182</v>
      </c>
      <c r="B680" s="2" t="s">
        <v>1183</v>
      </c>
      <c r="C680" s="2" t="s">
        <v>24</v>
      </c>
      <c r="D680" s="2" t="s">
        <v>24</v>
      </c>
      <c r="E680" s="2" t="s">
        <v>227</v>
      </c>
      <c r="F680" s="2" t="s">
        <v>24</v>
      </c>
      <c r="G680" s="2" t="s">
        <v>24</v>
      </c>
      <c r="H680" s="2" t="s">
        <v>1184</v>
      </c>
      <c r="I680" s="2" t="s">
        <v>1182</v>
      </c>
      <c r="J680" s="2" t="s">
        <v>26</v>
      </c>
      <c r="K680" s="2" t="s">
        <v>1185</v>
      </c>
      <c r="L680" s="3">
        <v>46089.0</v>
      </c>
      <c r="M680" s="2">
        <v>7.39</v>
      </c>
      <c r="N680" s="2">
        <v>7.39</v>
      </c>
      <c r="O680" s="2">
        <v>23.0</v>
      </c>
      <c r="P680" s="2">
        <v>23.0</v>
      </c>
      <c r="Q680" s="2" t="s">
        <v>1186</v>
      </c>
      <c r="R680" s="2" t="s">
        <v>24</v>
      </c>
      <c r="S680" s="2" t="b">
        <f>COUNTIF('Marcas Target'!A:A,dados!$E680)&gt;0</f>
        <v>0</v>
      </c>
    </row>
    <row r="681" ht="15.75" customHeight="1">
      <c r="A681" s="2" t="s">
        <v>1182</v>
      </c>
      <c r="B681" s="2" t="s">
        <v>1183</v>
      </c>
      <c r="C681" s="2" t="s">
        <v>24</v>
      </c>
      <c r="D681" s="2" t="s">
        <v>24</v>
      </c>
      <c r="E681" s="2" t="s">
        <v>227</v>
      </c>
      <c r="F681" s="2" t="s">
        <v>24</v>
      </c>
      <c r="G681" s="2" t="s">
        <v>24</v>
      </c>
      <c r="H681" s="2" t="s">
        <v>1184</v>
      </c>
      <c r="I681" s="2" t="s">
        <v>1182</v>
      </c>
      <c r="J681" s="2" t="s">
        <v>26</v>
      </c>
      <c r="K681" s="2" t="s">
        <v>1185</v>
      </c>
      <c r="L681" s="3">
        <v>46088.0</v>
      </c>
      <c r="M681" s="2">
        <v>7.39</v>
      </c>
      <c r="N681" s="2">
        <v>7.39</v>
      </c>
      <c r="O681" s="2">
        <v>24.0</v>
      </c>
      <c r="P681" s="2">
        <v>24.0</v>
      </c>
      <c r="Q681" s="2" t="s">
        <v>1186</v>
      </c>
      <c r="R681" s="2" t="s">
        <v>24</v>
      </c>
      <c r="S681" s="2" t="b">
        <f>COUNTIF('Marcas Target'!A:A,dados!$E681)&gt;0</f>
        <v>0</v>
      </c>
    </row>
    <row r="682" ht="15.75" customHeight="1">
      <c r="A682" s="2" t="s">
        <v>1182</v>
      </c>
      <c r="B682" s="2" t="s">
        <v>1183</v>
      </c>
      <c r="C682" s="2" t="s">
        <v>24</v>
      </c>
      <c r="D682" s="2" t="s">
        <v>24</v>
      </c>
      <c r="E682" s="2" t="s">
        <v>227</v>
      </c>
      <c r="F682" s="2" t="s">
        <v>24</v>
      </c>
      <c r="G682" s="2" t="s">
        <v>24</v>
      </c>
      <c r="H682" s="2" t="s">
        <v>1184</v>
      </c>
      <c r="I682" s="2" t="s">
        <v>1182</v>
      </c>
      <c r="J682" s="2" t="s">
        <v>26</v>
      </c>
      <c r="K682" s="2" t="s">
        <v>1185</v>
      </c>
      <c r="L682" s="3">
        <v>46087.0</v>
      </c>
      <c r="M682" s="2">
        <v>7.39</v>
      </c>
      <c r="N682" s="2">
        <v>7.39</v>
      </c>
      <c r="O682" s="2">
        <v>3.0</v>
      </c>
      <c r="P682" s="2">
        <v>2.0</v>
      </c>
      <c r="Q682" s="2" t="s">
        <v>1186</v>
      </c>
      <c r="R682" s="2" t="s">
        <v>24</v>
      </c>
      <c r="S682" s="2" t="b">
        <f>COUNTIF('Marcas Target'!A:A,dados!$E682)&gt;0</f>
        <v>0</v>
      </c>
    </row>
    <row r="683" ht="15.75" customHeight="1">
      <c r="A683" s="2" t="s">
        <v>1187</v>
      </c>
      <c r="B683" s="2" t="s">
        <v>1188</v>
      </c>
      <c r="C683" s="2" t="s">
        <v>24</v>
      </c>
      <c r="D683" s="2" t="s">
        <v>24</v>
      </c>
      <c r="E683" s="2" t="s">
        <v>1189</v>
      </c>
      <c r="F683" s="2" t="s">
        <v>24</v>
      </c>
      <c r="G683" s="2" t="s">
        <v>24</v>
      </c>
      <c r="H683" s="2" t="s">
        <v>1190</v>
      </c>
      <c r="I683" s="2" t="s">
        <v>1187</v>
      </c>
      <c r="J683" s="2" t="s">
        <v>26</v>
      </c>
      <c r="K683" s="2" t="s">
        <v>1191</v>
      </c>
      <c r="L683" s="3">
        <v>46089.0</v>
      </c>
      <c r="M683" s="2">
        <v>16.99</v>
      </c>
      <c r="N683" s="2">
        <v>16.99</v>
      </c>
      <c r="O683" s="2">
        <v>22.0</v>
      </c>
      <c r="P683" s="2">
        <v>14.0</v>
      </c>
      <c r="Q683" s="2" t="s">
        <v>1192</v>
      </c>
      <c r="R683" s="2" t="s">
        <v>24</v>
      </c>
      <c r="S683" s="2" t="b">
        <f>COUNTIF('Marcas Target'!A:A,dados!$E683)&gt;0</f>
        <v>0</v>
      </c>
    </row>
    <row r="684" ht="15.75" customHeight="1">
      <c r="A684" s="2" t="s">
        <v>1187</v>
      </c>
      <c r="B684" s="2" t="s">
        <v>1188</v>
      </c>
      <c r="C684" s="2" t="s">
        <v>24</v>
      </c>
      <c r="D684" s="2" t="s">
        <v>24</v>
      </c>
      <c r="E684" s="2" t="s">
        <v>1189</v>
      </c>
      <c r="F684" s="2" t="s">
        <v>24</v>
      </c>
      <c r="G684" s="2" t="s">
        <v>24</v>
      </c>
      <c r="H684" s="2" t="s">
        <v>1190</v>
      </c>
      <c r="I684" s="2" t="s">
        <v>1187</v>
      </c>
      <c r="J684" s="2" t="s">
        <v>26</v>
      </c>
      <c r="K684" s="2" t="s">
        <v>1191</v>
      </c>
      <c r="L684" s="3">
        <v>46088.0</v>
      </c>
      <c r="M684" s="2">
        <v>16.99</v>
      </c>
      <c r="N684" s="2">
        <v>16.99</v>
      </c>
      <c r="O684" s="2">
        <v>24.0</v>
      </c>
      <c r="P684" s="2">
        <v>24.0</v>
      </c>
      <c r="Q684" s="2" t="s">
        <v>1192</v>
      </c>
      <c r="R684" s="2" t="s">
        <v>24</v>
      </c>
      <c r="S684" s="2" t="b">
        <f>COUNTIF('Marcas Target'!A:A,dados!$E684)&gt;0</f>
        <v>0</v>
      </c>
    </row>
    <row r="685" ht="15.75" customHeight="1">
      <c r="A685" s="2" t="s">
        <v>1187</v>
      </c>
      <c r="B685" s="2" t="s">
        <v>1188</v>
      </c>
      <c r="C685" s="2" t="s">
        <v>24</v>
      </c>
      <c r="D685" s="2" t="s">
        <v>24</v>
      </c>
      <c r="E685" s="2" t="s">
        <v>1189</v>
      </c>
      <c r="F685" s="2" t="s">
        <v>24</v>
      </c>
      <c r="G685" s="2" t="s">
        <v>24</v>
      </c>
      <c r="H685" s="2" t="s">
        <v>1190</v>
      </c>
      <c r="I685" s="2" t="s">
        <v>1187</v>
      </c>
      <c r="J685" s="2" t="s">
        <v>26</v>
      </c>
      <c r="K685" s="2" t="s">
        <v>1191</v>
      </c>
      <c r="L685" s="3">
        <v>46087.0</v>
      </c>
      <c r="M685" s="2">
        <v>16.99</v>
      </c>
      <c r="N685" s="2">
        <v>16.99</v>
      </c>
      <c r="O685" s="2">
        <v>3.0</v>
      </c>
      <c r="P685" s="2">
        <v>2.0</v>
      </c>
      <c r="Q685" s="2" t="s">
        <v>1192</v>
      </c>
      <c r="R685" s="2" t="s">
        <v>24</v>
      </c>
      <c r="S685" s="2" t="b">
        <f>COUNTIF('Marcas Target'!A:A,dados!$E685)&gt;0</f>
        <v>0</v>
      </c>
    </row>
    <row r="686" ht="15.75" customHeight="1">
      <c r="A686" s="2" t="s">
        <v>1193</v>
      </c>
      <c r="B686" s="2" t="s">
        <v>1194</v>
      </c>
      <c r="C686" s="2" t="s">
        <v>24</v>
      </c>
      <c r="D686" s="2" t="s">
        <v>24</v>
      </c>
      <c r="E686" s="2" t="s">
        <v>425</v>
      </c>
      <c r="F686" s="2" t="s">
        <v>24</v>
      </c>
      <c r="G686" s="2" t="s">
        <v>24</v>
      </c>
      <c r="H686" s="2" t="s">
        <v>1195</v>
      </c>
      <c r="I686" s="2" t="s">
        <v>1193</v>
      </c>
      <c r="J686" s="2" t="s">
        <v>26</v>
      </c>
      <c r="K686" s="2" t="s">
        <v>1196</v>
      </c>
      <c r="L686" s="3">
        <v>46089.0</v>
      </c>
      <c r="M686" s="2">
        <v>21.99</v>
      </c>
      <c r="N686" s="2">
        <v>21.99</v>
      </c>
      <c r="O686" s="2">
        <v>22.0</v>
      </c>
      <c r="P686" s="2">
        <v>7.0</v>
      </c>
      <c r="Q686" s="2" t="s">
        <v>1197</v>
      </c>
      <c r="R686" s="2" t="s">
        <v>24</v>
      </c>
      <c r="S686" s="2" t="b">
        <f>COUNTIF('Marcas Target'!A:A,dados!$E686)&gt;0</f>
        <v>0</v>
      </c>
    </row>
    <row r="687" ht="15.75" customHeight="1">
      <c r="A687" s="2" t="s">
        <v>1193</v>
      </c>
      <c r="B687" s="2" t="s">
        <v>1194</v>
      </c>
      <c r="C687" s="2" t="s">
        <v>24</v>
      </c>
      <c r="D687" s="2" t="s">
        <v>24</v>
      </c>
      <c r="E687" s="2" t="s">
        <v>425</v>
      </c>
      <c r="F687" s="2" t="s">
        <v>24</v>
      </c>
      <c r="G687" s="2" t="s">
        <v>24</v>
      </c>
      <c r="H687" s="2" t="s">
        <v>1195</v>
      </c>
      <c r="I687" s="2" t="s">
        <v>1193</v>
      </c>
      <c r="J687" s="2" t="s">
        <v>26</v>
      </c>
      <c r="K687" s="2" t="s">
        <v>1196</v>
      </c>
      <c r="L687" s="3">
        <v>46088.0</v>
      </c>
      <c r="M687" s="2">
        <v>21.99</v>
      </c>
      <c r="N687" s="2">
        <v>21.99</v>
      </c>
      <c r="O687" s="2">
        <v>24.0</v>
      </c>
      <c r="P687" s="2">
        <v>20.0</v>
      </c>
      <c r="Q687" s="2" t="s">
        <v>1197</v>
      </c>
      <c r="R687" s="2" t="s">
        <v>24</v>
      </c>
      <c r="S687" s="2" t="b">
        <f>COUNTIF('Marcas Target'!A:A,dados!$E687)&gt;0</f>
        <v>0</v>
      </c>
    </row>
    <row r="688" ht="15.75" customHeight="1">
      <c r="A688" s="2" t="s">
        <v>1193</v>
      </c>
      <c r="B688" s="2" t="s">
        <v>1194</v>
      </c>
      <c r="C688" s="2" t="s">
        <v>24</v>
      </c>
      <c r="D688" s="2" t="s">
        <v>24</v>
      </c>
      <c r="E688" s="2" t="s">
        <v>425</v>
      </c>
      <c r="F688" s="2" t="s">
        <v>24</v>
      </c>
      <c r="G688" s="2" t="s">
        <v>24</v>
      </c>
      <c r="H688" s="2" t="s">
        <v>1195</v>
      </c>
      <c r="I688" s="2" t="s">
        <v>1193</v>
      </c>
      <c r="J688" s="2" t="s">
        <v>26</v>
      </c>
      <c r="K688" s="2" t="s">
        <v>1196</v>
      </c>
      <c r="L688" s="3">
        <v>46087.0</v>
      </c>
      <c r="M688" s="2">
        <v>21.99</v>
      </c>
      <c r="N688" s="2">
        <v>21.99</v>
      </c>
      <c r="O688" s="2">
        <v>3.0</v>
      </c>
      <c r="P688" s="2">
        <v>2.0</v>
      </c>
      <c r="Q688" s="2" t="s">
        <v>1197</v>
      </c>
      <c r="R688" s="2" t="s">
        <v>24</v>
      </c>
      <c r="S688" s="2" t="b">
        <f>COUNTIF('Marcas Target'!A:A,dados!$E688)&gt;0</f>
        <v>0</v>
      </c>
    </row>
    <row r="689" ht="15.75" customHeight="1">
      <c r="A689" s="2" t="s">
        <v>1198</v>
      </c>
      <c r="B689" s="2" t="s">
        <v>1199</v>
      </c>
      <c r="C689" s="2" t="s">
        <v>24</v>
      </c>
      <c r="D689" s="2" t="s">
        <v>24</v>
      </c>
      <c r="E689" s="2" t="s">
        <v>106</v>
      </c>
      <c r="F689" s="2" t="s">
        <v>24</v>
      </c>
      <c r="G689" s="2" t="s">
        <v>24</v>
      </c>
      <c r="H689" s="2" t="s">
        <v>1200</v>
      </c>
      <c r="I689" s="2" t="s">
        <v>1198</v>
      </c>
      <c r="J689" s="2" t="s">
        <v>26</v>
      </c>
      <c r="K689" s="2" t="s">
        <v>1201</v>
      </c>
      <c r="L689" s="3">
        <v>46089.0</v>
      </c>
      <c r="M689" s="2">
        <v>16.99</v>
      </c>
      <c r="N689" s="2">
        <v>16.99</v>
      </c>
      <c r="O689" s="2">
        <v>22.0</v>
      </c>
      <c r="P689" s="2">
        <v>1.0</v>
      </c>
      <c r="Q689" s="2" t="s">
        <v>1202</v>
      </c>
      <c r="R689" s="2" t="s">
        <v>24</v>
      </c>
      <c r="S689" s="2" t="b">
        <f>COUNTIF('Marcas Target'!A:A,dados!$E689)&gt;0</f>
        <v>0</v>
      </c>
    </row>
    <row r="690" ht="15.75" customHeight="1">
      <c r="A690" s="2" t="s">
        <v>1198</v>
      </c>
      <c r="B690" s="2" t="s">
        <v>1199</v>
      </c>
      <c r="C690" s="2" t="s">
        <v>24</v>
      </c>
      <c r="D690" s="2" t="s">
        <v>24</v>
      </c>
      <c r="E690" s="2" t="s">
        <v>106</v>
      </c>
      <c r="F690" s="2" t="s">
        <v>24</v>
      </c>
      <c r="G690" s="2" t="s">
        <v>24</v>
      </c>
      <c r="H690" s="2" t="s">
        <v>1200</v>
      </c>
      <c r="I690" s="2" t="s">
        <v>1198</v>
      </c>
      <c r="J690" s="2" t="s">
        <v>26</v>
      </c>
      <c r="K690" s="2" t="s">
        <v>1201</v>
      </c>
      <c r="L690" s="3">
        <v>46088.0</v>
      </c>
      <c r="M690" s="2" t="s">
        <v>24</v>
      </c>
      <c r="N690" s="2" t="s">
        <v>24</v>
      </c>
      <c r="O690" s="2">
        <v>24.0</v>
      </c>
      <c r="P690" s="2">
        <v>0.0</v>
      </c>
      <c r="Q690" s="2" t="s">
        <v>1202</v>
      </c>
      <c r="R690" s="2" t="s">
        <v>24</v>
      </c>
      <c r="S690" s="2" t="b">
        <f>COUNTIF('Marcas Target'!A:A,dados!$E690)&gt;0</f>
        <v>0</v>
      </c>
    </row>
    <row r="691" ht="15.75" customHeight="1">
      <c r="A691" s="2" t="s">
        <v>1198</v>
      </c>
      <c r="B691" s="2" t="s">
        <v>1199</v>
      </c>
      <c r="C691" s="2" t="s">
        <v>24</v>
      </c>
      <c r="D691" s="2" t="s">
        <v>24</v>
      </c>
      <c r="E691" s="2" t="s">
        <v>106</v>
      </c>
      <c r="F691" s="2" t="s">
        <v>24</v>
      </c>
      <c r="G691" s="2" t="s">
        <v>24</v>
      </c>
      <c r="H691" s="2" t="s">
        <v>1200</v>
      </c>
      <c r="I691" s="2" t="s">
        <v>1198</v>
      </c>
      <c r="J691" s="2" t="s">
        <v>26</v>
      </c>
      <c r="K691" s="2" t="s">
        <v>1201</v>
      </c>
      <c r="L691" s="3">
        <v>46087.0</v>
      </c>
      <c r="M691" s="2" t="s">
        <v>24</v>
      </c>
      <c r="N691" s="2" t="s">
        <v>24</v>
      </c>
      <c r="O691" s="2">
        <v>3.0</v>
      </c>
      <c r="P691" s="2">
        <v>0.0</v>
      </c>
      <c r="Q691" s="2" t="s">
        <v>1202</v>
      </c>
      <c r="R691" s="2" t="s">
        <v>24</v>
      </c>
      <c r="S691" s="2" t="b">
        <f>COUNTIF('Marcas Target'!A:A,dados!$E691)&gt;0</f>
        <v>0</v>
      </c>
    </row>
    <row r="692" ht="15.75" customHeight="1">
      <c r="A692" s="2" t="s">
        <v>1203</v>
      </c>
      <c r="B692" s="2" t="s">
        <v>1204</v>
      </c>
      <c r="C692" s="2" t="s">
        <v>24</v>
      </c>
      <c r="D692" s="2" t="s">
        <v>24</v>
      </c>
      <c r="E692" s="2" t="s">
        <v>128</v>
      </c>
      <c r="F692" s="2" t="s">
        <v>24</v>
      </c>
      <c r="G692" s="2" t="s">
        <v>24</v>
      </c>
      <c r="H692" s="2" t="s">
        <v>1205</v>
      </c>
      <c r="I692" s="2" t="s">
        <v>1203</v>
      </c>
      <c r="J692" s="2" t="s">
        <v>26</v>
      </c>
      <c r="K692" s="2" t="s">
        <v>1206</v>
      </c>
      <c r="L692" s="3">
        <v>46089.0</v>
      </c>
      <c r="M692" s="2">
        <v>21.44</v>
      </c>
      <c r="N692" s="2">
        <v>21.44</v>
      </c>
      <c r="O692" s="2">
        <v>22.0</v>
      </c>
      <c r="P692" s="2">
        <v>18.0</v>
      </c>
      <c r="Q692" s="2" t="s">
        <v>1207</v>
      </c>
      <c r="R692" s="2" t="s">
        <v>24</v>
      </c>
      <c r="S692" s="2" t="b">
        <f>COUNTIF('Marcas Target'!A:A,dados!$E692)&gt;0</f>
        <v>1</v>
      </c>
    </row>
    <row r="693" ht="15.75" customHeight="1">
      <c r="A693" s="2" t="s">
        <v>1203</v>
      </c>
      <c r="B693" s="2" t="s">
        <v>1204</v>
      </c>
      <c r="C693" s="2" t="s">
        <v>24</v>
      </c>
      <c r="D693" s="2" t="s">
        <v>24</v>
      </c>
      <c r="E693" s="2" t="s">
        <v>128</v>
      </c>
      <c r="F693" s="2" t="s">
        <v>24</v>
      </c>
      <c r="G693" s="2" t="s">
        <v>24</v>
      </c>
      <c r="H693" s="2" t="s">
        <v>1205</v>
      </c>
      <c r="I693" s="2" t="s">
        <v>1203</v>
      </c>
      <c r="J693" s="2" t="s">
        <v>26</v>
      </c>
      <c r="K693" s="2" t="s">
        <v>1206</v>
      </c>
      <c r="L693" s="3">
        <v>46088.0</v>
      </c>
      <c r="M693" s="2">
        <v>29.52</v>
      </c>
      <c r="N693" s="2">
        <v>29.52</v>
      </c>
      <c r="O693" s="2">
        <v>24.0</v>
      </c>
      <c r="P693" s="2">
        <v>20.0</v>
      </c>
      <c r="Q693" s="2" t="s">
        <v>1207</v>
      </c>
      <c r="R693" s="2" t="s">
        <v>24</v>
      </c>
      <c r="S693" s="2" t="b">
        <f>COUNTIF('Marcas Target'!A:A,dados!$E693)&gt;0</f>
        <v>1</v>
      </c>
    </row>
    <row r="694" ht="15.75" customHeight="1">
      <c r="A694" s="2" t="s">
        <v>1203</v>
      </c>
      <c r="B694" s="2" t="s">
        <v>1204</v>
      </c>
      <c r="C694" s="2" t="s">
        <v>24</v>
      </c>
      <c r="D694" s="2" t="s">
        <v>24</v>
      </c>
      <c r="E694" s="2" t="s">
        <v>128</v>
      </c>
      <c r="F694" s="2" t="s">
        <v>24</v>
      </c>
      <c r="G694" s="2" t="s">
        <v>24</v>
      </c>
      <c r="H694" s="2" t="s">
        <v>1205</v>
      </c>
      <c r="I694" s="2" t="s">
        <v>1203</v>
      </c>
      <c r="J694" s="2" t="s">
        <v>26</v>
      </c>
      <c r="K694" s="2" t="s">
        <v>1206</v>
      </c>
      <c r="L694" s="3">
        <v>46087.0</v>
      </c>
      <c r="M694" s="2">
        <v>21.44</v>
      </c>
      <c r="N694" s="2">
        <v>21.44</v>
      </c>
      <c r="O694" s="2">
        <v>3.0</v>
      </c>
      <c r="P694" s="2">
        <v>3.0</v>
      </c>
      <c r="Q694" s="2" t="s">
        <v>1207</v>
      </c>
      <c r="R694" s="2" t="s">
        <v>24</v>
      </c>
      <c r="S694" s="2" t="b">
        <f>COUNTIF('Marcas Target'!A:A,dados!$E694)&gt;0</f>
        <v>1</v>
      </c>
    </row>
    <row r="695" ht="15.75" customHeight="1">
      <c r="A695" s="2" t="s">
        <v>1208</v>
      </c>
      <c r="B695" s="2" t="s">
        <v>1209</v>
      </c>
      <c r="C695" s="2" t="s">
        <v>24</v>
      </c>
      <c r="D695" s="2" t="s">
        <v>24</v>
      </c>
      <c r="E695" s="2" t="s">
        <v>980</v>
      </c>
      <c r="F695" s="2" t="s">
        <v>24</v>
      </c>
      <c r="G695" s="2" t="s">
        <v>24</v>
      </c>
      <c r="H695" s="2" t="s">
        <v>1210</v>
      </c>
      <c r="I695" s="2" t="s">
        <v>1208</v>
      </c>
      <c r="J695" s="2" t="s">
        <v>26</v>
      </c>
      <c r="K695" s="2" t="s">
        <v>1211</v>
      </c>
      <c r="L695" s="3">
        <v>46089.0</v>
      </c>
      <c r="M695" s="2">
        <v>23.99</v>
      </c>
      <c r="N695" s="2">
        <v>23.99</v>
      </c>
      <c r="O695" s="2">
        <v>22.0</v>
      </c>
      <c r="P695" s="2">
        <v>21.0</v>
      </c>
      <c r="Q695" s="2" t="s">
        <v>1212</v>
      </c>
      <c r="R695" s="2" t="s">
        <v>24</v>
      </c>
      <c r="S695" s="2" t="b">
        <f>COUNTIF('Marcas Target'!A:A,dados!$E695)&gt;0</f>
        <v>1</v>
      </c>
    </row>
    <row r="696" ht="15.75" customHeight="1">
      <c r="A696" s="2" t="s">
        <v>1208</v>
      </c>
      <c r="B696" s="2" t="s">
        <v>1209</v>
      </c>
      <c r="C696" s="2" t="s">
        <v>24</v>
      </c>
      <c r="D696" s="2" t="s">
        <v>24</v>
      </c>
      <c r="E696" s="2" t="s">
        <v>980</v>
      </c>
      <c r="F696" s="2" t="s">
        <v>24</v>
      </c>
      <c r="G696" s="2" t="s">
        <v>24</v>
      </c>
      <c r="H696" s="2" t="s">
        <v>1210</v>
      </c>
      <c r="I696" s="2" t="s">
        <v>1208</v>
      </c>
      <c r="J696" s="2" t="s">
        <v>26</v>
      </c>
      <c r="K696" s="2" t="s">
        <v>1211</v>
      </c>
      <c r="L696" s="3">
        <v>46088.0</v>
      </c>
      <c r="M696" s="2">
        <v>23.99</v>
      </c>
      <c r="N696" s="2">
        <v>23.99</v>
      </c>
      <c r="O696" s="2">
        <v>24.0</v>
      </c>
      <c r="P696" s="2">
        <v>22.0</v>
      </c>
      <c r="Q696" s="2" t="s">
        <v>1212</v>
      </c>
      <c r="R696" s="2" t="s">
        <v>24</v>
      </c>
      <c r="S696" s="2" t="b">
        <f>COUNTIF('Marcas Target'!A:A,dados!$E696)&gt;0</f>
        <v>1</v>
      </c>
    </row>
    <row r="697" ht="15.75" customHeight="1">
      <c r="A697" s="2" t="s">
        <v>1208</v>
      </c>
      <c r="B697" s="2" t="s">
        <v>1209</v>
      </c>
      <c r="C697" s="2" t="s">
        <v>24</v>
      </c>
      <c r="D697" s="2" t="s">
        <v>24</v>
      </c>
      <c r="E697" s="2" t="s">
        <v>980</v>
      </c>
      <c r="F697" s="2" t="s">
        <v>24</v>
      </c>
      <c r="G697" s="2" t="s">
        <v>24</v>
      </c>
      <c r="H697" s="2" t="s">
        <v>1210</v>
      </c>
      <c r="I697" s="2" t="s">
        <v>1208</v>
      </c>
      <c r="J697" s="2" t="s">
        <v>26</v>
      </c>
      <c r="K697" s="2" t="s">
        <v>1211</v>
      </c>
      <c r="L697" s="3">
        <v>46087.0</v>
      </c>
      <c r="M697" s="2">
        <v>23.99</v>
      </c>
      <c r="N697" s="2">
        <v>23.99</v>
      </c>
      <c r="O697" s="2">
        <v>3.0</v>
      </c>
      <c r="P697" s="2">
        <v>2.0</v>
      </c>
      <c r="Q697" s="2" t="s">
        <v>1212</v>
      </c>
      <c r="R697" s="2" t="s">
        <v>24</v>
      </c>
      <c r="S697" s="2" t="b">
        <f>COUNTIF('Marcas Target'!A:A,dados!$E697)&gt;0</f>
        <v>1</v>
      </c>
    </row>
    <row r="698" ht="15.75" customHeight="1">
      <c r="A698" s="2" t="s">
        <v>1213</v>
      </c>
      <c r="B698" s="2" t="s">
        <v>1214</v>
      </c>
      <c r="C698" s="2" t="s">
        <v>24</v>
      </c>
      <c r="D698" s="2" t="s">
        <v>24</v>
      </c>
      <c r="E698" s="2" t="s">
        <v>425</v>
      </c>
      <c r="F698" s="2" t="s">
        <v>24</v>
      </c>
      <c r="G698" s="2" t="s">
        <v>24</v>
      </c>
      <c r="H698" s="2" t="s">
        <v>1215</v>
      </c>
      <c r="I698" s="2" t="s">
        <v>1213</v>
      </c>
      <c r="J698" s="2" t="s">
        <v>26</v>
      </c>
      <c r="K698" s="2" t="s">
        <v>1216</v>
      </c>
      <c r="L698" s="3">
        <v>46089.0</v>
      </c>
      <c r="M698" s="2">
        <v>21.99</v>
      </c>
      <c r="N698" s="2">
        <v>21.99</v>
      </c>
      <c r="O698" s="2">
        <v>22.0</v>
      </c>
      <c r="P698" s="2">
        <v>21.0</v>
      </c>
      <c r="Q698" s="2" t="s">
        <v>1217</v>
      </c>
      <c r="R698" s="2" t="s">
        <v>24</v>
      </c>
      <c r="S698" s="2" t="b">
        <f>COUNTIF('Marcas Target'!A:A,dados!$E698)&gt;0</f>
        <v>0</v>
      </c>
    </row>
    <row r="699" ht="15.75" customHeight="1">
      <c r="A699" s="2" t="s">
        <v>1213</v>
      </c>
      <c r="B699" s="2" t="s">
        <v>1214</v>
      </c>
      <c r="C699" s="2" t="s">
        <v>24</v>
      </c>
      <c r="D699" s="2" t="s">
        <v>24</v>
      </c>
      <c r="E699" s="2" t="s">
        <v>425</v>
      </c>
      <c r="F699" s="2" t="s">
        <v>24</v>
      </c>
      <c r="G699" s="2" t="s">
        <v>24</v>
      </c>
      <c r="H699" s="2" t="s">
        <v>1215</v>
      </c>
      <c r="I699" s="2" t="s">
        <v>1213</v>
      </c>
      <c r="J699" s="2" t="s">
        <v>26</v>
      </c>
      <c r="K699" s="2" t="s">
        <v>1216</v>
      </c>
      <c r="L699" s="3">
        <v>46088.0</v>
      </c>
      <c r="M699" s="2">
        <v>21.99</v>
      </c>
      <c r="N699" s="2">
        <v>21.99</v>
      </c>
      <c r="O699" s="2">
        <v>24.0</v>
      </c>
      <c r="P699" s="2">
        <v>24.0</v>
      </c>
      <c r="Q699" s="2" t="s">
        <v>1217</v>
      </c>
      <c r="R699" s="2" t="s">
        <v>24</v>
      </c>
      <c r="S699" s="2" t="b">
        <f>COUNTIF('Marcas Target'!A:A,dados!$E699)&gt;0</f>
        <v>0</v>
      </c>
    </row>
    <row r="700" ht="15.75" customHeight="1">
      <c r="A700" s="2" t="s">
        <v>1213</v>
      </c>
      <c r="B700" s="2" t="s">
        <v>1214</v>
      </c>
      <c r="C700" s="2" t="s">
        <v>24</v>
      </c>
      <c r="D700" s="2" t="s">
        <v>24</v>
      </c>
      <c r="E700" s="2" t="s">
        <v>425</v>
      </c>
      <c r="F700" s="2" t="s">
        <v>24</v>
      </c>
      <c r="G700" s="2" t="s">
        <v>24</v>
      </c>
      <c r="H700" s="2" t="s">
        <v>1215</v>
      </c>
      <c r="I700" s="2" t="s">
        <v>1213</v>
      </c>
      <c r="J700" s="2" t="s">
        <v>26</v>
      </c>
      <c r="K700" s="2" t="s">
        <v>1216</v>
      </c>
      <c r="L700" s="3">
        <v>46087.0</v>
      </c>
      <c r="M700" s="2">
        <v>21.99</v>
      </c>
      <c r="N700" s="2">
        <v>21.99</v>
      </c>
      <c r="O700" s="2">
        <v>3.0</v>
      </c>
      <c r="P700" s="2">
        <v>1.0</v>
      </c>
      <c r="Q700" s="2" t="s">
        <v>1217</v>
      </c>
      <c r="R700" s="2" t="s">
        <v>24</v>
      </c>
      <c r="S700" s="2" t="b">
        <f>COUNTIF('Marcas Target'!A:A,dados!$E700)&gt;0</f>
        <v>0</v>
      </c>
    </row>
    <row r="701" ht="15.75" customHeight="1">
      <c r="A701" s="2" t="s">
        <v>1218</v>
      </c>
      <c r="B701" s="2" t="s">
        <v>1219</v>
      </c>
      <c r="C701" s="2" t="s">
        <v>24</v>
      </c>
      <c r="D701" s="2" t="s">
        <v>24</v>
      </c>
      <c r="E701" s="2" t="s">
        <v>874</v>
      </c>
      <c r="F701" s="2" t="s">
        <v>24</v>
      </c>
      <c r="G701" s="2" t="s">
        <v>24</v>
      </c>
      <c r="H701" s="2" t="s">
        <v>1220</v>
      </c>
      <c r="I701" s="2" t="s">
        <v>1218</v>
      </c>
      <c r="J701" s="2" t="s">
        <v>26</v>
      </c>
      <c r="K701" s="2" t="s">
        <v>1221</v>
      </c>
      <c r="L701" s="3">
        <v>46089.0</v>
      </c>
      <c r="M701" s="2">
        <v>27.99</v>
      </c>
      <c r="N701" s="2">
        <v>27.99</v>
      </c>
      <c r="O701" s="2">
        <v>22.0</v>
      </c>
      <c r="P701" s="2">
        <v>22.0</v>
      </c>
      <c r="Q701" s="2" t="s">
        <v>1222</v>
      </c>
      <c r="R701" s="2" t="s">
        <v>24</v>
      </c>
      <c r="S701" s="2" t="b">
        <f>COUNTIF('Marcas Target'!A:A,dados!$E701)&gt;0</f>
        <v>1</v>
      </c>
    </row>
    <row r="702" ht="15.75" customHeight="1">
      <c r="A702" s="2" t="s">
        <v>1218</v>
      </c>
      <c r="B702" s="2" t="s">
        <v>1219</v>
      </c>
      <c r="C702" s="2" t="s">
        <v>24</v>
      </c>
      <c r="D702" s="2" t="s">
        <v>24</v>
      </c>
      <c r="E702" s="2" t="s">
        <v>874</v>
      </c>
      <c r="F702" s="2" t="s">
        <v>24</v>
      </c>
      <c r="G702" s="2" t="s">
        <v>24</v>
      </c>
      <c r="H702" s="2" t="s">
        <v>1220</v>
      </c>
      <c r="I702" s="2" t="s">
        <v>1218</v>
      </c>
      <c r="J702" s="2" t="s">
        <v>26</v>
      </c>
      <c r="K702" s="2" t="s">
        <v>1221</v>
      </c>
      <c r="L702" s="3">
        <v>46088.0</v>
      </c>
      <c r="M702" s="2">
        <v>27.99</v>
      </c>
      <c r="N702" s="2">
        <v>27.99</v>
      </c>
      <c r="O702" s="2">
        <v>24.0</v>
      </c>
      <c r="P702" s="2">
        <v>24.0</v>
      </c>
      <c r="Q702" s="2" t="s">
        <v>1222</v>
      </c>
      <c r="R702" s="2" t="s">
        <v>24</v>
      </c>
      <c r="S702" s="2" t="b">
        <f>COUNTIF('Marcas Target'!A:A,dados!$E702)&gt;0</f>
        <v>1</v>
      </c>
    </row>
    <row r="703" ht="15.75" customHeight="1">
      <c r="A703" s="2" t="s">
        <v>1218</v>
      </c>
      <c r="B703" s="2" t="s">
        <v>1219</v>
      </c>
      <c r="C703" s="2" t="s">
        <v>24</v>
      </c>
      <c r="D703" s="2" t="s">
        <v>24</v>
      </c>
      <c r="E703" s="2" t="s">
        <v>874</v>
      </c>
      <c r="F703" s="2" t="s">
        <v>24</v>
      </c>
      <c r="G703" s="2" t="s">
        <v>24</v>
      </c>
      <c r="H703" s="2" t="s">
        <v>1220</v>
      </c>
      <c r="I703" s="2" t="s">
        <v>1218</v>
      </c>
      <c r="J703" s="2" t="s">
        <v>26</v>
      </c>
      <c r="K703" s="2" t="s">
        <v>1221</v>
      </c>
      <c r="L703" s="3">
        <v>46087.0</v>
      </c>
      <c r="M703" s="2">
        <v>27.99</v>
      </c>
      <c r="N703" s="2">
        <v>27.99</v>
      </c>
      <c r="O703" s="2">
        <v>3.0</v>
      </c>
      <c r="P703" s="2">
        <v>2.0</v>
      </c>
      <c r="Q703" s="2" t="s">
        <v>1222</v>
      </c>
      <c r="R703" s="2" t="s">
        <v>24</v>
      </c>
      <c r="S703" s="2" t="b">
        <f>COUNTIF('Marcas Target'!A:A,dados!$E703)&gt;0</f>
        <v>1</v>
      </c>
    </row>
    <row r="704" ht="15.75" customHeight="1">
      <c r="A704" s="2" t="s">
        <v>1223</v>
      </c>
      <c r="B704" s="2" t="s">
        <v>1224</v>
      </c>
      <c r="C704" s="2" t="s">
        <v>24</v>
      </c>
      <c r="D704" s="2" t="s">
        <v>24</v>
      </c>
      <c r="E704" s="2" t="s">
        <v>294</v>
      </c>
      <c r="F704" s="2" t="s">
        <v>24</v>
      </c>
      <c r="G704" s="2" t="s">
        <v>24</v>
      </c>
      <c r="H704" s="2" t="s">
        <v>1225</v>
      </c>
      <c r="I704" s="2" t="s">
        <v>1223</v>
      </c>
      <c r="J704" s="2" t="s">
        <v>26</v>
      </c>
      <c r="K704" s="2" t="s">
        <v>1226</v>
      </c>
      <c r="L704" s="3">
        <v>46089.0</v>
      </c>
      <c r="M704" s="2">
        <v>39.99</v>
      </c>
      <c r="N704" s="2">
        <v>39.99</v>
      </c>
      <c r="O704" s="2">
        <v>22.0</v>
      </c>
      <c r="P704" s="2">
        <v>22.0</v>
      </c>
      <c r="Q704" s="2" t="s">
        <v>1227</v>
      </c>
      <c r="R704" s="2" t="s">
        <v>24</v>
      </c>
      <c r="S704" s="2" t="b">
        <f>COUNTIF('Marcas Target'!A:A,dados!$E704)&gt;0</f>
        <v>1</v>
      </c>
    </row>
    <row r="705" ht="15.75" customHeight="1">
      <c r="A705" s="2" t="s">
        <v>1223</v>
      </c>
      <c r="B705" s="2" t="s">
        <v>1224</v>
      </c>
      <c r="C705" s="2" t="s">
        <v>24</v>
      </c>
      <c r="D705" s="2" t="s">
        <v>24</v>
      </c>
      <c r="E705" s="2" t="s">
        <v>294</v>
      </c>
      <c r="F705" s="2" t="s">
        <v>24</v>
      </c>
      <c r="G705" s="2" t="s">
        <v>24</v>
      </c>
      <c r="H705" s="2" t="s">
        <v>1225</v>
      </c>
      <c r="I705" s="2" t="s">
        <v>1223</v>
      </c>
      <c r="J705" s="2" t="s">
        <v>26</v>
      </c>
      <c r="K705" s="2" t="s">
        <v>1226</v>
      </c>
      <c r="L705" s="3">
        <v>46088.0</v>
      </c>
      <c r="M705" s="2">
        <v>39.99</v>
      </c>
      <c r="N705" s="2">
        <v>39.99</v>
      </c>
      <c r="O705" s="2">
        <v>24.0</v>
      </c>
      <c r="P705" s="2">
        <v>24.0</v>
      </c>
      <c r="Q705" s="2" t="s">
        <v>1227</v>
      </c>
      <c r="R705" s="2" t="s">
        <v>24</v>
      </c>
      <c r="S705" s="2" t="b">
        <f>COUNTIF('Marcas Target'!A:A,dados!$E705)&gt;0</f>
        <v>1</v>
      </c>
    </row>
    <row r="706" ht="15.75" customHeight="1">
      <c r="A706" s="2" t="s">
        <v>1223</v>
      </c>
      <c r="B706" s="2" t="s">
        <v>1224</v>
      </c>
      <c r="C706" s="2" t="s">
        <v>24</v>
      </c>
      <c r="D706" s="2" t="s">
        <v>24</v>
      </c>
      <c r="E706" s="2" t="s">
        <v>294</v>
      </c>
      <c r="F706" s="2" t="s">
        <v>24</v>
      </c>
      <c r="G706" s="2" t="s">
        <v>24</v>
      </c>
      <c r="H706" s="2" t="s">
        <v>1225</v>
      </c>
      <c r="I706" s="2" t="s">
        <v>1223</v>
      </c>
      <c r="J706" s="2" t="s">
        <v>26</v>
      </c>
      <c r="K706" s="2" t="s">
        <v>1226</v>
      </c>
      <c r="L706" s="3">
        <v>46087.0</v>
      </c>
      <c r="M706" s="2">
        <v>39.99</v>
      </c>
      <c r="N706" s="2">
        <v>39.99</v>
      </c>
      <c r="O706" s="2">
        <v>3.0</v>
      </c>
      <c r="P706" s="2">
        <v>3.0</v>
      </c>
      <c r="Q706" s="2" t="s">
        <v>1227</v>
      </c>
      <c r="R706" s="2" t="s">
        <v>24</v>
      </c>
      <c r="S706" s="2" t="b">
        <f>COUNTIF('Marcas Target'!A:A,dados!$E706)&gt;0</f>
        <v>1</v>
      </c>
    </row>
    <row r="707" ht="15.75" customHeight="1">
      <c r="A707" s="2" t="s">
        <v>1228</v>
      </c>
      <c r="B707" s="2" t="s">
        <v>1229</v>
      </c>
      <c r="C707" s="2" t="s">
        <v>24</v>
      </c>
      <c r="D707" s="2" t="s">
        <v>24</v>
      </c>
      <c r="E707" s="2" t="s">
        <v>362</v>
      </c>
      <c r="F707" s="2" t="s">
        <v>24</v>
      </c>
      <c r="G707" s="2" t="s">
        <v>24</v>
      </c>
      <c r="H707" s="2" t="s">
        <v>1230</v>
      </c>
      <c r="I707" s="2" t="s">
        <v>1228</v>
      </c>
      <c r="J707" s="2" t="s">
        <v>26</v>
      </c>
      <c r="K707" s="2" t="s">
        <v>1231</v>
      </c>
      <c r="L707" s="3">
        <v>46089.0</v>
      </c>
      <c r="M707" s="2">
        <v>34.99</v>
      </c>
      <c r="N707" s="2">
        <v>34.99</v>
      </c>
      <c r="O707" s="2">
        <v>22.0</v>
      </c>
      <c r="P707" s="2">
        <v>22.0</v>
      </c>
      <c r="Q707" s="2" t="s">
        <v>1232</v>
      </c>
      <c r="R707" s="2" t="s">
        <v>24</v>
      </c>
      <c r="S707" s="2" t="b">
        <f>COUNTIF('Marcas Target'!A:A,dados!$E707)&gt;0</f>
        <v>0</v>
      </c>
    </row>
    <row r="708" ht="15.75" customHeight="1">
      <c r="A708" s="2" t="s">
        <v>1228</v>
      </c>
      <c r="B708" s="2" t="s">
        <v>1229</v>
      </c>
      <c r="C708" s="2" t="s">
        <v>24</v>
      </c>
      <c r="D708" s="2" t="s">
        <v>24</v>
      </c>
      <c r="E708" s="2" t="s">
        <v>362</v>
      </c>
      <c r="F708" s="2" t="s">
        <v>24</v>
      </c>
      <c r="G708" s="2" t="s">
        <v>24</v>
      </c>
      <c r="H708" s="2" t="s">
        <v>1230</v>
      </c>
      <c r="I708" s="2" t="s">
        <v>1228</v>
      </c>
      <c r="J708" s="2" t="s">
        <v>26</v>
      </c>
      <c r="K708" s="2" t="s">
        <v>1231</v>
      </c>
      <c r="L708" s="3">
        <v>46088.0</v>
      </c>
      <c r="M708" s="2">
        <v>34.99</v>
      </c>
      <c r="N708" s="2">
        <v>34.99</v>
      </c>
      <c r="O708" s="2">
        <v>24.0</v>
      </c>
      <c r="P708" s="2">
        <v>24.0</v>
      </c>
      <c r="Q708" s="2" t="s">
        <v>1232</v>
      </c>
      <c r="R708" s="2" t="s">
        <v>24</v>
      </c>
      <c r="S708" s="2" t="b">
        <f>COUNTIF('Marcas Target'!A:A,dados!$E708)&gt;0</f>
        <v>0</v>
      </c>
    </row>
    <row r="709" ht="15.75" customHeight="1">
      <c r="A709" s="2" t="s">
        <v>1228</v>
      </c>
      <c r="B709" s="2" t="s">
        <v>1229</v>
      </c>
      <c r="C709" s="2" t="s">
        <v>24</v>
      </c>
      <c r="D709" s="2" t="s">
        <v>24</v>
      </c>
      <c r="E709" s="2" t="s">
        <v>362</v>
      </c>
      <c r="F709" s="2" t="s">
        <v>24</v>
      </c>
      <c r="G709" s="2" t="s">
        <v>24</v>
      </c>
      <c r="H709" s="2" t="s">
        <v>1230</v>
      </c>
      <c r="I709" s="2" t="s">
        <v>1228</v>
      </c>
      <c r="J709" s="2" t="s">
        <v>26</v>
      </c>
      <c r="K709" s="2" t="s">
        <v>1231</v>
      </c>
      <c r="L709" s="3">
        <v>46087.0</v>
      </c>
      <c r="M709" s="2">
        <v>34.99</v>
      </c>
      <c r="N709" s="2">
        <v>34.99</v>
      </c>
      <c r="O709" s="2">
        <v>3.0</v>
      </c>
      <c r="P709" s="2">
        <v>2.0</v>
      </c>
      <c r="Q709" s="2" t="s">
        <v>1232</v>
      </c>
      <c r="R709" s="2" t="s">
        <v>24</v>
      </c>
      <c r="S709" s="2" t="b">
        <f>COUNTIF('Marcas Target'!A:A,dados!$E709)&gt;0</f>
        <v>0</v>
      </c>
    </row>
    <row r="710" ht="15.75" customHeight="1">
      <c r="A710" s="2" t="s">
        <v>1233</v>
      </c>
      <c r="B710" s="2" t="s">
        <v>1234</v>
      </c>
      <c r="C710" s="2" t="s">
        <v>24</v>
      </c>
      <c r="D710" s="2" t="s">
        <v>24</v>
      </c>
      <c r="E710" s="2" t="s">
        <v>378</v>
      </c>
      <c r="F710" s="2" t="s">
        <v>24</v>
      </c>
      <c r="G710" s="2" t="s">
        <v>24</v>
      </c>
      <c r="H710" s="2" t="s">
        <v>1235</v>
      </c>
      <c r="I710" s="2" t="s">
        <v>1233</v>
      </c>
      <c r="J710" s="2" t="s">
        <v>26</v>
      </c>
      <c r="K710" s="2" t="s">
        <v>1236</v>
      </c>
      <c r="L710" s="3">
        <v>46089.0</v>
      </c>
      <c r="M710" s="2">
        <v>29.99</v>
      </c>
      <c r="N710" s="2">
        <v>29.99</v>
      </c>
      <c r="O710" s="2">
        <v>22.0</v>
      </c>
      <c r="P710" s="2">
        <v>14.0</v>
      </c>
      <c r="Q710" s="2" t="s">
        <v>1237</v>
      </c>
      <c r="R710" s="2" t="s">
        <v>24</v>
      </c>
      <c r="S710" s="2" t="b">
        <f>COUNTIF('Marcas Target'!A:A,dados!$E710)&gt;0</f>
        <v>0</v>
      </c>
    </row>
    <row r="711" ht="15.75" customHeight="1">
      <c r="A711" s="2" t="s">
        <v>1233</v>
      </c>
      <c r="B711" s="2" t="s">
        <v>1234</v>
      </c>
      <c r="C711" s="2" t="s">
        <v>24</v>
      </c>
      <c r="D711" s="2" t="s">
        <v>24</v>
      </c>
      <c r="E711" s="2" t="s">
        <v>378</v>
      </c>
      <c r="F711" s="2" t="s">
        <v>24</v>
      </c>
      <c r="G711" s="2" t="s">
        <v>24</v>
      </c>
      <c r="H711" s="2" t="s">
        <v>1235</v>
      </c>
      <c r="I711" s="2" t="s">
        <v>1233</v>
      </c>
      <c r="J711" s="2" t="s">
        <v>26</v>
      </c>
      <c r="K711" s="2" t="s">
        <v>1236</v>
      </c>
      <c r="L711" s="3">
        <v>46088.0</v>
      </c>
      <c r="M711" s="2">
        <v>29.99</v>
      </c>
      <c r="N711" s="2">
        <v>29.99</v>
      </c>
      <c r="O711" s="2">
        <v>24.0</v>
      </c>
      <c r="P711" s="2">
        <v>24.0</v>
      </c>
      <c r="Q711" s="2" t="s">
        <v>1237</v>
      </c>
      <c r="R711" s="2" t="s">
        <v>24</v>
      </c>
      <c r="S711" s="2" t="b">
        <f>COUNTIF('Marcas Target'!A:A,dados!$E711)&gt;0</f>
        <v>0</v>
      </c>
    </row>
    <row r="712" ht="15.75" customHeight="1">
      <c r="A712" s="2" t="s">
        <v>1233</v>
      </c>
      <c r="B712" s="2" t="s">
        <v>1234</v>
      </c>
      <c r="C712" s="2" t="s">
        <v>24</v>
      </c>
      <c r="D712" s="2" t="s">
        <v>24</v>
      </c>
      <c r="E712" s="2" t="s">
        <v>378</v>
      </c>
      <c r="F712" s="2" t="s">
        <v>24</v>
      </c>
      <c r="G712" s="2" t="s">
        <v>24</v>
      </c>
      <c r="H712" s="2" t="s">
        <v>1235</v>
      </c>
      <c r="I712" s="2" t="s">
        <v>1233</v>
      </c>
      <c r="J712" s="2" t="s">
        <v>26</v>
      </c>
      <c r="K712" s="2" t="s">
        <v>1236</v>
      </c>
      <c r="L712" s="3">
        <v>46087.0</v>
      </c>
      <c r="M712" s="2">
        <v>29.99</v>
      </c>
      <c r="N712" s="2">
        <v>29.99</v>
      </c>
      <c r="O712" s="2">
        <v>3.0</v>
      </c>
      <c r="P712" s="2">
        <v>3.0</v>
      </c>
      <c r="Q712" s="2" t="s">
        <v>1237</v>
      </c>
      <c r="R712" s="2" t="s">
        <v>24</v>
      </c>
      <c r="S712" s="2" t="b">
        <f>COUNTIF('Marcas Target'!A:A,dados!$E712)&gt;0</f>
        <v>0</v>
      </c>
    </row>
    <row r="713" ht="15.75" customHeight="1">
      <c r="A713" s="2" t="s">
        <v>1238</v>
      </c>
      <c r="B713" s="2" t="s">
        <v>1239</v>
      </c>
      <c r="C713" s="2" t="s">
        <v>24</v>
      </c>
      <c r="D713" s="2" t="s">
        <v>24</v>
      </c>
      <c r="E713" s="2" t="s">
        <v>1240</v>
      </c>
      <c r="F713" s="2" t="s">
        <v>24</v>
      </c>
      <c r="G713" s="2" t="s">
        <v>24</v>
      </c>
      <c r="H713" s="2" t="s">
        <v>1241</v>
      </c>
      <c r="I713" s="2" t="s">
        <v>1238</v>
      </c>
      <c r="J713" s="2" t="s">
        <v>26</v>
      </c>
      <c r="K713" s="2" t="s">
        <v>1242</v>
      </c>
      <c r="L713" s="3">
        <v>46089.0</v>
      </c>
      <c r="M713" s="2" t="s">
        <v>24</v>
      </c>
      <c r="N713" s="2" t="s">
        <v>24</v>
      </c>
      <c r="O713" s="2">
        <v>23.0</v>
      </c>
      <c r="P713" s="2">
        <v>0.0</v>
      </c>
      <c r="Q713" s="2" t="s">
        <v>1243</v>
      </c>
      <c r="R713" s="2" t="s">
        <v>24</v>
      </c>
      <c r="S713" s="2" t="b">
        <f>COUNTIF('Marcas Target'!A:A,dados!$E713)&gt;0</f>
        <v>0</v>
      </c>
    </row>
    <row r="714" ht="15.75" customHeight="1">
      <c r="A714" s="2" t="s">
        <v>1238</v>
      </c>
      <c r="B714" s="2" t="s">
        <v>1239</v>
      </c>
      <c r="C714" s="2" t="s">
        <v>24</v>
      </c>
      <c r="D714" s="2" t="s">
        <v>24</v>
      </c>
      <c r="E714" s="2" t="s">
        <v>1240</v>
      </c>
      <c r="F714" s="2" t="s">
        <v>24</v>
      </c>
      <c r="G714" s="2" t="s">
        <v>24</v>
      </c>
      <c r="H714" s="2" t="s">
        <v>1241</v>
      </c>
      <c r="I714" s="2" t="s">
        <v>1238</v>
      </c>
      <c r="J714" s="2" t="s">
        <v>26</v>
      </c>
      <c r="K714" s="2" t="s">
        <v>1242</v>
      </c>
      <c r="L714" s="3">
        <v>46088.0</v>
      </c>
      <c r="M714" s="2">
        <v>34.99</v>
      </c>
      <c r="N714" s="2">
        <v>34.99</v>
      </c>
      <c r="O714" s="2">
        <v>24.0</v>
      </c>
      <c r="P714" s="2">
        <v>1.0</v>
      </c>
      <c r="Q714" s="2" t="s">
        <v>1243</v>
      </c>
      <c r="R714" s="2" t="s">
        <v>24</v>
      </c>
      <c r="S714" s="2" t="b">
        <f>COUNTIF('Marcas Target'!A:A,dados!$E714)&gt;0</f>
        <v>0</v>
      </c>
    </row>
    <row r="715" ht="15.75" customHeight="1">
      <c r="A715" s="2" t="s">
        <v>1238</v>
      </c>
      <c r="B715" s="2" t="s">
        <v>1239</v>
      </c>
      <c r="C715" s="2" t="s">
        <v>24</v>
      </c>
      <c r="D715" s="2" t="s">
        <v>24</v>
      </c>
      <c r="E715" s="2" t="s">
        <v>1240</v>
      </c>
      <c r="F715" s="2" t="s">
        <v>24</v>
      </c>
      <c r="G715" s="2" t="s">
        <v>24</v>
      </c>
      <c r="H715" s="2" t="s">
        <v>1241</v>
      </c>
      <c r="I715" s="2" t="s">
        <v>1238</v>
      </c>
      <c r="J715" s="2" t="s">
        <v>26</v>
      </c>
      <c r="K715" s="2" t="s">
        <v>1242</v>
      </c>
      <c r="L715" s="3">
        <v>46087.0</v>
      </c>
      <c r="M715" s="2" t="s">
        <v>24</v>
      </c>
      <c r="N715" s="2" t="s">
        <v>24</v>
      </c>
      <c r="O715" s="2">
        <v>3.0</v>
      </c>
      <c r="P715" s="2">
        <v>0.0</v>
      </c>
      <c r="Q715" s="2" t="s">
        <v>1243</v>
      </c>
      <c r="R715" s="2" t="s">
        <v>24</v>
      </c>
      <c r="S715" s="2" t="b">
        <f>COUNTIF('Marcas Target'!A:A,dados!$E715)&gt;0</f>
        <v>0</v>
      </c>
    </row>
    <row r="716" ht="15.75" customHeight="1">
      <c r="A716" s="2" t="s">
        <v>1244</v>
      </c>
      <c r="B716" s="2" t="s">
        <v>283</v>
      </c>
      <c r="C716" s="2" t="s">
        <v>24</v>
      </c>
      <c r="D716" s="2" t="s">
        <v>24</v>
      </c>
      <c r="E716" s="2" t="s">
        <v>1245</v>
      </c>
      <c r="F716" s="2" t="s">
        <v>24</v>
      </c>
      <c r="G716" s="2" t="s">
        <v>24</v>
      </c>
      <c r="H716" s="2" t="s">
        <v>1246</v>
      </c>
      <c r="I716" s="2" t="s">
        <v>1244</v>
      </c>
      <c r="J716" s="2" t="s">
        <v>26</v>
      </c>
      <c r="K716" s="2" t="s">
        <v>1247</v>
      </c>
      <c r="L716" s="3">
        <v>46089.0</v>
      </c>
      <c r="M716" s="2" t="s">
        <v>24</v>
      </c>
      <c r="N716" s="2" t="s">
        <v>24</v>
      </c>
      <c r="O716" s="2">
        <v>22.0</v>
      </c>
      <c r="P716" s="2">
        <v>0.0</v>
      </c>
      <c r="Q716" s="2" t="s">
        <v>1248</v>
      </c>
      <c r="R716" s="2" t="s">
        <v>24</v>
      </c>
      <c r="S716" s="2" t="b">
        <f>COUNTIF('Marcas Target'!A:A,dados!$E716)&gt;0</f>
        <v>1</v>
      </c>
    </row>
    <row r="717" ht="15.75" customHeight="1">
      <c r="A717" s="2" t="s">
        <v>1244</v>
      </c>
      <c r="B717" s="2" t="s">
        <v>283</v>
      </c>
      <c r="C717" s="2" t="s">
        <v>24</v>
      </c>
      <c r="D717" s="2" t="s">
        <v>24</v>
      </c>
      <c r="E717" s="2" t="s">
        <v>1245</v>
      </c>
      <c r="F717" s="2" t="s">
        <v>24</v>
      </c>
      <c r="G717" s="2" t="s">
        <v>24</v>
      </c>
      <c r="H717" s="2" t="s">
        <v>1246</v>
      </c>
      <c r="I717" s="2" t="s">
        <v>1244</v>
      </c>
      <c r="J717" s="2" t="s">
        <v>26</v>
      </c>
      <c r="K717" s="2" t="s">
        <v>1247</v>
      </c>
      <c r="L717" s="3">
        <v>46088.0</v>
      </c>
      <c r="M717" s="2">
        <v>16.9</v>
      </c>
      <c r="N717" s="2">
        <v>16.9</v>
      </c>
      <c r="O717" s="2">
        <v>24.0</v>
      </c>
      <c r="P717" s="2">
        <v>1.0</v>
      </c>
      <c r="Q717" s="2" t="s">
        <v>1248</v>
      </c>
      <c r="R717" s="2" t="s">
        <v>24</v>
      </c>
      <c r="S717" s="2" t="b">
        <f>COUNTIF('Marcas Target'!A:A,dados!$E717)&gt;0</f>
        <v>1</v>
      </c>
    </row>
    <row r="718" ht="15.75" customHeight="1">
      <c r="A718" s="2" t="s">
        <v>1244</v>
      </c>
      <c r="B718" s="2" t="s">
        <v>283</v>
      </c>
      <c r="C718" s="2" t="s">
        <v>24</v>
      </c>
      <c r="D718" s="2" t="s">
        <v>24</v>
      </c>
      <c r="E718" s="2" t="s">
        <v>1245</v>
      </c>
      <c r="F718" s="2" t="s">
        <v>24</v>
      </c>
      <c r="G718" s="2" t="s">
        <v>24</v>
      </c>
      <c r="H718" s="2" t="s">
        <v>1246</v>
      </c>
      <c r="I718" s="2" t="s">
        <v>1244</v>
      </c>
      <c r="J718" s="2" t="s">
        <v>26</v>
      </c>
      <c r="K718" s="2" t="s">
        <v>1247</v>
      </c>
      <c r="L718" s="3">
        <v>46087.0</v>
      </c>
      <c r="M718" s="2" t="s">
        <v>24</v>
      </c>
      <c r="N718" s="2" t="s">
        <v>24</v>
      </c>
      <c r="O718" s="2">
        <v>3.0</v>
      </c>
      <c r="P718" s="2">
        <v>0.0</v>
      </c>
      <c r="Q718" s="2" t="s">
        <v>1248</v>
      </c>
      <c r="R718" s="2" t="s">
        <v>24</v>
      </c>
      <c r="S718" s="2" t="b">
        <f>COUNTIF('Marcas Target'!A:A,dados!$E718)&gt;0</f>
        <v>1</v>
      </c>
    </row>
    <row r="719" ht="15.75" customHeight="1">
      <c r="A719" s="2" t="s">
        <v>1249</v>
      </c>
      <c r="B719" s="2" t="s">
        <v>1250</v>
      </c>
      <c r="C719" s="2" t="s">
        <v>24</v>
      </c>
      <c r="D719" s="2" t="s">
        <v>24</v>
      </c>
      <c r="E719" s="2" t="s">
        <v>666</v>
      </c>
      <c r="F719" s="2" t="s">
        <v>24</v>
      </c>
      <c r="G719" s="2" t="s">
        <v>24</v>
      </c>
      <c r="H719" s="2" t="s">
        <v>1251</v>
      </c>
      <c r="I719" s="2" t="s">
        <v>1249</v>
      </c>
      <c r="J719" s="2" t="s">
        <v>26</v>
      </c>
      <c r="K719" s="2" t="s">
        <v>1252</v>
      </c>
      <c r="L719" s="3">
        <v>46089.0</v>
      </c>
      <c r="M719" s="2">
        <v>3.09</v>
      </c>
      <c r="N719" s="2">
        <v>3.09</v>
      </c>
      <c r="O719" s="2">
        <v>21.0</v>
      </c>
      <c r="P719" s="2">
        <v>1.0</v>
      </c>
      <c r="Q719" s="2" t="s">
        <v>1253</v>
      </c>
      <c r="R719" s="2" t="s">
        <v>24</v>
      </c>
      <c r="S719" s="2" t="b">
        <f>COUNTIF('Marcas Target'!A:A,dados!$E719)&gt;0</f>
        <v>1</v>
      </c>
    </row>
    <row r="720" ht="15.75" customHeight="1">
      <c r="A720" s="2" t="s">
        <v>1249</v>
      </c>
      <c r="B720" s="2" t="s">
        <v>1250</v>
      </c>
      <c r="C720" s="2" t="s">
        <v>24</v>
      </c>
      <c r="D720" s="2" t="s">
        <v>24</v>
      </c>
      <c r="E720" s="2" t="s">
        <v>666</v>
      </c>
      <c r="F720" s="2" t="s">
        <v>24</v>
      </c>
      <c r="G720" s="2" t="s">
        <v>24</v>
      </c>
      <c r="H720" s="2" t="s">
        <v>1251</v>
      </c>
      <c r="I720" s="2" t="s">
        <v>1249</v>
      </c>
      <c r="J720" s="2" t="s">
        <v>26</v>
      </c>
      <c r="K720" s="2" t="s">
        <v>1252</v>
      </c>
      <c r="L720" s="3">
        <v>46088.0</v>
      </c>
      <c r="M720" s="2">
        <v>44.87</v>
      </c>
      <c r="N720" s="2">
        <v>44.87</v>
      </c>
      <c r="O720" s="2">
        <v>24.0</v>
      </c>
      <c r="P720" s="2">
        <v>19.0</v>
      </c>
      <c r="Q720" s="2" t="s">
        <v>1253</v>
      </c>
      <c r="R720" s="2" t="s">
        <v>24</v>
      </c>
      <c r="S720" s="2" t="b">
        <f>COUNTIF('Marcas Target'!A:A,dados!$E720)&gt;0</f>
        <v>1</v>
      </c>
    </row>
    <row r="721" ht="15.75" customHeight="1">
      <c r="A721" s="2" t="s">
        <v>1249</v>
      </c>
      <c r="B721" s="2" t="s">
        <v>1250</v>
      </c>
      <c r="C721" s="2" t="s">
        <v>24</v>
      </c>
      <c r="D721" s="2" t="s">
        <v>24</v>
      </c>
      <c r="E721" s="2" t="s">
        <v>666</v>
      </c>
      <c r="F721" s="2" t="s">
        <v>24</v>
      </c>
      <c r="G721" s="2" t="s">
        <v>24</v>
      </c>
      <c r="H721" s="2" t="s">
        <v>1251</v>
      </c>
      <c r="I721" s="2" t="s">
        <v>1249</v>
      </c>
      <c r="J721" s="2" t="s">
        <v>26</v>
      </c>
      <c r="K721" s="2" t="s">
        <v>1252</v>
      </c>
      <c r="L721" s="3">
        <v>46087.0</v>
      </c>
      <c r="M721" s="2">
        <v>46.99</v>
      </c>
      <c r="N721" s="2">
        <v>46.99</v>
      </c>
      <c r="O721" s="2">
        <v>3.0</v>
      </c>
      <c r="P721" s="2">
        <v>2.0</v>
      </c>
      <c r="Q721" s="2" t="s">
        <v>1253</v>
      </c>
      <c r="R721" s="2" t="s">
        <v>24</v>
      </c>
      <c r="S721" s="2" t="b">
        <f>COUNTIF('Marcas Target'!A:A,dados!$E721)&gt;0</f>
        <v>1</v>
      </c>
    </row>
    <row r="722" ht="15.75" customHeight="1">
      <c r="A722" s="2" t="s">
        <v>1254</v>
      </c>
      <c r="B722" s="2" t="s">
        <v>1255</v>
      </c>
      <c r="C722" s="2" t="s">
        <v>24</v>
      </c>
      <c r="D722" s="2" t="s">
        <v>24</v>
      </c>
      <c r="E722" s="2" t="s">
        <v>227</v>
      </c>
      <c r="F722" s="2" t="s">
        <v>24</v>
      </c>
      <c r="G722" s="2" t="s">
        <v>24</v>
      </c>
      <c r="H722" s="2" t="s">
        <v>1256</v>
      </c>
      <c r="I722" s="2" t="s">
        <v>1254</v>
      </c>
      <c r="J722" s="2" t="s">
        <v>26</v>
      </c>
      <c r="K722" s="2" t="s">
        <v>1257</v>
      </c>
      <c r="L722" s="3">
        <v>46089.0</v>
      </c>
      <c r="M722" s="2">
        <v>14.24</v>
      </c>
      <c r="N722" s="2">
        <v>14.24</v>
      </c>
      <c r="O722" s="2">
        <v>22.0</v>
      </c>
      <c r="P722" s="2">
        <v>2.0</v>
      </c>
      <c r="Q722" s="2" t="s">
        <v>1258</v>
      </c>
      <c r="R722" s="2" t="s">
        <v>24</v>
      </c>
      <c r="S722" s="2" t="b">
        <f>COUNTIF('Marcas Target'!A:A,dados!$E722)&gt;0</f>
        <v>0</v>
      </c>
    </row>
    <row r="723" ht="15.75" customHeight="1">
      <c r="A723" s="2" t="s">
        <v>1254</v>
      </c>
      <c r="B723" s="2" t="s">
        <v>1255</v>
      </c>
      <c r="C723" s="2" t="s">
        <v>24</v>
      </c>
      <c r="D723" s="2" t="s">
        <v>24</v>
      </c>
      <c r="E723" s="2" t="s">
        <v>227</v>
      </c>
      <c r="F723" s="2" t="s">
        <v>24</v>
      </c>
      <c r="G723" s="2" t="s">
        <v>24</v>
      </c>
      <c r="H723" s="2" t="s">
        <v>1256</v>
      </c>
      <c r="I723" s="2" t="s">
        <v>1254</v>
      </c>
      <c r="J723" s="2" t="s">
        <v>26</v>
      </c>
      <c r="K723" s="2" t="s">
        <v>1257</v>
      </c>
      <c r="L723" s="3">
        <v>46088.0</v>
      </c>
      <c r="M723" s="2">
        <v>16.49</v>
      </c>
      <c r="N723" s="2">
        <v>16.49</v>
      </c>
      <c r="O723" s="2">
        <v>24.0</v>
      </c>
      <c r="P723" s="2">
        <v>1.0</v>
      </c>
      <c r="Q723" s="2" t="s">
        <v>1258</v>
      </c>
      <c r="R723" s="2" t="s">
        <v>24</v>
      </c>
      <c r="S723" s="2" t="b">
        <f>COUNTIF('Marcas Target'!A:A,dados!$E723)&gt;0</f>
        <v>0</v>
      </c>
    </row>
    <row r="724" ht="15.75" customHeight="1">
      <c r="A724" s="2" t="s">
        <v>1254</v>
      </c>
      <c r="B724" s="2" t="s">
        <v>1255</v>
      </c>
      <c r="C724" s="2" t="s">
        <v>24</v>
      </c>
      <c r="D724" s="2" t="s">
        <v>24</v>
      </c>
      <c r="E724" s="2" t="s">
        <v>227</v>
      </c>
      <c r="F724" s="2" t="s">
        <v>24</v>
      </c>
      <c r="G724" s="2" t="s">
        <v>24</v>
      </c>
      <c r="H724" s="2" t="s">
        <v>1256</v>
      </c>
      <c r="I724" s="2" t="s">
        <v>1254</v>
      </c>
      <c r="J724" s="2" t="s">
        <v>26</v>
      </c>
      <c r="K724" s="2" t="s">
        <v>1257</v>
      </c>
      <c r="L724" s="3">
        <v>46087.0</v>
      </c>
      <c r="M724" s="2" t="s">
        <v>24</v>
      </c>
      <c r="N724" s="2" t="s">
        <v>24</v>
      </c>
      <c r="O724" s="2">
        <v>3.0</v>
      </c>
      <c r="P724" s="2">
        <v>0.0</v>
      </c>
      <c r="Q724" s="2" t="s">
        <v>1258</v>
      </c>
      <c r="R724" s="2" t="s">
        <v>24</v>
      </c>
      <c r="S724" s="2" t="b">
        <f>COUNTIF('Marcas Target'!A:A,dados!$E724)&gt;0</f>
        <v>0</v>
      </c>
    </row>
    <row r="725" ht="15.75" customHeight="1">
      <c r="A725" s="2" t="s">
        <v>1259</v>
      </c>
      <c r="B725" s="2" t="s">
        <v>1260</v>
      </c>
      <c r="C725" s="2" t="s">
        <v>24</v>
      </c>
      <c r="D725" s="2" t="s">
        <v>24</v>
      </c>
      <c r="E725" s="2" t="s">
        <v>874</v>
      </c>
      <c r="F725" s="2" t="s">
        <v>24</v>
      </c>
      <c r="G725" s="2" t="s">
        <v>24</v>
      </c>
      <c r="H725" s="2" t="s">
        <v>1261</v>
      </c>
      <c r="I725" s="2" t="s">
        <v>1259</v>
      </c>
      <c r="J725" s="2" t="s">
        <v>26</v>
      </c>
      <c r="K725" s="2" t="s">
        <v>1262</v>
      </c>
      <c r="L725" s="3">
        <v>46089.0</v>
      </c>
      <c r="M725" s="2">
        <v>12.24</v>
      </c>
      <c r="N725" s="2">
        <v>12.24</v>
      </c>
      <c r="O725" s="2">
        <v>22.0</v>
      </c>
      <c r="P725" s="2">
        <v>2.0</v>
      </c>
      <c r="Q725" s="2" t="s">
        <v>1263</v>
      </c>
      <c r="R725" s="2" t="s">
        <v>24</v>
      </c>
      <c r="S725" s="2" t="b">
        <f>COUNTIF('Marcas Target'!A:A,dados!$E725)&gt;0</f>
        <v>1</v>
      </c>
    </row>
    <row r="726" ht="15.75" customHeight="1">
      <c r="A726" s="2" t="s">
        <v>1259</v>
      </c>
      <c r="B726" s="2" t="s">
        <v>1260</v>
      </c>
      <c r="C726" s="2" t="s">
        <v>24</v>
      </c>
      <c r="D726" s="2" t="s">
        <v>24</v>
      </c>
      <c r="E726" s="2" t="s">
        <v>874</v>
      </c>
      <c r="F726" s="2" t="s">
        <v>24</v>
      </c>
      <c r="G726" s="2" t="s">
        <v>24</v>
      </c>
      <c r="H726" s="2" t="s">
        <v>1261</v>
      </c>
      <c r="I726" s="2" t="s">
        <v>1259</v>
      </c>
      <c r="J726" s="2" t="s">
        <v>26</v>
      </c>
      <c r="K726" s="2" t="s">
        <v>1262</v>
      </c>
      <c r="L726" s="3">
        <v>46088.0</v>
      </c>
      <c r="M726" s="2">
        <v>55.99</v>
      </c>
      <c r="N726" s="2">
        <v>55.99</v>
      </c>
      <c r="O726" s="2">
        <v>24.0</v>
      </c>
      <c r="P726" s="2">
        <v>2.0</v>
      </c>
      <c r="Q726" s="2" t="s">
        <v>1263</v>
      </c>
      <c r="R726" s="2" t="s">
        <v>24</v>
      </c>
      <c r="S726" s="2" t="b">
        <f>COUNTIF('Marcas Target'!A:A,dados!$E726)&gt;0</f>
        <v>1</v>
      </c>
    </row>
    <row r="727" ht="15.75" customHeight="1">
      <c r="A727" s="2" t="s">
        <v>1259</v>
      </c>
      <c r="B727" s="2" t="s">
        <v>1260</v>
      </c>
      <c r="C727" s="2" t="s">
        <v>24</v>
      </c>
      <c r="D727" s="2" t="s">
        <v>24</v>
      </c>
      <c r="E727" s="2" t="s">
        <v>874</v>
      </c>
      <c r="F727" s="2" t="s">
        <v>24</v>
      </c>
      <c r="G727" s="2" t="s">
        <v>24</v>
      </c>
      <c r="H727" s="2" t="s">
        <v>1261</v>
      </c>
      <c r="I727" s="2" t="s">
        <v>1259</v>
      </c>
      <c r="J727" s="2" t="s">
        <v>26</v>
      </c>
      <c r="K727" s="2" t="s">
        <v>1262</v>
      </c>
      <c r="L727" s="3">
        <v>46087.0</v>
      </c>
      <c r="M727" s="2">
        <v>32.39</v>
      </c>
      <c r="N727" s="2">
        <v>32.39</v>
      </c>
      <c r="O727" s="2">
        <v>3.0</v>
      </c>
      <c r="P727" s="2">
        <v>1.0</v>
      </c>
      <c r="Q727" s="2" t="s">
        <v>1263</v>
      </c>
      <c r="R727" s="2" t="s">
        <v>24</v>
      </c>
      <c r="S727" s="2" t="b">
        <f>COUNTIF('Marcas Target'!A:A,dados!$E727)&gt;0</f>
        <v>1</v>
      </c>
    </row>
    <row r="728" ht="15.75" customHeight="1">
      <c r="A728" s="2" t="s">
        <v>1264</v>
      </c>
      <c r="B728" s="2" t="s">
        <v>1265</v>
      </c>
      <c r="C728" s="2" t="s">
        <v>24</v>
      </c>
      <c r="D728" s="2" t="s">
        <v>24</v>
      </c>
      <c r="E728" s="2" t="s">
        <v>874</v>
      </c>
      <c r="F728" s="2" t="s">
        <v>24</v>
      </c>
      <c r="G728" s="2" t="s">
        <v>24</v>
      </c>
      <c r="H728" s="2" t="s">
        <v>1266</v>
      </c>
      <c r="I728" s="2" t="s">
        <v>1264</v>
      </c>
      <c r="J728" s="2" t="s">
        <v>26</v>
      </c>
      <c r="K728" s="2" t="s">
        <v>1267</v>
      </c>
      <c r="L728" s="3">
        <v>46089.0</v>
      </c>
      <c r="M728" s="2">
        <v>27.99</v>
      </c>
      <c r="N728" s="2">
        <v>27.99</v>
      </c>
      <c r="O728" s="2">
        <v>22.0</v>
      </c>
      <c r="P728" s="2">
        <v>22.0</v>
      </c>
      <c r="Q728" s="2" t="s">
        <v>1268</v>
      </c>
      <c r="R728" s="2" t="s">
        <v>24</v>
      </c>
      <c r="S728" s="2" t="b">
        <f>COUNTIF('Marcas Target'!A:A,dados!$E728)&gt;0</f>
        <v>1</v>
      </c>
    </row>
    <row r="729" ht="15.75" customHeight="1">
      <c r="A729" s="2" t="s">
        <v>1264</v>
      </c>
      <c r="B729" s="2" t="s">
        <v>1265</v>
      </c>
      <c r="C729" s="2" t="s">
        <v>24</v>
      </c>
      <c r="D729" s="2" t="s">
        <v>24</v>
      </c>
      <c r="E729" s="2" t="s">
        <v>874</v>
      </c>
      <c r="F729" s="2" t="s">
        <v>24</v>
      </c>
      <c r="G729" s="2" t="s">
        <v>24</v>
      </c>
      <c r="H729" s="2" t="s">
        <v>1266</v>
      </c>
      <c r="I729" s="2" t="s">
        <v>1264</v>
      </c>
      <c r="J729" s="2" t="s">
        <v>26</v>
      </c>
      <c r="K729" s="2" t="s">
        <v>1267</v>
      </c>
      <c r="L729" s="3">
        <v>46088.0</v>
      </c>
      <c r="M729" s="2">
        <v>27.99</v>
      </c>
      <c r="N729" s="2">
        <v>27.99</v>
      </c>
      <c r="O729" s="2">
        <v>24.0</v>
      </c>
      <c r="P729" s="2">
        <v>24.0</v>
      </c>
      <c r="Q729" s="2" t="s">
        <v>1268</v>
      </c>
      <c r="R729" s="2" t="s">
        <v>24</v>
      </c>
      <c r="S729" s="2" t="b">
        <f>COUNTIF('Marcas Target'!A:A,dados!$E729)&gt;0</f>
        <v>1</v>
      </c>
    </row>
    <row r="730" ht="15.75" customHeight="1">
      <c r="A730" s="2" t="s">
        <v>1264</v>
      </c>
      <c r="B730" s="2" t="s">
        <v>1265</v>
      </c>
      <c r="C730" s="2" t="s">
        <v>24</v>
      </c>
      <c r="D730" s="2" t="s">
        <v>24</v>
      </c>
      <c r="E730" s="2" t="s">
        <v>874</v>
      </c>
      <c r="F730" s="2" t="s">
        <v>24</v>
      </c>
      <c r="G730" s="2" t="s">
        <v>24</v>
      </c>
      <c r="H730" s="2" t="s">
        <v>1266</v>
      </c>
      <c r="I730" s="2" t="s">
        <v>1264</v>
      </c>
      <c r="J730" s="2" t="s">
        <v>26</v>
      </c>
      <c r="K730" s="2" t="s">
        <v>1267</v>
      </c>
      <c r="L730" s="3">
        <v>46087.0</v>
      </c>
      <c r="M730" s="2">
        <v>27.99</v>
      </c>
      <c r="N730" s="2">
        <v>27.99</v>
      </c>
      <c r="O730" s="2">
        <v>3.0</v>
      </c>
      <c r="P730" s="2">
        <v>2.0</v>
      </c>
      <c r="Q730" s="2" t="s">
        <v>1268</v>
      </c>
      <c r="R730" s="2" t="s">
        <v>24</v>
      </c>
      <c r="S730" s="2" t="b">
        <f>COUNTIF('Marcas Target'!A:A,dados!$E730)&gt;0</f>
        <v>1</v>
      </c>
    </row>
    <row r="731" ht="15.75" customHeight="1">
      <c r="A731" s="2" t="s">
        <v>1269</v>
      </c>
      <c r="B731" s="2" t="s">
        <v>1270</v>
      </c>
      <c r="C731" s="2" t="s">
        <v>24</v>
      </c>
      <c r="D731" s="2" t="s">
        <v>24</v>
      </c>
      <c r="E731" s="2" t="s">
        <v>106</v>
      </c>
      <c r="F731" s="2" t="s">
        <v>24</v>
      </c>
      <c r="G731" s="2" t="s">
        <v>24</v>
      </c>
      <c r="H731" s="2" t="s">
        <v>1271</v>
      </c>
      <c r="I731" s="2" t="s">
        <v>1269</v>
      </c>
      <c r="J731" s="2" t="s">
        <v>26</v>
      </c>
      <c r="K731" s="2" t="s">
        <v>1272</v>
      </c>
      <c r="L731" s="3">
        <v>46089.0</v>
      </c>
      <c r="M731" s="2">
        <v>17.33</v>
      </c>
      <c r="N731" s="2">
        <v>17.33</v>
      </c>
      <c r="O731" s="2">
        <v>22.0</v>
      </c>
      <c r="P731" s="2">
        <v>3.0</v>
      </c>
      <c r="Q731" s="2" t="s">
        <v>1273</v>
      </c>
      <c r="R731" s="2" t="s">
        <v>24</v>
      </c>
      <c r="S731" s="2" t="b">
        <f>COUNTIF('Marcas Target'!A:A,dados!$E731)&gt;0</f>
        <v>0</v>
      </c>
    </row>
    <row r="732" ht="15.75" customHeight="1">
      <c r="A732" s="2" t="s">
        <v>1269</v>
      </c>
      <c r="B732" s="2" t="s">
        <v>1270</v>
      </c>
      <c r="C732" s="2" t="s">
        <v>24</v>
      </c>
      <c r="D732" s="2" t="s">
        <v>24</v>
      </c>
      <c r="E732" s="2" t="s">
        <v>106</v>
      </c>
      <c r="F732" s="2" t="s">
        <v>24</v>
      </c>
      <c r="G732" s="2" t="s">
        <v>24</v>
      </c>
      <c r="H732" s="2" t="s">
        <v>1271</v>
      </c>
      <c r="I732" s="2" t="s">
        <v>1269</v>
      </c>
      <c r="J732" s="2" t="s">
        <v>26</v>
      </c>
      <c r="K732" s="2" t="s">
        <v>1272</v>
      </c>
      <c r="L732" s="3">
        <v>46088.0</v>
      </c>
      <c r="M732" s="2">
        <v>13.69</v>
      </c>
      <c r="N732" s="2">
        <v>13.69</v>
      </c>
      <c r="O732" s="2">
        <v>24.0</v>
      </c>
      <c r="P732" s="2">
        <v>3.0</v>
      </c>
      <c r="Q732" s="2" t="s">
        <v>1273</v>
      </c>
      <c r="R732" s="2" t="s">
        <v>24</v>
      </c>
      <c r="S732" s="2" t="b">
        <f>COUNTIF('Marcas Target'!A:A,dados!$E732)&gt;0</f>
        <v>0</v>
      </c>
    </row>
    <row r="733" ht="15.75" customHeight="1">
      <c r="A733" s="2" t="s">
        <v>1269</v>
      </c>
      <c r="B733" s="2" t="s">
        <v>1270</v>
      </c>
      <c r="C733" s="2" t="s">
        <v>24</v>
      </c>
      <c r="D733" s="2" t="s">
        <v>24</v>
      </c>
      <c r="E733" s="2" t="s">
        <v>106</v>
      </c>
      <c r="F733" s="2" t="s">
        <v>24</v>
      </c>
      <c r="G733" s="2" t="s">
        <v>24</v>
      </c>
      <c r="H733" s="2" t="s">
        <v>1271</v>
      </c>
      <c r="I733" s="2" t="s">
        <v>1269</v>
      </c>
      <c r="J733" s="2" t="s">
        <v>26</v>
      </c>
      <c r="K733" s="2" t="s">
        <v>1272</v>
      </c>
      <c r="L733" s="3">
        <v>46087.0</v>
      </c>
      <c r="M733" s="2" t="s">
        <v>24</v>
      </c>
      <c r="N733" s="2" t="s">
        <v>24</v>
      </c>
      <c r="O733" s="2">
        <v>3.0</v>
      </c>
      <c r="P733" s="2">
        <v>0.0</v>
      </c>
      <c r="Q733" s="2" t="s">
        <v>1273</v>
      </c>
      <c r="R733" s="2" t="s">
        <v>24</v>
      </c>
      <c r="S733" s="2" t="b">
        <f>COUNTIF('Marcas Target'!A:A,dados!$E733)&gt;0</f>
        <v>0</v>
      </c>
    </row>
    <row r="734" ht="15.75" customHeight="1">
      <c r="A734" s="2" t="s">
        <v>1274</v>
      </c>
      <c r="B734" s="2" t="s">
        <v>1275</v>
      </c>
      <c r="C734" s="2" t="s">
        <v>24</v>
      </c>
      <c r="D734" s="2" t="s">
        <v>24</v>
      </c>
      <c r="E734" s="2" t="s">
        <v>503</v>
      </c>
      <c r="F734" s="2" t="s">
        <v>24</v>
      </c>
      <c r="G734" s="2" t="s">
        <v>24</v>
      </c>
      <c r="H734" s="2" t="s">
        <v>1276</v>
      </c>
      <c r="I734" s="2" t="s">
        <v>1274</v>
      </c>
      <c r="J734" s="2" t="s">
        <v>26</v>
      </c>
      <c r="K734" s="2" t="s">
        <v>1277</v>
      </c>
      <c r="L734" s="3">
        <v>46089.0</v>
      </c>
      <c r="M734" s="2">
        <v>20.49</v>
      </c>
      <c r="N734" s="2">
        <v>20.49</v>
      </c>
      <c r="O734" s="2">
        <v>22.0</v>
      </c>
      <c r="P734" s="2">
        <v>2.0</v>
      </c>
      <c r="Q734" s="2" t="s">
        <v>1278</v>
      </c>
      <c r="R734" s="2" t="s">
        <v>24</v>
      </c>
      <c r="S734" s="2" t="b">
        <f>COUNTIF('Marcas Target'!A:A,dados!$E734)&gt;0</f>
        <v>0</v>
      </c>
    </row>
    <row r="735" ht="15.75" customHeight="1">
      <c r="A735" s="2" t="s">
        <v>1274</v>
      </c>
      <c r="B735" s="2" t="s">
        <v>1275</v>
      </c>
      <c r="C735" s="2" t="s">
        <v>24</v>
      </c>
      <c r="D735" s="2" t="s">
        <v>24</v>
      </c>
      <c r="E735" s="2" t="s">
        <v>503</v>
      </c>
      <c r="F735" s="2" t="s">
        <v>24</v>
      </c>
      <c r="G735" s="2" t="s">
        <v>24</v>
      </c>
      <c r="H735" s="2" t="s">
        <v>1276</v>
      </c>
      <c r="I735" s="2" t="s">
        <v>1274</v>
      </c>
      <c r="J735" s="2" t="s">
        <v>26</v>
      </c>
      <c r="K735" s="2" t="s">
        <v>1277</v>
      </c>
      <c r="L735" s="3">
        <v>46088.0</v>
      </c>
      <c r="M735" s="2">
        <v>43.99</v>
      </c>
      <c r="N735" s="2">
        <v>43.99</v>
      </c>
      <c r="O735" s="2">
        <v>24.0</v>
      </c>
      <c r="P735" s="2">
        <v>1.0</v>
      </c>
      <c r="Q735" s="2" t="s">
        <v>1278</v>
      </c>
      <c r="R735" s="2" t="s">
        <v>24</v>
      </c>
      <c r="S735" s="2" t="b">
        <f>COUNTIF('Marcas Target'!A:A,dados!$E735)&gt;0</f>
        <v>0</v>
      </c>
    </row>
    <row r="736" ht="15.75" customHeight="1">
      <c r="A736" s="2" t="s">
        <v>1274</v>
      </c>
      <c r="B736" s="2" t="s">
        <v>1275</v>
      </c>
      <c r="C736" s="2" t="s">
        <v>24</v>
      </c>
      <c r="D736" s="2" t="s">
        <v>24</v>
      </c>
      <c r="E736" s="2" t="s">
        <v>503</v>
      </c>
      <c r="F736" s="2" t="s">
        <v>24</v>
      </c>
      <c r="G736" s="2" t="s">
        <v>24</v>
      </c>
      <c r="H736" s="2" t="s">
        <v>1276</v>
      </c>
      <c r="I736" s="2" t="s">
        <v>1274</v>
      </c>
      <c r="J736" s="2" t="s">
        <v>26</v>
      </c>
      <c r="K736" s="2" t="s">
        <v>1277</v>
      </c>
      <c r="L736" s="3">
        <v>46087.0</v>
      </c>
      <c r="M736" s="2" t="s">
        <v>24</v>
      </c>
      <c r="N736" s="2" t="s">
        <v>24</v>
      </c>
      <c r="O736" s="2">
        <v>3.0</v>
      </c>
      <c r="P736" s="2">
        <v>0.0</v>
      </c>
      <c r="Q736" s="2" t="s">
        <v>1278</v>
      </c>
      <c r="R736" s="2" t="s">
        <v>24</v>
      </c>
      <c r="S736" s="2" t="b">
        <f>COUNTIF('Marcas Target'!A:A,dados!$E736)&gt;0</f>
        <v>0</v>
      </c>
    </row>
    <row r="737" ht="15.75" customHeight="1">
      <c r="A737" s="2" t="s">
        <v>1279</v>
      </c>
      <c r="B737" s="2" t="s">
        <v>1280</v>
      </c>
      <c r="C737" s="2" t="s">
        <v>24</v>
      </c>
      <c r="D737" s="2" t="s">
        <v>24</v>
      </c>
      <c r="E737" s="2" t="s">
        <v>843</v>
      </c>
      <c r="F737" s="2" t="s">
        <v>24</v>
      </c>
      <c r="G737" s="2" t="s">
        <v>24</v>
      </c>
      <c r="H737" s="2" t="s">
        <v>1281</v>
      </c>
      <c r="I737" s="2" t="s">
        <v>1279</v>
      </c>
      <c r="J737" s="2" t="s">
        <v>26</v>
      </c>
      <c r="K737" s="2" t="s">
        <v>1282</v>
      </c>
      <c r="L737" s="3">
        <v>46089.0</v>
      </c>
      <c r="M737" s="2">
        <v>30.99</v>
      </c>
      <c r="N737" s="2">
        <v>30.99</v>
      </c>
      <c r="O737" s="2">
        <v>23.0</v>
      </c>
      <c r="P737" s="2">
        <v>23.0</v>
      </c>
      <c r="Q737" s="2" t="s">
        <v>1283</v>
      </c>
      <c r="R737" s="2" t="s">
        <v>24</v>
      </c>
      <c r="S737" s="2" t="b">
        <f>COUNTIF('Marcas Target'!A:A,dados!$E737)&gt;0</f>
        <v>1</v>
      </c>
    </row>
    <row r="738" ht="15.75" customHeight="1">
      <c r="A738" s="2" t="s">
        <v>1279</v>
      </c>
      <c r="B738" s="2" t="s">
        <v>1280</v>
      </c>
      <c r="C738" s="2" t="s">
        <v>24</v>
      </c>
      <c r="D738" s="2" t="s">
        <v>24</v>
      </c>
      <c r="E738" s="2" t="s">
        <v>843</v>
      </c>
      <c r="F738" s="2" t="s">
        <v>24</v>
      </c>
      <c r="G738" s="2" t="s">
        <v>24</v>
      </c>
      <c r="H738" s="2" t="s">
        <v>1281</v>
      </c>
      <c r="I738" s="2" t="s">
        <v>1279</v>
      </c>
      <c r="J738" s="2" t="s">
        <v>26</v>
      </c>
      <c r="K738" s="2" t="s">
        <v>1282</v>
      </c>
      <c r="L738" s="3">
        <v>46088.0</v>
      </c>
      <c r="M738" s="2">
        <v>30.99</v>
      </c>
      <c r="N738" s="2">
        <v>30.99</v>
      </c>
      <c r="O738" s="2">
        <v>24.0</v>
      </c>
      <c r="P738" s="2">
        <v>18.0</v>
      </c>
      <c r="Q738" s="2" t="s">
        <v>1283</v>
      </c>
      <c r="R738" s="2" t="s">
        <v>24</v>
      </c>
      <c r="S738" s="2" t="b">
        <f>COUNTIF('Marcas Target'!A:A,dados!$E738)&gt;0</f>
        <v>1</v>
      </c>
    </row>
    <row r="739" ht="15.75" customHeight="1">
      <c r="A739" s="2" t="s">
        <v>1279</v>
      </c>
      <c r="B739" s="2" t="s">
        <v>1280</v>
      </c>
      <c r="C739" s="2" t="s">
        <v>24</v>
      </c>
      <c r="D739" s="2" t="s">
        <v>24</v>
      </c>
      <c r="E739" s="2" t="s">
        <v>843</v>
      </c>
      <c r="F739" s="2" t="s">
        <v>24</v>
      </c>
      <c r="G739" s="2" t="s">
        <v>24</v>
      </c>
      <c r="H739" s="2" t="s">
        <v>1281</v>
      </c>
      <c r="I739" s="2" t="s">
        <v>1279</v>
      </c>
      <c r="J739" s="2" t="s">
        <v>26</v>
      </c>
      <c r="K739" s="2" t="s">
        <v>1282</v>
      </c>
      <c r="L739" s="3">
        <v>46087.0</v>
      </c>
      <c r="M739" s="2">
        <v>30.99</v>
      </c>
      <c r="N739" s="2">
        <v>30.99</v>
      </c>
      <c r="O739" s="2">
        <v>3.0</v>
      </c>
      <c r="P739" s="2">
        <v>2.0</v>
      </c>
      <c r="Q739" s="2" t="s">
        <v>1283</v>
      </c>
      <c r="R739" s="2" t="s">
        <v>24</v>
      </c>
      <c r="S739" s="2" t="b">
        <f>COUNTIF('Marcas Target'!A:A,dados!$E739)&gt;0</f>
        <v>1</v>
      </c>
    </row>
    <row r="740" ht="15.75" customHeight="1">
      <c r="A740" s="2" t="s">
        <v>1284</v>
      </c>
      <c r="B740" s="2" t="s">
        <v>1117</v>
      </c>
      <c r="C740" s="2" t="s">
        <v>24</v>
      </c>
      <c r="D740" s="2" t="s">
        <v>24</v>
      </c>
      <c r="E740" s="2" t="s">
        <v>106</v>
      </c>
      <c r="F740" s="2" t="s">
        <v>24</v>
      </c>
      <c r="G740" s="2" t="s">
        <v>24</v>
      </c>
      <c r="H740" s="2" t="s">
        <v>1285</v>
      </c>
      <c r="I740" s="2" t="s">
        <v>1284</v>
      </c>
      <c r="J740" s="2" t="s">
        <v>26</v>
      </c>
      <c r="K740" s="2" t="s">
        <v>1286</v>
      </c>
      <c r="L740" s="3">
        <v>46089.0</v>
      </c>
      <c r="M740" s="2">
        <v>9.59</v>
      </c>
      <c r="N740" s="2">
        <v>9.59</v>
      </c>
      <c r="O740" s="2">
        <v>22.0</v>
      </c>
      <c r="P740" s="2">
        <v>1.0</v>
      </c>
      <c r="Q740" s="2" t="s">
        <v>1287</v>
      </c>
      <c r="R740" s="2" t="s">
        <v>24</v>
      </c>
      <c r="S740" s="2" t="b">
        <f>COUNTIF('Marcas Target'!A:A,dados!$E740)&gt;0</f>
        <v>0</v>
      </c>
    </row>
    <row r="741" ht="15.75" customHeight="1">
      <c r="A741" s="2" t="s">
        <v>1284</v>
      </c>
      <c r="B741" s="2" t="s">
        <v>1117</v>
      </c>
      <c r="C741" s="2" t="s">
        <v>24</v>
      </c>
      <c r="D741" s="2" t="s">
        <v>24</v>
      </c>
      <c r="E741" s="2" t="s">
        <v>106</v>
      </c>
      <c r="F741" s="2" t="s">
        <v>24</v>
      </c>
      <c r="G741" s="2" t="s">
        <v>24</v>
      </c>
      <c r="H741" s="2" t="s">
        <v>1285</v>
      </c>
      <c r="I741" s="2" t="s">
        <v>1284</v>
      </c>
      <c r="J741" s="2" t="s">
        <v>26</v>
      </c>
      <c r="K741" s="2" t="s">
        <v>1286</v>
      </c>
      <c r="L741" s="3">
        <v>46088.0</v>
      </c>
      <c r="M741" s="2">
        <v>49.12</v>
      </c>
      <c r="N741" s="2">
        <v>49.12</v>
      </c>
      <c r="O741" s="2">
        <v>24.0</v>
      </c>
      <c r="P741" s="2">
        <v>2.0</v>
      </c>
      <c r="Q741" s="2" t="s">
        <v>1287</v>
      </c>
      <c r="R741" s="2" t="s">
        <v>24</v>
      </c>
      <c r="S741" s="2" t="b">
        <f>COUNTIF('Marcas Target'!A:A,dados!$E741)&gt;0</f>
        <v>0</v>
      </c>
    </row>
    <row r="742" ht="15.75" customHeight="1">
      <c r="A742" s="2" t="s">
        <v>1284</v>
      </c>
      <c r="B742" s="2" t="s">
        <v>1117</v>
      </c>
      <c r="C742" s="2" t="s">
        <v>24</v>
      </c>
      <c r="D742" s="2" t="s">
        <v>24</v>
      </c>
      <c r="E742" s="2" t="s">
        <v>106</v>
      </c>
      <c r="F742" s="2" t="s">
        <v>24</v>
      </c>
      <c r="G742" s="2" t="s">
        <v>24</v>
      </c>
      <c r="H742" s="2" t="s">
        <v>1285</v>
      </c>
      <c r="I742" s="2" t="s">
        <v>1284</v>
      </c>
      <c r="J742" s="2" t="s">
        <v>26</v>
      </c>
      <c r="K742" s="2" t="s">
        <v>1286</v>
      </c>
      <c r="L742" s="3">
        <v>46087.0</v>
      </c>
      <c r="M742" s="2" t="s">
        <v>24</v>
      </c>
      <c r="N742" s="2" t="s">
        <v>24</v>
      </c>
      <c r="O742" s="2">
        <v>3.0</v>
      </c>
      <c r="P742" s="2">
        <v>0.0</v>
      </c>
      <c r="Q742" s="2" t="s">
        <v>1287</v>
      </c>
      <c r="R742" s="2" t="s">
        <v>24</v>
      </c>
      <c r="S742" s="2" t="b">
        <f>COUNTIF('Marcas Target'!A:A,dados!$E742)&gt;0</f>
        <v>0</v>
      </c>
    </row>
    <row r="743" ht="15.75" customHeight="1">
      <c r="A743" s="2" t="s">
        <v>1288</v>
      </c>
      <c r="B743" s="2" t="s">
        <v>539</v>
      </c>
      <c r="C743" s="2" t="s">
        <v>24</v>
      </c>
      <c r="D743" s="2" t="s">
        <v>24</v>
      </c>
      <c r="E743" s="2" t="s">
        <v>23</v>
      </c>
      <c r="F743" s="2" t="s">
        <v>24</v>
      </c>
      <c r="G743" s="2" t="s">
        <v>24</v>
      </c>
      <c r="H743" s="2" t="s">
        <v>1289</v>
      </c>
      <c r="I743" s="2" t="s">
        <v>1288</v>
      </c>
      <c r="J743" s="2" t="s">
        <v>26</v>
      </c>
      <c r="K743" s="2" t="s">
        <v>1290</v>
      </c>
      <c r="L743" s="3">
        <v>46089.0</v>
      </c>
      <c r="M743" s="2" t="s">
        <v>24</v>
      </c>
      <c r="N743" s="2" t="s">
        <v>24</v>
      </c>
      <c r="O743" s="2">
        <v>23.0</v>
      </c>
      <c r="P743" s="2">
        <v>0.0</v>
      </c>
      <c r="Q743" s="2" t="s">
        <v>1291</v>
      </c>
      <c r="R743" s="2" t="s">
        <v>24</v>
      </c>
      <c r="S743" s="2" t="b">
        <f>COUNTIF('Marcas Target'!A:A,dados!$E743)&gt;0</f>
        <v>0</v>
      </c>
    </row>
    <row r="744" ht="15.75" customHeight="1">
      <c r="A744" s="2" t="s">
        <v>1288</v>
      </c>
      <c r="B744" s="2" t="s">
        <v>539</v>
      </c>
      <c r="C744" s="2" t="s">
        <v>24</v>
      </c>
      <c r="D744" s="2" t="s">
        <v>24</v>
      </c>
      <c r="E744" s="2" t="s">
        <v>23</v>
      </c>
      <c r="F744" s="2" t="s">
        <v>24</v>
      </c>
      <c r="G744" s="2" t="s">
        <v>24</v>
      </c>
      <c r="H744" s="2" t="s">
        <v>1289</v>
      </c>
      <c r="I744" s="2" t="s">
        <v>1288</v>
      </c>
      <c r="J744" s="2" t="s">
        <v>26</v>
      </c>
      <c r="K744" s="2" t="s">
        <v>1290</v>
      </c>
      <c r="L744" s="3">
        <v>46088.0</v>
      </c>
      <c r="M744" s="2">
        <v>39.58</v>
      </c>
      <c r="N744" s="2">
        <v>39.58</v>
      </c>
      <c r="O744" s="2">
        <v>24.0</v>
      </c>
      <c r="P744" s="2">
        <v>1.0</v>
      </c>
      <c r="Q744" s="2" t="s">
        <v>1291</v>
      </c>
      <c r="R744" s="2" t="s">
        <v>24</v>
      </c>
      <c r="S744" s="2" t="b">
        <f>COUNTIF('Marcas Target'!A:A,dados!$E744)&gt;0</f>
        <v>0</v>
      </c>
    </row>
    <row r="745" ht="15.75" customHeight="1">
      <c r="A745" s="2" t="s">
        <v>1288</v>
      </c>
      <c r="B745" s="2" t="s">
        <v>539</v>
      </c>
      <c r="C745" s="2" t="s">
        <v>24</v>
      </c>
      <c r="D745" s="2" t="s">
        <v>24</v>
      </c>
      <c r="E745" s="2" t="s">
        <v>23</v>
      </c>
      <c r="F745" s="2" t="s">
        <v>24</v>
      </c>
      <c r="G745" s="2" t="s">
        <v>24</v>
      </c>
      <c r="H745" s="2" t="s">
        <v>1289</v>
      </c>
      <c r="I745" s="2" t="s">
        <v>1288</v>
      </c>
      <c r="J745" s="2" t="s">
        <v>26</v>
      </c>
      <c r="K745" s="2" t="s">
        <v>1290</v>
      </c>
      <c r="L745" s="3">
        <v>46087.0</v>
      </c>
      <c r="M745" s="2" t="s">
        <v>24</v>
      </c>
      <c r="N745" s="2" t="s">
        <v>24</v>
      </c>
      <c r="O745" s="2">
        <v>3.0</v>
      </c>
      <c r="P745" s="2">
        <v>0.0</v>
      </c>
      <c r="Q745" s="2" t="s">
        <v>1291</v>
      </c>
      <c r="R745" s="2" t="s">
        <v>24</v>
      </c>
      <c r="S745" s="2" t="b">
        <f>COUNTIF('Marcas Target'!A:A,dados!$E745)&gt;0</f>
        <v>0</v>
      </c>
    </row>
    <row r="746" ht="15.75" customHeight="1">
      <c r="A746" s="2" t="s">
        <v>1292</v>
      </c>
      <c r="B746" s="2" t="s">
        <v>1293</v>
      </c>
      <c r="C746" s="2" t="s">
        <v>24</v>
      </c>
      <c r="D746" s="2" t="s">
        <v>24</v>
      </c>
      <c r="E746" s="2" t="s">
        <v>23</v>
      </c>
      <c r="F746" s="2" t="s">
        <v>24</v>
      </c>
      <c r="G746" s="2" t="s">
        <v>24</v>
      </c>
      <c r="H746" s="2" t="s">
        <v>1294</v>
      </c>
      <c r="I746" s="2" t="s">
        <v>1292</v>
      </c>
      <c r="J746" s="2" t="s">
        <v>26</v>
      </c>
      <c r="K746" s="2" t="s">
        <v>1295</v>
      </c>
      <c r="L746" s="3">
        <v>46089.0</v>
      </c>
      <c r="M746" s="2">
        <v>26.99</v>
      </c>
      <c r="N746" s="2">
        <v>26.99</v>
      </c>
      <c r="O746" s="2">
        <v>22.0</v>
      </c>
      <c r="P746" s="2">
        <v>22.0</v>
      </c>
      <c r="Q746" s="2" t="s">
        <v>1296</v>
      </c>
      <c r="R746" s="2" t="s">
        <v>24</v>
      </c>
      <c r="S746" s="2" t="b">
        <f>COUNTIF('Marcas Target'!A:A,dados!$E746)&gt;0</f>
        <v>0</v>
      </c>
    </row>
    <row r="747" ht="15.75" customHeight="1">
      <c r="A747" s="2" t="s">
        <v>1292</v>
      </c>
      <c r="B747" s="2" t="s">
        <v>1293</v>
      </c>
      <c r="C747" s="2" t="s">
        <v>24</v>
      </c>
      <c r="D747" s="2" t="s">
        <v>24</v>
      </c>
      <c r="E747" s="2" t="s">
        <v>23</v>
      </c>
      <c r="F747" s="2" t="s">
        <v>24</v>
      </c>
      <c r="G747" s="2" t="s">
        <v>24</v>
      </c>
      <c r="H747" s="2" t="s">
        <v>1294</v>
      </c>
      <c r="I747" s="2" t="s">
        <v>1292</v>
      </c>
      <c r="J747" s="2" t="s">
        <v>26</v>
      </c>
      <c r="K747" s="2" t="s">
        <v>1295</v>
      </c>
      <c r="L747" s="3">
        <v>46088.0</v>
      </c>
      <c r="M747" s="2">
        <v>26.99</v>
      </c>
      <c r="N747" s="2">
        <v>26.99</v>
      </c>
      <c r="O747" s="2">
        <v>24.0</v>
      </c>
      <c r="P747" s="2">
        <v>24.0</v>
      </c>
      <c r="Q747" s="2" t="s">
        <v>1296</v>
      </c>
      <c r="R747" s="2" t="s">
        <v>24</v>
      </c>
      <c r="S747" s="2" t="b">
        <f>COUNTIF('Marcas Target'!A:A,dados!$E747)&gt;0</f>
        <v>0</v>
      </c>
    </row>
    <row r="748" ht="15.75" customHeight="1">
      <c r="A748" s="2" t="s">
        <v>1292</v>
      </c>
      <c r="B748" s="2" t="s">
        <v>1293</v>
      </c>
      <c r="C748" s="2" t="s">
        <v>24</v>
      </c>
      <c r="D748" s="2" t="s">
        <v>24</v>
      </c>
      <c r="E748" s="2" t="s">
        <v>23</v>
      </c>
      <c r="F748" s="2" t="s">
        <v>24</v>
      </c>
      <c r="G748" s="2" t="s">
        <v>24</v>
      </c>
      <c r="H748" s="2" t="s">
        <v>1294</v>
      </c>
      <c r="I748" s="2" t="s">
        <v>1292</v>
      </c>
      <c r="J748" s="2" t="s">
        <v>26</v>
      </c>
      <c r="K748" s="2" t="s">
        <v>1295</v>
      </c>
      <c r="L748" s="3">
        <v>46087.0</v>
      </c>
      <c r="M748" s="2">
        <v>26.99</v>
      </c>
      <c r="N748" s="2">
        <v>26.99</v>
      </c>
      <c r="O748" s="2">
        <v>3.0</v>
      </c>
      <c r="P748" s="2">
        <v>3.0</v>
      </c>
      <c r="Q748" s="2" t="s">
        <v>1296</v>
      </c>
      <c r="R748" s="2" t="s">
        <v>24</v>
      </c>
      <c r="S748" s="2" t="b">
        <f>COUNTIF('Marcas Target'!A:A,dados!$E748)&gt;0</f>
        <v>0</v>
      </c>
    </row>
    <row r="749" ht="15.75" customHeight="1">
      <c r="A749" s="2" t="s">
        <v>1297</v>
      </c>
      <c r="B749" s="2" t="s">
        <v>1298</v>
      </c>
      <c r="C749" s="2" t="s">
        <v>24</v>
      </c>
      <c r="D749" s="2" t="s">
        <v>24</v>
      </c>
      <c r="E749" s="2" t="s">
        <v>425</v>
      </c>
      <c r="F749" s="2" t="s">
        <v>24</v>
      </c>
      <c r="G749" s="2" t="s">
        <v>24</v>
      </c>
      <c r="H749" s="2" t="s">
        <v>1299</v>
      </c>
      <c r="I749" s="2" t="s">
        <v>1297</v>
      </c>
      <c r="J749" s="2" t="s">
        <v>26</v>
      </c>
      <c r="K749" s="2" t="s">
        <v>1300</v>
      </c>
      <c r="L749" s="3">
        <v>46089.0</v>
      </c>
      <c r="M749" s="2">
        <v>5.89</v>
      </c>
      <c r="N749" s="2">
        <v>5.89</v>
      </c>
      <c r="O749" s="2">
        <v>22.0</v>
      </c>
      <c r="P749" s="2">
        <v>16.0</v>
      </c>
      <c r="Q749" s="2" t="s">
        <v>1301</v>
      </c>
      <c r="R749" s="2" t="s">
        <v>24</v>
      </c>
      <c r="S749" s="2" t="b">
        <f>COUNTIF('Marcas Target'!A:A,dados!$E749)&gt;0</f>
        <v>0</v>
      </c>
    </row>
    <row r="750" ht="15.75" customHeight="1">
      <c r="A750" s="2" t="s">
        <v>1297</v>
      </c>
      <c r="B750" s="2" t="s">
        <v>1298</v>
      </c>
      <c r="C750" s="2" t="s">
        <v>24</v>
      </c>
      <c r="D750" s="2" t="s">
        <v>24</v>
      </c>
      <c r="E750" s="2" t="s">
        <v>425</v>
      </c>
      <c r="F750" s="2" t="s">
        <v>24</v>
      </c>
      <c r="G750" s="2" t="s">
        <v>24</v>
      </c>
      <c r="H750" s="2" t="s">
        <v>1299</v>
      </c>
      <c r="I750" s="2" t="s">
        <v>1297</v>
      </c>
      <c r="J750" s="2" t="s">
        <v>26</v>
      </c>
      <c r="K750" s="2" t="s">
        <v>1300</v>
      </c>
      <c r="L750" s="3">
        <v>46088.0</v>
      </c>
      <c r="M750" s="2">
        <v>5.89</v>
      </c>
      <c r="N750" s="2">
        <v>5.89</v>
      </c>
      <c r="O750" s="2">
        <v>24.0</v>
      </c>
      <c r="P750" s="2">
        <v>16.0</v>
      </c>
      <c r="Q750" s="2" t="s">
        <v>1301</v>
      </c>
      <c r="R750" s="2" t="s">
        <v>24</v>
      </c>
      <c r="S750" s="2" t="b">
        <f>COUNTIF('Marcas Target'!A:A,dados!$E750)&gt;0</f>
        <v>0</v>
      </c>
    </row>
    <row r="751" ht="15.75" customHeight="1">
      <c r="A751" s="2" t="s">
        <v>1297</v>
      </c>
      <c r="B751" s="2" t="s">
        <v>1298</v>
      </c>
      <c r="C751" s="2" t="s">
        <v>24</v>
      </c>
      <c r="D751" s="2" t="s">
        <v>24</v>
      </c>
      <c r="E751" s="2" t="s">
        <v>425</v>
      </c>
      <c r="F751" s="2" t="s">
        <v>24</v>
      </c>
      <c r="G751" s="2" t="s">
        <v>24</v>
      </c>
      <c r="H751" s="2" t="s">
        <v>1299</v>
      </c>
      <c r="I751" s="2" t="s">
        <v>1297</v>
      </c>
      <c r="J751" s="2" t="s">
        <v>26</v>
      </c>
      <c r="K751" s="2" t="s">
        <v>1300</v>
      </c>
      <c r="L751" s="3">
        <v>46087.0</v>
      </c>
      <c r="M751" s="2">
        <v>5.89</v>
      </c>
      <c r="N751" s="2">
        <v>5.89</v>
      </c>
      <c r="O751" s="2">
        <v>3.0</v>
      </c>
      <c r="P751" s="2">
        <v>1.0</v>
      </c>
      <c r="Q751" s="2" t="s">
        <v>1301</v>
      </c>
      <c r="R751" s="2" t="s">
        <v>24</v>
      </c>
      <c r="S751" s="2" t="b">
        <f>COUNTIF('Marcas Target'!A:A,dados!$E751)&gt;0</f>
        <v>0</v>
      </c>
    </row>
    <row r="752" ht="15.75" customHeight="1">
      <c r="A752" s="2" t="s">
        <v>1302</v>
      </c>
      <c r="B752" s="2" t="s">
        <v>1303</v>
      </c>
      <c r="C752" s="2" t="s">
        <v>24</v>
      </c>
      <c r="D752" s="2" t="s">
        <v>24</v>
      </c>
      <c r="E752" s="2" t="s">
        <v>425</v>
      </c>
      <c r="F752" s="2" t="s">
        <v>24</v>
      </c>
      <c r="G752" s="2" t="s">
        <v>24</v>
      </c>
      <c r="H752" s="2" t="s">
        <v>1304</v>
      </c>
      <c r="I752" s="2" t="s">
        <v>1302</v>
      </c>
      <c r="J752" s="2" t="s">
        <v>26</v>
      </c>
      <c r="K752" s="2" t="s">
        <v>1305</v>
      </c>
      <c r="L752" s="3">
        <v>46089.0</v>
      </c>
      <c r="M752" s="2">
        <v>21.99</v>
      </c>
      <c r="N752" s="2">
        <v>21.99</v>
      </c>
      <c r="O752" s="2">
        <v>22.0</v>
      </c>
      <c r="P752" s="2">
        <v>14.0</v>
      </c>
      <c r="Q752" s="2" t="s">
        <v>1306</v>
      </c>
      <c r="R752" s="2" t="s">
        <v>24</v>
      </c>
      <c r="S752" s="2" t="b">
        <f>COUNTIF('Marcas Target'!A:A,dados!$E752)&gt;0</f>
        <v>0</v>
      </c>
    </row>
    <row r="753" ht="15.75" customHeight="1">
      <c r="A753" s="2" t="s">
        <v>1302</v>
      </c>
      <c r="B753" s="2" t="s">
        <v>1303</v>
      </c>
      <c r="C753" s="2" t="s">
        <v>24</v>
      </c>
      <c r="D753" s="2" t="s">
        <v>24</v>
      </c>
      <c r="E753" s="2" t="s">
        <v>425</v>
      </c>
      <c r="F753" s="2" t="s">
        <v>24</v>
      </c>
      <c r="G753" s="2" t="s">
        <v>24</v>
      </c>
      <c r="H753" s="2" t="s">
        <v>1304</v>
      </c>
      <c r="I753" s="2" t="s">
        <v>1302</v>
      </c>
      <c r="J753" s="2" t="s">
        <v>26</v>
      </c>
      <c r="K753" s="2" t="s">
        <v>1305</v>
      </c>
      <c r="L753" s="3">
        <v>46088.0</v>
      </c>
      <c r="M753" s="2">
        <v>21.99</v>
      </c>
      <c r="N753" s="2">
        <v>21.99</v>
      </c>
      <c r="O753" s="2">
        <v>24.0</v>
      </c>
      <c r="P753" s="2">
        <v>22.0</v>
      </c>
      <c r="Q753" s="2" t="s">
        <v>1306</v>
      </c>
      <c r="R753" s="2" t="s">
        <v>24</v>
      </c>
      <c r="S753" s="2" t="b">
        <f>COUNTIF('Marcas Target'!A:A,dados!$E753)&gt;0</f>
        <v>0</v>
      </c>
    </row>
    <row r="754" ht="15.75" customHeight="1">
      <c r="A754" s="2" t="s">
        <v>1302</v>
      </c>
      <c r="B754" s="2" t="s">
        <v>1303</v>
      </c>
      <c r="C754" s="2" t="s">
        <v>24</v>
      </c>
      <c r="D754" s="2" t="s">
        <v>24</v>
      </c>
      <c r="E754" s="2" t="s">
        <v>425</v>
      </c>
      <c r="F754" s="2" t="s">
        <v>24</v>
      </c>
      <c r="G754" s="2" t="s">
        <v>24</v>
      </c>
      <c r="H754" s="2" t="s">
        <v>1304</v>
      </c>
      <c r="I754" s="2" t="s">
        <v>1302</v>
      </c>
      <c r="J754" s="2" t="s">
        <v>26</v>
      </c>
      <c r="K754" s="2" t="s">
        <v>1305</v>
      </c>
      <c r="L754" s="3">
        <v>46087.0</v>
      </c>
      <c r="M754" s="2">
        <v>21.99</v>
      </c>
      <c r="N754" s="2">
        <v>21.99</v>
      </c>
      <c r="O754" s="2">
        <v>3.0</v>
      </c>
      <c r="P754" s="2">
        <v>2.0</v>
      </c>
      <c r="Q754" s="2" t="s">
        <v>1306</v>
      </c>
      <c r="R754" s="2" t="s">
        <v>24</v>
      </c>
      <c r="S754" s="2" t="b">
        <f>COUNTIF('Marcas Target'!A:A,dados!$E754)&gt;0</f>
        <v>0</v>
      </c>
    </row>
    <row r="755" ht="15.75" customHeight="1">
      <c r="A755" s="2" t="s">
        <v>1307</v>
      </c>
      <c r="B755" s="2" t="s">
        <v>414</v>
      </c>
      <c r="C755" s="2" t="s">
        <v>24</v>
      </c>
      <c r="D755" s="2" t="s">
        <v>24</v>
      </c>
      <c r="E755" s="2" t="s">
        <v>503</v>
      </c>
      <c r="F755" s="2" t="s">
        <v>24</v>
      </c>
      <c r="G755" s="2" t="s">
        <v>24</v>
      </c>
      <c r="H755" s="2" t="s">
        <v>1308</v>
      </c>
      <c r="I755" s="2" t="s">
        <v>1307</v>
      </c>
      <c r="J755" s="2" t="s">
        <v>26</v>
      </c>
      <c r="K755" s="2" t="s">
        <v>1309</v>
      </c>
      <c r="L755" s="3">
        <v>46089.0</v>
      </c>
      <c r="M755" s="2" t="s">
        <v>24</v>
      </c>
      <c r="N755" s="2" t="s">
        <v>24</v>
      </c>
      <c r="O755" s="2">
        <v>22.0</v>
      </c>
      <c r="P755" s="2">
        <v>0.0</v>
      </c>
      <c r="Q755" s="2" t="s">
        <v>1310</v>
      </c>
      <c r="R755" s="2" t="s">
        <v>24</v>
      </c>
      <c r="S755" s="2" t="b">
        <f>COUNTIF('Marcas Target'!A:A,dados!$E755)&gt;0</f>
        <v>0</v>
      </c>
    </row>
    <row r="756" ht="15.75" customHeight="1">
      <c r="A756" s="2" t="s">
        <v>1307</v>
      </c>
      <c r="B756" s="2" t="s">
        <v>414</v>
      </c>
      <c r="C756" s="2" t="s">
        <v>24</v>
      </c>
      <c r="D756" s="2" t="s">
        <v>24</v>
      </c>
      <c r="E756" s="2" t="s">
        <v>503</v>
      </c>
      <c r="F756" s="2" t="s">
        <v>24</v>
      </c>
      <c r="G756" s="2" t="s">
        <v>24</v>
      </c>
      <c r="H756" s="2" t="s">
        <v>1308</v>
      </c>
      <c r="I756" s="2" t="s">
        <v>1307</v>
      </c>
      <c r="J756" s="2" t="s">
        <v>26</v>
      </c>
      <c r="K756" s="2" t="s">
        <v>1309</v>
      </c>
      <c r="L756" s="3">
        <v>46088.0</v>
      </c>
      <c r="M756" s="2">
        <v>10.49</v>
      </c>
      <c r="N756" s="2">
        <v>10.49</v>
      </c>
      <c r="O756" s="2">
        <v>24.0</v>
      </c>
      <c r="P756" s="2">
        <v>1.0</v>
      </c>
      <c r="Q756" s="2" t="s">
        <v>1310</v>
      </c>
      <c r="R756" s="2" t="s">
        <v>24</v>
      </c>
      <c r="S756" s="2" t="b">
        <f>COUNTIF('Marcas Target'!A:A,dados!$E756)&gt;0</f>
        <v>0</v>
      </c>
    </row>
    <row r="757" ht="15.75" customHeight="1">
      <c r="A757" s="2" t="s">
        <v>1307</v>
      </c>
      <c r="B757" s="2" t="s">
        <v>414</v>
      </c>
      <c r="C757" s="2" t="s">
        <v>24</v>
      </c>
      <c r="D757" s="2" t="s">
        <v>24</v>
      </c>
      <c r="E757" s="2" t="s">
        <v>503</v>
      </c>
      <c r="F757" s="2" t="s">
        <v>24</v>
      </c>
      <c r="G757" s="2" t="s">
        <v>24</v>
      </c>
      <c r="H757" s="2" t="s">
        <v>1308</v>
      </c>
      <c r="I757" s="2" t="s">
        <v>1307</v>
      </c>
      <c r="J757" s="2" t="s">
        <v>26</v>
      </c>
      <c r="K757" s="2" t="s">
        <v>1309</v>
      </c>
      <c r="L757" s="3">
        <v>46087.0</v>
      </c>
      <c r="M757" s="2" t="s">
        <v>24</v>
      </c>
      <c r="N757" s="2" t="s">
        <v>24</v>
      </c>
      <c r="O757" s="2">
        <v>3.0</v>
      </c>
      <c r="P757" s="2">
        <v>0.0</v>
      </c>
      <c r="Q757" s="2" t="s">
        <v>1310</v>
      </c>
      <c r="R757" s="2" t="s">
        <v>24</v>
      </c>
      <c r="S757" s="2" t="b">
        <f>COUNTIF('Marcas Target'!A:A,dados!$E757)&gt;0</f>
        <v>0</v>
      </c>
    </row>
    <row r="758" ht="15.75" customHeight="1">
      <c r="A758" s="2" t="s">
        <v>1311</v>
      </c>
      <c r="B758" s="2" t="s">
        <v>1312</v>
      </c>
      <c r="C758" s="2" t="s">
        <v>24</v>
      </c>
      <c r="D758" s="2" t="s">
        <v>24</v>
      </c>
      <c r="E758" s="2" t="s">
        <v>336</v>
      </c>
      <c r="F758" s="2" t="s">
        <v>24</v>
      </c>
      <c r="G758" s="2" t="s">
        <v>24</v>
      </c>
      <c r="H758" s="2" t="s">
        <v>1313</v>
      </c>
      <c r="I758" s="2" t="s">
        <v>1311</v>
      </c>
      <c r="J758" s="2" t="s">
        <v>26</v>
      </c>
      <c r="K758" s="2" t="s">
        <v>1314</v>
      </c>
      <c r="L758" s="3">
        <v>46089.0</v>
      </c>
      <c r="M758" s="2">
        <v>51.9</v>
      </c>
      <c r="N758" s="2">
        <v>51.9</v>
      </c>
      <c r="O758" s="2">
        <v>22.0</v>
      </c>
      <c r="P758" s="2">
        <v>22.0</v>
      </c>
      <c r="Q758" s="2" t="s">
        <v>1315</v>
      </c>
      <c r="R758" s="2" t="s">
        <v>24</v>
      </c>
      <c r="S758" s="2" t="b">
        <f>COUNTIF('Marcas Target'!A:A,dados!$E758)&gt;0</f>
        <v>0</v>
      </c>
    </row>
    <row r="759" ht="15.75" customHeight="1">
      <c r="A759" s="2" t="s">
        <v>1311</v>
      </c>
      <c r="B759" s="2" t="s">
        <v>1312</v>
      </c>
      <c r="C759" s="2" t="s">
        <v>24</v>
      </c>
      <c r="D759" s="2" t="s">
        <v>24</v>
      </c>
      <c r="E759" s="2" t="s">
        <v>336</v>
      </c>
      <c r="F759" s="2" t="s">
        <v>24</v>
      </c>
      <c r="G759" s="2" t="s">
        <v>24</v>
      </c>
      <c r="H759" s="2" t="s">
        <v>1313</v>
      </c>
      <c r="I759" s="2" t="s">
        <v>1311</v>
      </c>
      <c r="J759" s="2" t="s">
        <v>26</v>
      </c>
      <c r="K759" s="2" t="s">
        <v>1314</v>
      </c>
      <c r="L759" s="3">
        <v>46088.0</v>
      </c>
      <c r="M759" s="2">
        <v>51.9</v>
      </c>
      <c r="N759" s="2">
        <v>51.9</v>
      </c>
      <c r="O759" s="2">
        <v>24.0</v>
      </c>
      <c r="P759" s="2">
        <v>24.0</v>
      </c>
      <c r="Q759" s="2" t="s">
        <v>1315</v>
      </c>
      <c r="R759" s="2" t="s">
        <v>24</v>
      </c>
      <c r="S759" s="2" t="b">
        <f>COUNTIF('Marcas Target'!A:A,dados!$E759)&gt;0</f>
        <v>0</v>
      </c>
    </row>
    <row r="760" ht="15.75" customHeight="1">
      <c r="A760" s="2" t="s">
        <v>1311</v>
      </c>
      <c r="B760" s="2" t="s">
        <v>1312</v>
      </c>
      <c r="C760" s="2" t="s">
        <v>24</v>
      </c>
      <c r="D760" s="2" t="s">
        <v>24</v>
      </c>
      <c r="E760" s="2" t="s">
        <v>336</v>
      </c>
      <c r="F760" s="2" t="s">
        <v>24</v>
      </c>
      <c r="G760" s="2" t="s">
        <v>24</v>
      </c>
      <c r="H760" s="2" t="s">
        <v>1313</v>
      </c>
      <c r="I760" s="2" t="s">
        <v>1311</v>
      </c>
      <c r="J760" s="2" t="s">
        <v>26</v>
      </c>
      <c r="K760" s="2" t="s">
        <v>1314</v>
      </c>
      <c r="L760" s="3">
        <v>46087.0</v>
      </c>
      <c r="M760" s="2">
        <v>51.9</v>
      </c>
      <c r="N760" s="2">
        <v>51.9</v>
      </c>
      <c r="O760" s="2">
        <v>3.0</v>
      </c>
      <c r="P760" s="2">
        <v>3.0</v>
      </c>
      <c r="Q760" s="2" t="s">
        <v>1315</v>
      </c>
      <c r="R760" s="2" t="s">
        <v>24</v>
      </c>
      <c r="S760" s="2" t="b">
        <f>COUNTIF('Marcas Target'!A:A,dados!$E760)&gt;0</f>
        <v>0</v>
      </c>
    </row>
    <row r="761" ht="15.75" customHeight="1">
      <c r="A761" s="2" t="s">
        <v>1316</v>
      </c>
      <c r="B761" s="2" t="s">
        <v>1317</v>
      </c>
      <c r="C761" s="2" t="s">
        <v>24</v>
      </c>
      <c r="D761" s="2" t="s">
        <v>24</v>
      </c>
      <c r="E761" s="2" t="s">
        <v>529</v>
      </c>
      <c r="F761" s="2" t="s">
        <v>24</v>
      </c>
      <c r="G761" s="2" t="s">
        <v>24</v>
      </c>
      <c r="H761" s="2" t="s">
        <v>1318</v>
      </c>
      <c r="I761" s="2" t="s">
        <v>1316</v>
      </c>
      <c r="J761" s="2" t="s">
        <v>26</v>
      </c>
      <c r="K761" s="2" t="s">
        <v>1319</v>
      </c>
      <c r="L761" s="3">
        <v>46089.0</v>
      </c>
      <c r="M761" s="2">
        <v>28.59</v>
      </c>
      <c r="N761" s="2">
        <v>28.59</v>
      </c>
      <c r="O761" s="2">
        <v>22.0</v>
      </c>
      <c r="P761" s="2">
        <v>22.0</v>
      </c>
      <c r="Q761" s="2" t="s">
        <v>1320</v>
      </c>
      <c r="R761" s="2" t="s">
        <v>24</v>
      </c>
      <c r="S761" s="2" t="b">
        <f>COUNTIF('Marcas Target'!A:A,dados!$E761)&gt;0</f>
        <v>0</v>
      </c>
    </row>
    <row r="762" ht="15.75" customHeight="1">
      <c r="A762" s="2" t="s">
        <v>1316</v>
      </c>
      <c r="B762" s="2" t="s">
        <v>1317</v>
      </c>
      <c r="C762" s="2" t="s">
        <v>24</v>
      </c>
      <c r="D762" s="2" t="s">
        <v>24</v>
      </c>
      <c r="E762" s="2" t="s">
        <v>529</v>
      </c>
      <c r="F762" s="2" t="s">
        <v>24</v>
      </c>
      <c r="G762" s="2" t="s">
        <v>24</v>
      </c>
      <c r="H762" s="2" t="s">
        <v>1318</v>
      </c>
      <c r="I762" s="2" t="s">
        <v>1316</v>
      </c>
      <c r="J762" s="2" t="s">
        <v>26</v>
      </c>
      <c r="K762" s="2" t="s">
        <v>1319</v>
      </c>
      <c r="L762" s="3">
        <v>46088.0</v>
      </c>
      <c r="M762" s="2">
        <v>38.22</v>
      </c>
      <c r="N762" s="2">
        <v>38.22</v>
      </c>
      <c r="O762" s="2">
        <v>24.0</v>
      </c>
      <c r="P762" s="2">
        <v>24.0</v>
      </c>
      <c r="Q762" s="2" t="s">
        <v>1320</v>
      </c>
      <c r="R762" s="2" t="s">
        <v>24</v>
      </c>
      <c r="S762" s="2" t="b">
        <f>COUNTIF('Marcas Target'!A:A,dados!$E762)&gt;0</f>
        <v>0</v>
      </c>
    </row>
    <row r="763" ht="15.75" customHeight="1">
      <c r="A763" s="2" t="s">
        <v>1316</v>
      </c>
      <c r="B763" s="2" t="s">
        <v>1317</v>
      </c>
      <c r="C763" s="2" t="s">
        <v>24</v>
      </c>
      <c r="D763" s="2" t="s">
        <v>24</v>
      </c>
      <c r="E763" s="2" t="s">
        <v>529</v>
      </c>
      <c r="F763" s="2" t="s">
        <v>24</v>
      </c>
      <c r="G763" s="2" t="s">
        <v>24</v>
      </c>
      <c r="H763" s="2" t="s">
        <v>1318</v>
      </c>
      <c r="I763" s="2" t="s">
        <v>1316</v>
      </c>
      <c r="J763" s="2" t="s">
        <v>26</v>
      </c>
      <c r="K763" s="2" t="s">
        <v>1319</v>
      </c>
      <c r="L763" s="3">
        <v>46087.0</v>
      </c>
      <c r="M763" s="2">
        <v>28.59</v>
      </c>
      <c r="N763" s="2">
        <v>28.59</v>
      </c>
      <c r="O763" s="2">
        <v>3.0</v>
      </c>
      <c r="P763" s="2">
        <v>2.0</v>
      </c>
      <c r="Q763" s="2" t="s">
        <v>1320</v>
      </c>
      <c r="R763" s="2" t="s">
        <v>24</v>
      </c>
      <c r="S763" s="2" t="b">
        <f>COUNTIF('Marcas Target'!A:A,dados!$E763)&gt;0</f>
        <v>0</v>
      </c>
    </row>
    <row r="764" ht="15.75" customHeight="1">
      <c r="A764" s="2" t="s">
        <v>1321</v>
      </c>
      <c r="B764" s="2" t="s">
        <v>1322</v>
      </c>
      <c r="C764" s="2" t="s">
        <v>24</v>
      </c>
      <c r="D764" s="2" t="s">
        <v>24</v>
      </c>
      <c r="E764" s="2" t="s">
        <v>362</v>
      </c>
      <c r="F764" s="2" t="s">
        <v>24</v>
      </c>
      <c r="G764" s="2" t="s">
        <v>24</v>
      </c>
      <c r="H764" s="2" t="s">
        <v>1323</v>
      </c>
      <c r="I764" s="2" t="s">
        <v>1321</v>
      </c>
      <c r="J764" s="2" t="s">
        <v>26</v>
      </c>
      <c r="K764" s="2" t="s">
        <v>1324</v>
      </c>
      <c r="L764" s="3">
        <v>46089.0</v>
      </c>
      <c r="M764" s="2">
        <v>24.99</v>
      </c>
      <c r="N764" s="2">
        <v>24.99</v>
      </c>
      <c r="O764" s="2">
        <v>22.0</v>
      </c>
      <c r="P764" s="2">
        <v>22.0</v>
      </c>
      <c r="Q764" s="2" t="s">
        <v>1325</v>
      </c>
      <c r="R764" s="2" t="s">
        <v>24</v>
      </c>
      <c r="S764" s="2" t="b">
        <f>COUNTIF('Marcas Target'!A:A,dados!$E764)&gt;0</f>
        <v>0</v>
      </c>
    </row>
    <row r="765" ht="15.75" customHeight="1">
      <c r="A765" s="2" t="s">
        <v>1321</v>
      </c>
      <c r="B765" s="2" t="s">
        <v>1322</v>
      </c>
      <c r="C765" s="2" t="s">
        <v>24</v>
      </c>
      <c r="D765" s="2" t="s">
        <v>24</v>
      </c>
      <c r="E765" s="2" t="s">
        <v>362</v>
      </c>
      <c r="F765" s="2" t="s">
        <v>24</v>
      </c>
      <c r="G765" s="2" t="s">
        <v>24</v>
      </c>
      <c r="H765" s="2" t="s">
        <v>1323</v>
      </c>
      <c r="I765" s="2" t="s">
        <v>1321</v>
      </c>
      <c r="J765" s="2" t="s">
        <v>26</v>
      </c>
      <c r="K765" s="2" t="s">
        <v>1324</v>
      </c>
      <c r="L765" s="3">
        <v>46088.0</v>
      </c>
      <c r="M765" s="2">
        <v>24.99</v>
      </c>
      <c r="N765" s="2">
        <v>24.99</v>
      </c>
      <c r="O765" s="2">
        <v>24.0</v>
      </c>
      <c r="P765" s="2">
        <v>24.0</v>
      </c>
      <c r="Q765" s="2" t="s">
        <v>1325</v>
      </c>
      <c r="R765" s="2" t="s">
        <v>24</v>
      </c>
      <c r="S765" s="2" t="b">
        <f>COUNTIF('Marcas Target'!A:A,dados!$E765)&gt;0</f>
        <v>0</v>
      </c>
    </row>
    <row r="766" ht="15.75" customHeight="1">
      <c r="A766" s="2" t="s">
        <v>1321</v>
      </c>
      <c r="B766" s="2" t="s">
        <v>1322</v>
      </c>
      <c r="C766" s="2" t="s">
        <v>24</v>
      </c>
      <c r="D766" s="2" t="s">
        <v>24</v>
      </c>
      <c r="E766" s="2" t="s">
        <v>362</v>
      </c>
      <c r="F766" s="2" t="s">
        <v>24</v>
      </c>
      <c r="G766" s="2" t="s">
        <v>24</v>
      </c>
      <c r="H766" s="2" t="s">
        <v>1323</v>
      </c>
      <c r="I766" s="2" t="s">
        <v>1321</v>
      </c>
      <c r="J766" s="2" t="s">
        <v>26</v>
      </c>
      <c r="K766" s="2" t="s">
        <v>1324</v>
      </c>
      <c r="L766" s="3">
        <v>46087.0</v>
      </c>
      <c r="M766" s="2">
        <v>24.99</v>
      </c>
      <c r="N766" s="2">
        <v>24.99</v>
      </c>
      <c r="O766" s="2">
        <v>3.0</v>
      </c>
      <c r="P766" s="2">
        <v>2.0</v>
      </c>
      <c r="Q766" s="2" t="s">
        <v>1325</v>
      </c>
      <c r="R766" s="2" t="s">
        <v>24</v>
      </c>
      <c r="S766" s="2" t="b">
        <f>COUNTIF('Marcas Target'!A:A,dados!$E766)&gt;0</f>
        <v>0</v>
      </c>
    </row>
    <row r="767" ht="15.75" customHeight="1">
      <c r="A767" s="2" t="s">
        <v>1326</v>
      </c>
      <c r="B767" s="2" t="s">
        <v>1327</v>
      </c>
      <c r="C767" s="2" t="s">
        <v>24</v>
      </c>
      <c r="D767" s="2" t="s">
        <v>24</v>
      </c>
      <c r="E767" s="2" t="s">
        <v>905</v>
      </c>
      <c r="F767" s="2" t="s">
        <v>24</v>
      </c>
      <c r="G767" s="2" t="s">
        <v>24</v>
      </c>
      <c r="H767" s="2" t="s">
        <v>1328</v>
      </c>
      <c r="I767" s="2" t="s">
        <v>1326</v>
      </c>
      <c r="J767" s="2" t="s">
        <v>26</v>
      </c>
      <c r="K767" s="2" t="s">
        <v>1329</v>
      </c>
      <c r="L767" s="3">
        <v>46089.0</v>
      </c>
      <c r="M767" s="2">
        <v>32.79</v>
      </c>
      <c r="N767" s="2">
        <v>32.79</v>
      </c>
      <c r="O767" s="2">
        <v>22.0</v>
      </c>
      <c r="P767" s="2">
        <v>2.0</v>
      </c>
      <c r="Q767" s="2" t="s">
        <v>1330</v>
      </c>
      <c r="R767" s="2" t="s">
        <v>24</v>
      </c>
      <c r="S767" s="2" t="b">
        <f>COUNTIF('Marcas Target'!A:A,dados!$E767)&gt;0</f>
        <v>0</v>
      </c>
    </row>
    <row r="768" ht="15.75" customHeight="1">
      <c r="A768" s="2" t="s">
        <v>1326</v>
      </c>
      <c r="B768" s="2" t="s">
        <v>1327</v>
      </c>
      <c r="C768" s="2" t="s">
        <v>24</v>
      </c>
      <c r="D768" s="2" t="s">
        <v>24</v>
      </c>
      <c r="E768" s="2" t="s">
        <v>905</v>
      </c>
      <c r="F768" s="2" t="s">
        <v>24</v>
      </c>
      <c r="G768" s="2" t="s">
        <v>24</v>
      </c>
      <c r="H768" s="2" t="s">
        <v>1328</v>
      </c>
      <c r="I768" s="2" t="s">
        <v>1326</v>
      </c>
      <c r="J768" s="2" t="s">
        <v>26</v>
      </c>
      <c r="K768" s="2" t="s">
        <v>1329</v>
      </c>
      <c r="L768" s="3">
        <v>46088.0</v>
      </c>
      <c r="M768" s="2">
        <v>40.44</v>
      </c>
      <c r="N768" s="2">
        <v>40.44</v>
      </c>
      <c r="O768" s="2">
        <v>24.0</v>
      </c>
      <c r="P768" s="2">
        <v>15.0</v>
      </c>
      <c r="Q768" s="2" t="s">
        <v>1330</v>
      </c>
      <c r="R768" s="2" t="s">
        <v>24</v>
      </c>
      <c r="S768" s="2" t="b">
        <f>COUNTIF('Marcas Target'!A:A,dados!$E768)&gt;0</f>
        <v>0</v>
      </c>
    </row>
    <row r="769" ht="15.75" customHeight="1">
      <c r="A769" s="2" t="s">
        <v>1326</v>
      </c>
      <c r="B769" s="2" t="s">
        <v>1327</v>
      </c>
      <c r="C769" s="2" t="s">
        <v>24</v>
      </c>
      <c r="D769" s="2" t="s">
        <v>24</v>
      </c>
      <c r="E769" s="2" t="s">
        <v>905</v>
      </c>
      <c r="F769" s="2" t="s">
        <v>24</v>
      </c>
      <c r="G769" s="2" t="s">
        <v>24</v>
      </c>
      <c r="H769" s="2" t="s">
        <v>1328</v>
      </c>
      <c r="I769" s="2" t="s">
        <v>1326</v>
      </c>
      <c r="J769" s="2" t="s">
        <v>26</v>
      </c>
      <c r="K769" s="2" t="s">
        <v>1329</v>
      </c>
      <c r="L769" s="3">
        <v>46087.0</v>
      </c>
      <c r="M769" s="2">
        <v>32.79</v>
      </c>
      <c r="N769" s="2">
        <v>32.79</v>
      </c>
      <c r="O769" s="2">
        <v>3.0</v>
      </c>
      <c r="P769" s="2">
        <v>1.0</v>
      </c>
      <c r="Q769" s="2" t="s">
        <v>1330</v>
      </c>
      <c r="R769" s="2" t="s">
        <v>24</v>
      </c>
      <c r="S769" s="2" t="b">
        <f>COUNTIF('Marcas Target'!A:A,dados!$E769)&gt;0</f>
        <v>0</v>
      </c>
    </row>
    <row r="770" ht="15.75" customHeight="1">
      <c r="A770" s="2" t="s">
        <v>1331</v>
      </c>
      <c r="B770" s="2" t="s">
        <v>237</v>
      </c>
      <c r="C770" s="2" t="s">
        <v>24</v>
      </c>
      <c r="D770" s="2" t="s">
        <v>24</v>
      </c>
      <c r="E770" s="2" t="s">
        <v>980</v>
      </c>
      <c r="F770" s="2" t="s">
        <v>24</v>
      </c>
      <c r="G770" s="2" t="s">
        <v>24</v>
      </c>
      <c r="H770" s="2" t="s">
        <v>1332</v>
      </c>
      <c r="I770" s="2" t="s">
        <v>1331</v>
      </c>
      <c r="J770" s="2" t="s">
        <v>26</v>
      </c>
      <c r="K770" s="2" t="s">
        <v>1333</v>
      </c>
      <c r="L770" s="3">
        <v>46089.0</v>
      </c>
      <c r="M770" s="2" t="s">
        <v>24</v>
      </c>
      <c r="N770" s="2" t="s">
        <v>24</v>
      </c>
      <c r="O770" s="2">
        <v>22.0</v>
      </c>
      <c r="P770" s="2">
        <v>0.0</v>
      </c>
      <c r="Q770" s="2" t="s">
        <v>1334</v>
      </c>
      <c r="R770" s="2" t="s">
        <v>24</v>
      </c>
      <c r="S770" s="2" t="b">
        <f>COUNTIF('Marcas Target'!A:A,dados!$E770)&gt;0</f>
        <v>1</v>
      </c>
    </row>
    <row r="771" ht="15.75" customHeight="1">
      <c r="A771" s="2" t="s">
        <v>1331</v>
      </c>
      <c r="B771" s="2" t="s">
        <v>237</v>
      </c>
      <c r="C771" s="2" t="s">
        <v>24</v>
      </c>
      <c r="D771" s="2" t="s">
        <v>24</v>
      </c>
      <c r="E771" s="2" t="s">
        <v>980</v>
      </c>
      <c r="F771" s="2" t="s">
        <v>24</v>
      </c>
      <c r="G771" s="2" t="s">
        <v>24</v>
      </c>
      <c r="H771" s="2" t="s">
        <v>1332</v>
      </c>
      <c r="I771" s="2" t="s">
        <v>1331</v>
      </c>
      <c r="J771" s="2" t="s">
        <v>26</v>
      </c>
      <c r="K771" s="2" t="s">
        <v>1333</v>
      </c>
      <c r="L771" s="3">
        <v>46088.0</v>
      </c>
      <c r="M771" s="2">
        <v>9.49</v>
      </c>
      <c r="N771" s="2">
        <v>9.49</v>
      </c>
      <c r="O771" s="2">
        <v>24.0</v>
      </c>
      <c r="P771" s="2">
        <v>1.0</v>
      </c>
      <c r="Q771" s="2" t="s">
        <v>1334</v>
      </c>
      <c r="R771" s="2" t="s">
        <v>24</v>
      </c>
      <c r="S771" s="2" t="b">
        <f>COUNTIF('Marcas Target'!A:A,dados!$E771)&gt;0</f>
        <v>1</v>
      </c>
    </row>
    <row r="772" ht="15.75" customHeight="1">
      <c r="A772" s="2" t="s">
        <v>1331</v>
      </c>
      <c r="B772" s="2" t="s">
        <v>237</v>
      </c>
      <c r="C772" s="2" t="s">
        <v>24</v>
      </c>
      <c r="D772" s="2" t="s">
        <v>24</v>
      </c>
      <c r="E772" s="2" t="s">
        <v>980</v>
      </c>
      <c r="F772" s="2" t="s">
        <v>24</v>
      </c>
      <c r="G772" s="2" t="s">
        <v>24</v>
      </c>
      <c r="H772" s="2" t="s">
        <v>1332</v>
      </c>
      <c r="I772" s="2" t="s">
        <v>1331</v>
      </c>
      <c r="J772" s="2" t="s">
        <v>26</v>
      </c>
      <c r="K772" s="2" t="s">
        <v>1333</v>
      </c>
      <c r="L772" s="3">
        <v>46087.0</v>
      </c>
      <c r="M772" s="2" t="s">
        <v>24</v>
      </c>
      <c r="N772" s="2" t="s">
        <v>24</v>
      </c>
      <c r="O772" s="2">
        <v>3.0</v>
      </c>
      <c r="P772" s="2">
        <v>0.0</v>
      </c>
      <c r="Q772" s="2" t="s">
        <v>1334</v>
      </c>
      <c r="R772" s="2" t="s">
        <v>24</v>
      </c>
      <c r="S772" s="2" t="b">
        <f>COUNTIF('Marcas Target'!A:A,dados!$E772)&gt;0</f>
        <v>1</v>
      </c>
    </row>
    <row r="773" ht="15.75" customHeight="1">
      <c r="A773" s="2" t="s">
        <v>1335</v>
      </c>
      <c r="B773" s="2" t="s">
        <v>1336</v>
      </c>
      <c r="C773" s="2" t="s">
        <v>24</v>
      </c>
      <c r="D773" s="2" t="s">
        <v>24</v>
      </c>
      <c r="E773" s="2" t="s">
        <v>294</v>
      </c>
      <c r="F773" s="2" t="s">
        <v>24</v>
      </c>
      <c r="G773" s="2" t="s">
        <v>24</v>
      </c>
      <c r="H773" s="2" t="s">
        <v>1337</v>
      </c>
      <c r="I773" s="2" t="s">
        <v>1335</v>
      </c>
      <c r="J773" s="2" t="s">
        <v>26</v>
      </c>
      <c r="K773" s="2" t="s">
        <v>1338</v>
      </c>
      <c r="L773" s="3">
        <v>46089.0</v>
      </c>
      <c r="M773" s="2">
        <v>24.99</v>
      </c>
      <c r="N773" s="2">
        <v>24.99</v>
      </c>
      <c r="O773" s="2">
        <v>23.0</v>
      </c>
      <c r="P773" s="2">
        <v>23.0</v>
      </c>
      <c r="Q773" s="2" t="s">
        <v>1339</v>
      </c>
      <c r="R773" s="2" t="s">
        <v>24</v>
      </c>
      <c r="S773" s="2" t="b">
        <f>COUNTIF('Marcas Target'!A:A,dados!$E773)&gt;0</f>
        <v>1</v>
      </c>
    </row>
    <row r="774" ht="15.75" customHeight="1">
      <c r="A774" s="2" t="s">
        <v>1335</v>
      </c>
      <c r="B774" s="2" t="s">
        <v>1336</v>
      </c>
      <c r="C774" s="2" t="s">
        <v>24</v>
      </c>
      <c r="D774" s="2" t="s">
        <v>24</v>
      </c>
      <c r="E774" s="2" t="s">
        <v>294</v>
      </c>
      <c r="F774" s="2" t="s">
        <v>24</v>
      </c>
      <c r="G774" s="2" t="s">
        <v>24</v>
      </c>
      <c r="H774" s="2" t="s">
        <v>1337</v>
      </c>
      <c r="I774" s="2" t="s">
        <v>1335</v>
      </c>
      <c r="J774" s="2" t="s">
        <v>26</v>
      </c>
      <c r="K774" s="2" t="s">
        <v>1338</v>
      </c>
      <c r="L774" s="3">
        <v>46088.0</v>
      </c>
      <c r="M774" s="2">
        <v>24.99</v>
      </c>
      <c r="N774" s="2">
        <v>24.99</v>
      </c>
      <c r="O774" s="2">
        <v>23.0</v>
      </c>
      <c r="P774" s="2">
        <v>23.0</v>
      </c>
      <c r="Q774" s="2" t="s">
        <v>1339</v>
      </c>
      <c r="R774" s="2" t="s">
        <v>24</v>
      </c>
      <c r="S774" s="2" t="b">
        <f>COUNTIF('Marcas Target'!A:A,dados!$E774)&gt;0</f>
        <v>1</v>
      </c>
    </row>
    <row r="775" ht="15.75" customHeight="1">
      <c r="A775" s="2" t="s">
        <v>1335</v>
      </c>
      <c r="B775" s="2" t="s">
        <v>1336</v>
      </c>
      <c r="C775" s="2" t="s">
        <v>24</v>
      </c>
      <c r="D775" s="2" t="s">
        <v>24</v>
      </c>
      <c r="E775" s="2" t="s">
        <v>294</v>
      </c>
      <c r="F775" s="2" t="s">
        <v>24</v>
      </c>
      <c r="G775" s="2" t="s">
        <v>24</v>
      </c>
      <c r="H775" s="2" t="s">
        <v>1337</v>
      </c>
      <c r="I775" s="2" t="s">
        <v>1335</v>
      </c>
      <c r="J775" s="2" t="s">
        <v>26</v>
      </c>
      <c r="K775" s="2" t="s">
        <v>1338</v>
      </c>
      <c r="L775" s="3">
        <v>46087.0</v>
      </c>
      <c r="M775" s="2">
        <v>24.99</v>
      </c>
      <c r="N775" s="2">
        <v>24.99</v>
      </c>
      <c r="O775" s="2">
        <v>3.0</v>
      </c>
      <c r="P775" s="2">
        <v>3.0</v>
      </c>
      <c r="Q775" s="2" t="s">
        <v>1339</v>
      </c>
      <c r="R775" s="2" t="s">
        <v>24</v>
      </c>
      <c r="S775" s="2" t="b">
        <f>COUNTIF('Marcas Target'!A:A,dados!$E775)&gt;0</f>
        <v>1</v>
      </c>
    </row>
    <row r="776" ht="15.75" customHeight="1">
      <c r="A776" s="2" t="s">
        <v>1340</v>
      </c>
      <c r="B776" s="2" t="s">
        <v>1341</v>
      </c>
      <c r="C776" s="2" t="s">
        <v>24</v>
      </c>
      <c r="D776" s="2" t="s">
        <v>24</v>
      </c>
      <c r="E776" s="2" t="s">
        <v>1342</v>
      </c>
      <c r="F776" s="2" t="s">
        <v>24</v>
      </c>
      <c r="G776" s="2" t="s">
        <v>24</v>
      </c>
      <c r="H776" s="2" t="s">
        <v>1343</v>
      </c>
      <c r="I776" s="2" t="s">
        <v>1340</v>
      </c>
      <c r="J776" s="2" t="s">
        <v>26</v>
      </c>
      <c r="K776" s="2" t="s">
        <v>1344</v>
      </c>
      <c r="L776" s="3">
        <v>46089.0</v>
      </c>
      <c r="M776" s="2" t="s">
        <v>24</v>
      </c>
      <c r="N776" s="2" t="s">
        <v>24</v>
      </c>
      <c r="O776" s="2">
        <v>23.0</v>
      </c>
      <c r="P776" s="2">
        <v>0.0</v>
      </c>
      <c r="Q776" s="2" t="s">
        <v>1345</v>
      </c>
      <c r="R776" s="2" t="s">
        <v>24</v>
      </c>
      <c r="S776" s="2" t="b">
        <f>COUNTIF('Marcas Target'!A:A,dados!$E776)&gt;0</f>
        <v>0</v>
      </c>
    </row>
    <row r="777" ht="15.75" customHeight="1">
      <c r="A777" s="2" t="s">
        <v>1340</v>
      </c>
      <c r="B777" s="2" t="s">
        <v>1341</v>
      </c>
      <c r="C777" s="2" t="s">
        <v>24</v>
      </c>
      <c r="D777" s="2" t="s">
        <v>24</v>
      </c>
      <c r="E777" s="2" t="s">
        <v>1342</v>
      </c>
      <c r="F777" s="2" t="s">
        <v>24</v>
      </c>
      <c r="G777" s="2" t="s">
        <v>24</v>
      </c>
      <c r="H777" s="2" t="s">
        <v>1343</v>
      </c>
      <c r="I777" s="2" t="s">
        <v>1340</v>
      </c>
      <c r="J777" s="2" t="s">
        <v>26</v>
      </c>
      <c r="K777" s="2" t="s">
        <v>1344</v>
      </c>
      <c r="L777" s="3">
        <v>46088.0</v>
      </c>
      <c r="M777" s="2">
        <v>19.98</v>
      </c>
      <c r="N777" s="2">
        <v>19.98</v>
      </c>
      <c r="O777" s="2">
        <v>24.0</v>
      </c>
      <c r="P777" s="2">
        <v>1.0</v>
      </c>
      <c r="Q777" s="2" t="s">
        <v>1345</v>
      </c>
      <c r="R777" s="2" t="s">
        <v>24</v>
      </c>
      <c r="S777" s="2" t="b">
        <f>COUNTIF('Marcas Target'!A:A,dados!$E777)&gt;0</f>
        <v>0</v>
      </c>
    </row>
    <row r="778" ht="15.75" customHeight="1">
      <c r="A778" s="2" t="s">
        <v>1340</v>
      </c>
      <c r="B778" s="2" t="s">
        <v>1341</v>
      </c>
      <c r="C778" s="2" t="s">
        <v>24</v>
      </c>
      <c r="D778" s="2" t="s">
        <v>24</v>
      </c>
      <c r="E778" s="2" t="s">
        <v>1342</v>
      </c>
      <c r="F778" s="2" t="s">
        <v>24</v>
      </c>
      <c r="G778" s="2" t="s">
        <v>24</v>
      </c>
      <c r="H778" s="2" t="s">
        <v>1343</v>
      </c>
      <c r="I778" s="2" t="s">
        <v>1340</v>
      </c>
      <c r="J778" s="2" t="s">
        <v>26</v>
      </c>
      <c r="K778" s="2" t="s">
        <v>1344</v>
      </c>
      <c r="L778" s="3">
        <v>46087.0</v>
      </c>
      <c r="M778" s="2" t="s">
        <v>24</v>
      </c>
      <c r="N778" s="2" t="s">
        <v>24</v>
      </c>
      <c r="O778" s="2">
        <v>3.0</v>
      </c>
      <c r="P778" s="2">
        <v>0.0</v>
      </c>
      <c r="Q778" s="2" t="s">
        <v>1345</v>
      </c>
      <c r="R778" s="2" t="s">
        <v>24</v>
      </c>
      <c r="S778" s="2" t="b">
        <f>COUNTIF('Marcas Target'!A:A,dados!$E778)&gt;0</f>
        <v>0</v>
      </c>
    </row>
    <row r="779" ht="15.75" customHeight="1">
      <c r="A779" s="2" t="s">
        <v>1346</v>
      </c>
      <c r="B779" s="2" t="s">
        <v>1347</v>
      </c>
      <c r="C779" s="2" t="s">
        <v>24</v>
      </c>
      <c r="D779" s="2" t="s">
        <v>24</v>
      </c>
      <c r="E779" s="2" t="s">
        <v>23</v>
      </c>
      <c r="F779" s="2" t="s">
        <v>24</v>
      </c>
      <c r="G779" s="2" t="s">
        <v>24</v>
      </c>
      <c r="H779" s="2" t="s">
        <v>1348</v>
      </c>
      <c r="I779" s="2" t="s">
        <v>1346</v>
      </c>
      <c r="J779" s="2" t="s">
        <v>26</v>
      </c>
      <c r="K779" s="2" t="s">
        <v>1349</v>
      </c>
      <c r="L779" s="3">
        <v>46089.0</v>
      </c>
      <c r="M779" s="2">
        <v>17.59</v>
      </c>
      <c r="N779" s="2">
        <v>17.59</v>
      </c>
      <c r="O779" s="2">
        <v>22.0</v>
      </c>
      <c r="P779" s="2">
        <v>3.0</v>
      </c>
      <c r="Q779" s="2" t="s">
        <v>1350</v>
      </c>
      <c r="R779" s="2" t="s">
        <v>24</v>
      </c>
      <c r="S779" s="2" t="b">
        <f>COUNTIF('Marcas Target'!A:A,dados!$E779)&gt;0</f>
        <v>0</v>
      </c>
    </row>
    <row r="780" ht="15.75" customHeight="1">
      <c r="A780" s="2" t="s">
        <v>1346</v>
      </c>
      <c r="B780" s="2" t="s">
        <v>1347</v>
      </c>
      <c r="C780" s="2" t="s">
        <v>24</v>
      </c>
      <c r="D780" s="2" t="s">
        <v>24</v>
      </c>
      <c r="E780" s="2" t="s">
        <v>23</v>
      </c>
      <c r="F780" s="2" t="s">
        <v>24</v>
      </c>
      <c r="G780" s="2" t="s">
        <v>24</v>
      </c>
      <c r="H780" s="2" t="s">
        <v>1348</v>
      </c>
      <c r="I780" s="2" t="s">
        <v>1346</v>
      </c>
      <c r="J780" s="2" t="s">
        <v>26</v>
      </c>
      <c r="K780" s="2" t="s">
        <v>1349</v>
      </c>
      <c r="L780" s="3">
        <v>46088.0</v>
      </c>
      <c r="M780" s="2">
        <v>17.63</v>
      </c>
      <c r="N780" s="2">
        <v>17.63</v>
      </c>
      <c r="O780" s="2">
        <v>24.0</v>
      </c>
      <c r="P780" s="2">
        <v>5.0</v>
      </c>
      <c r="Q780" s="2" t="s">
        <v>1350</v>
      </c>
      <c r="R780" s="2" t="s">
        <v>24</v>
      </c>
      <c r="S780" s="2" t="b">
        <f>COUNTIF('Marcas Target'!A:A,dados!$E780)&gt;0</f>
        <v>0</v>
      </c>
    </row>
    <row r="781" ht="15.75" customHeight="1">
      <c r="A781" s="2" t="s">
        <v>1346</v>
      </c>
      <c r="B781" s="2" t="s">
        <v>1347</v>
      </c>
      <c r="C781" s="2" t="s">
        <v>24</v>
      </c>
      <c r="D781" s="2" t="s">
        <v>24</v>
      </c>
      <c r="E781" s="2" t="s">
        <v>23</v>
      </c>
      <c r="F781" s="2" t="s">
        <v>24</v>
      </c>
      <c r="G781" s="2" t="s">
        <v>24</v>
      </c>
      <c r="H781" s="2" t="s">
        <v>1348</v>
      </c>
      <c r="I781" s="2" t="s">
        <v>1346</v>
      </c>
      <c r="J781" s="2" t="s">
        <v>26</v>
      </c>
      <c r="K781" s="2" t="s">
        <v>1349</v>
      </c>
      <c r="L781" s="3">
        <v>46087.0</v>
      </c>
      <c r="M781" s="2" t="s">
        <v>24</v>
      </c>
      <c r="N781" s="2" t="s">
        <v>24</v>
      </c>
      <c r="O781" s="2">
        <v>3.0</v>
      </c>
      <c r="P781" s="2">
        <v>0.0</v>
      </c>
      <c r="Q781" s="2" t="s">
        <v>1350</v>
      </c>
      <c r="R781" s="2" t="s">
        <v>24</v>
      </c>
      <c r="S781" s="2" t="b">
        <f>COUNTIF('Marcas Target'!A:A,dados!$E781)&gt;0</f>
        <v>0</v>
      </c>
    </row>
    <row r="782" ht="15.75" customHeight="1">
      <c r="A782" s="2" t="s">
        <v>1351</v>
      </c>
      <c r="B782" s="2" t="s">
        <v>1352</v>
      </c>
      <c r="C782" s="2" t="s">
        <v>24</v>
      </c>
      <c r="D782" s="2" t="s">
        <v>24</v>
      </c>
      <c r="E782" s="2" t="s">
        <v>23</v>
      </c>
      <c r="F782" s="2" t="s">
        <v>24</v>
      </c>
      <c r="G782" s="2" t="s">
        <v>24</v>
      </c>
      <c r="H782" s="2" t="s">
        <v>1353</v>
      </c>
      <c r="I782" s="2" t="s">
        <v>1351</v>
      </c>
      <c r="J782" s="2" t="s">
        <v>26</v>
      </c>
      <c r="K782" s="2" t="s">
        <v>1354</v>
      </c>
      <c r="L782" s="3">
        <v>46089.0</v>
      </c>
      <c r="M782" s="2">
        <v>9.99</v>
      </c>
      <c r="N782" s="2">
        <v>9.99</v>
      </c>
      <c r="O782" s="2">
        <v>22.0</v>
      </c>
      <c r="P782" s="2">
        <v>20.0</v>
      </c>
      <c r="Q782" s="2" t="s">
        <v>1355</v>
      </c>
      <c r="R782" s="2" t="s">
        <v>24</v>
      </c>
      <c r="S782" s="2" t="b">
        <f>COUNTIF('Marcas Target'!A:A,dados!$E782)&gt;0</f>
        <v>0</v>
      </c>
    </row>
    <row r="783" ht="15.75" customHeight="1">
      <c r="A783" s="2" t="s">
        <v>1351</v>
      </c>
      <c r="B783" s="2" t="s">
        <v>1352</v>
      </c>
      <c r="C783" s="2" t="s">
        <v>24</v>
      </c>
      <c r="D783" s="2" t="s">
        <v>24</v>
      </c>
      <c r="E783" s="2" t="s">
        <v>23</v>
      </c>
      <c r="F783" s="2" t="s">
        <v>24</v>
      </c>
      <c r="G783" s="2" t="s">
        <v>24</v>
      </c>
      <c r="H783" s="2" t="s">
        <v>1353</v>
      </c>
      <c r="I783" s="2" t="s">
        <v>1351</v>
      </c>
      <c r="J783" s="2" t="s">
        <v>26</v>
      </c>
      <c r="K783" s="2" t="s">
        <v>1354</v>
      </c>
      <c r="L783" s="3">
        <v>46088.0</v>
      </c>
      <c r="M783" s="2">
        <v>9.99</v>
      </c>
      <c r="N783" s="2">
        <v>9.99</v>
      </c>
      <c r="O783" s="2">
        <v>24.0</v>
      </c>
      <c r="P783" s="2">
        <v>24.0</v>
      </c>
      <c r="Q783" s="2" t="s">
        <v>1355</v>
      </c>
      <c r="R783" s="2" t="s">
        <v>24</v>
      </c>
      <c r="S783" s="2" t="b">
        <f>COUNTIF('Marcas Target'!A:A,dados!$E783)&gt;0</f>
        <v>0</v>
      </c>
    </row>
    <row r="784" ht="15.75" customHeight="1">
      <c r="A784" s="2" t="s">
        <v>1351</v>
      </c>
      <c r="B784" s="2" t="s">
        <v>1352</v>
      </c>
      <c r="C784" s="2" t="s">
        <v>24</v>
      </c>
      <c r="D784" s="2" t="s">
        <v>24</v>
      </c>
      <c r="E784" s="2" t="s">
        <v>23</v>
      </c>
      <c r="F784" s="2" t="s">
        <v>24</v>
      </c>
      <c r="G784" s="2" t="s">
        <v>24</v>
      </c>
      <c r="H784" s="2" t="s">
        <v>1353</v>
      </c>
      <c r="I784" s="2" t="s">
        <v>1351</v>
      </c>
      <c r="J784" s="2" t="s">
        <v>26</v>
      </c>
      <c r="K784" s="2" t="s">
        <v>1354</v>
      </c>
      <c r="L784" s="3">
        <v>46087.0</v>
      </c>
      <c r="M784" s="2">
        <v>9.99</v>
      </c>
      <c r="N784" s="2">
        <v>9.99</v>
      </c>
      <c r="O784" s="2">
        <v>3.0</v>
      </c>
      <c r="P784" s="2">
        <v>3.0</v>
      </c>
      <c r="Q784" s="2" t="s">
        <v>1355</v>
      </c>
      <c r="R784" s="2" t="s">
        <v>24</v>
      </c>
      <c r="S784" s="2" t="b">
        <f>COUNTIF('Marcas Target'!A:A,dados!$E784)&gt;0</f>
        <v>0</v>
      </c>
    </row>
    <row r="785" ht="15.75" customHeight="1">
      <c r="A785" s="2" t="s">
        <v>1356</v>
      </c>
      <c r="B785" s="2" t="s">
        <v>1357</v>
      </c>
      <c r="C785" s="2" t="s">
        <v>24</v>
      </c>
      <c r="D785" s="2" t="s">
        <v>24</v>
      </c>
      <c r="E785" s="2" t="s">
        <v>1245</v>
      </c>
      <c r="F785" s="2" t="s">
        <v>24</v>
      </c>
      <c r="G785" s="2" t="s">
        <v>24</v>
      </c>
      <c r="H785" s="2" t="s">
        <v>1358</v>
      </c>
      <c r="I785" s="2" t="s">
        <v>1356</v>
      </c>
      <c r="J785" s="2" t="s">
        <v>26</v>
      </c>
      <c r="K785" s="2" t="s">
        <v>1359</v>
      </c>
      <c r="L785" s="3">
        <v>46089.0</v>
      </c>
      <c r="M785" s="2">
        <v>34.99</v>
      </c>
      <c r="N785" s="2">
        <v>34.99</v>
      </c>
      <c r="O785" s="2">
        <v>22.0</v>
      </c>
      <c r="P785" s="2">
        <v>3.0</v>
      </c>
      <c r="Q785" s="2" t="s">
        <v>1360</v>
      </c>
      <c r="R785" s="2" t="s">
        <v>24</v>
      </c>
      <c r="S785" s="2" t="b">
        <f>COUNTIF('Marcas Target'!A:A,dados!$E785)&gt;0</f>
        <v>1</v>
      </c>
    </row>
    <row r="786" ht="15.75" customHeight="1">
      <c r="A786" s="2" t="s">
        <v>1356</v>
      </c>
      <c r="B786" s="2" t="s">
        <v>1357</v>
      </c>
      <c r="C786" s="2" t="s">
        <v>24</v>
      </c>
      <c r="D786" s="2" t="s">
        <v>24</v>
      </c>
      <c r="E786" s="2" t="s">
        <v>1245</v>
      </c>
      <c r="F786" s="2" t="s">
        <v>24</v>
      </c>
      <c r="G786" s="2" t="s">
        <v>24</v>
      </c>
      <c r="H786" s="2" t="s">
        <v>1358</v>
      </c>
      <c r="I786" s="2" t="s">
        <v>1356</v>
      </c>
      <c r="J786" s="2" t="s">
        <v>26</v>
      </c>
      <c r="K786" s="2" t="s">
        <v>1359</v>
      </c>
      <c r="L786" s="3">
        <v>46088.0</v>
      </c>
      <c r="M786" s="2">
        <v>34.99</v>
      </c>
      <c r="N786" s="2">
        <v>34.99</v>
      </c>
      <c r="O786" s="2">
        <v>24.0</v>
      </c>
      <c r="P786" s="2">
        <v>11.0</v>
      </c>
      <c r="Q786" s="2" t="s">
        <v>1360</v>
      </c>
      <c r="R786" s="2" t="s">
        <v>24</v>
      </c>
      <c r="S786" s="2" t="b">
        <f>COUNTIF('Marcas Target'!A:A,dados!$E786)&gt;0</f>
        <v>1</v>
      </c>
    </row>
    <row r="787" ht="15.75" customHeight="1">
      <c r="A787" s="2" t="s">
        <v>1356</v>
      </c>
      <c r="B787" s="2" t="s">
        <v>1357</v>
      </c>
      <c r="C787" s="2" t="s">
        <v>24</v>
      </c>
      <c r="D787" s="2" t="s">
        <v>24</v>
      </c>
      <c r="E787" s="2" t="s">
        <v>1245</v>
      </c>
      <c r="F787" s="2" t="s">
        <v>24</v>
      </c>
      <c r="G787" s="2" t="s">
        <v>24</v>
      </c>
      <c r="H787" s="2" t="s">
        <v>1358</v>
      </c>
      <c r="I787" s="2" t="s">
        <v>1356</v>
      </c>
      <c r="J787" s="2" t="s">
        <v>26</v>
      </c>
      <c r="K787" s="2" t="s">
        <v>1359</v>
      </c>
      <c r="L787" s="3">
        <v>46087.0</v>
      </c>
      <c r="M787" s="2">
        <v>34.99</v>
      </c>
      <c r="N787" s="2">
        <v>34.99</v>
      </c>
      <c r="O787" s="2">
        <v>3.0</v>
      </c>
      <c r="P787" s="2">
        <v>1.0</v>
      </c>
      <c r="Q787" s="2" t="s">
        <v>1360</v>
      </c>
      <c r="R787" s="2" t="s">
        <v>24</v>
      </c>
      <c r="S787" s="2" t="b">
        <f>COUNTIF('Marcas Target'!A:A,dados!$E787)&gt;0</f>
        <v>1</v>
      </c>
    </row>
    <row r="788" ht="15.75" customHeight="1">
      <c r="A788" s="2" t="s">
        <v>1361</v>
      </c>
      <c r="B788" s="2" t="s">
        <v>1362</v>
      </c>
      <c r="C788" s="2" t="s">
        <v>24</v>
      </c>
      <c r="D788" s="2" t="s">
        <v>24</v>
      </c>
      <c r="E788" s="2" t="s">
        <v>362</v>
      </c>
      <c r="F788" s="2" t="s">
        <v>24</v>
      </c>
      <c r="G788" s="2" t="s">
        <v>24</v>
      </c>
      <c r="H788" s="2" t="s">
        <v>1363</v>
      </c>
      <c r="I788" s="2" t="s">
        <v>1361</v>
      </c>
      <c r="J788" s="2" t="s">
        <v>26</v>
      </c>
      <c r="K788" s="2" t="s">
        <v>1364</v>
      </c>
      <c r="L788" s="3">
        <v>46089.0</v>
      </c>
      <c r="M788" s="2">
        <v>26.89</v>
      </c>
      <c r="N788" s="2">
        <v>26.89</v>
      </c>
      <c r="O788" s="2">
        <v>22.0</v>
      </c>
      <c r="P788" s="2">
        <v>22.0</v>
      </c>
      <c r="Q788" s="2" t="s">
        <v>1365</v>
      </c>
      <c r="R788" s="2" t="s">
        <v>24</v>
      </c>
      <c r="S788" s="2" t="b">
        <f>COUNTIF('Marcas Target'!A:A,dados!$E788)&gt;0</f>
        <v>0</v>
      </c>
    </row>
    <row r="789" ht="15.75" customHeight="1">
      <c r="A789" s="2" t="s">
        <v>1361</v>
      </c>
      <c r="B789" s="2" t="s">
        <v>1362</v>
      </c>
      <c r="C789" s="2" t="s">
        <v>24</v>
      </c>
      <c r="D789" s="2" t="s">
        <v>24</v>
      </c>
      <c r="E789" s="2" t="s">
        <v>362</v>
      </c>
      <c r="F789" s="2" t="s">
        <v>24</v>
      </c>
      <c r="G789" s="2" t="s">
        <v>24</v>
      </c>
      <c r="H789" s="2" t="s">
        <v>1363</v>
      </c>
      <c r="I789" s="2" t="s">
        <v>1361</v>
      </c>
      <c r="J789" s="2" t="s">
        <v>26</v>
      </c>
      <c r="K789" s="2" t="s">
        <v>1364</v>
      </c>
      <c r="L789" s="3">
        <v>46088.0</v>
      </c>
      <c r="M789" s="2">
        <v>26.89</v>
      </c>
      <c r="N789" s="2">
        <v>26.89</v>
      </c>
      <c r="O789" s="2">
        <v>24.0</v>
      </c>
      <c r="P789" s="2">
        <v>24.0</v>
      </c>
      <c r="Q789" s="2" t="s">
        <v>1365</v>
      </c>
      <c r="R789" s="2" t="s">
        <v>24</v>
      </c>
      <c r="S789" s="2" t="b">
        <f>COUNTIF('Marcas Target'!A:A,dados!$E789)&gt;0</f>
        <v>0</v>
      </c>
    </row>
    <row r="790" ht="15.75" customHeight="1">
      <c r="A790" s="2" t="s">
        <v>1361</v>
      </c>
      <c r="B790" s="2" t="s">
        <v>1362</v>
      </c>
      <c r="C790" s="2" t="s">
        <v>24</v>
      </c>
      <c r="D790" s="2" t="s">
        <v>24</v>
      </c>
      <c r="E790" s="2" t="s">
        <v>362</v>
      </c>
      <c r="F790" s="2" t="s">
        <v>24</v>
      </c>
      <c r="G790" s="2" t="s">
        <v>24</v>
      </c>
      <c r="H790" s="2" t="s">
        <v>1363</v>
      </c>
      <c r="I790" s="2" t="s">
        <v>1361</v>
      </c>
      <c r="J790" s="2" t="s">
        <v>26</v>
      </c>
      <c r="K790" s="2" t="s">
        <v>1364</v>
      </c>
      <c r="L790" s="3">
        <v>46087.0</v>
      </c>
      <c r="M790" s="2">
        <v>26.89</v>
      </c>
      <c r="N790" s="2">
        <v>26.89</v>
      </c>
      <c r="O790" s="2">
        <v>3.0</v>
      </c>
      <c r="P790" s="2">
        <v>2.0</v>
      </c>
      <c r="Q790" s="2" t="s">
        <v>1365</v>
      </c>
      <c r="R790" s="2" t="s">
        <v>24</v>
      </c>
      <c r="S790" s="2" t="b">
        <f>COUNTIF('Marcas Target'!A:A,dados!$E790)&gt;0</f>
        <v>0</v>
      </c>
    </row>
    <row r="791" ht="15.75" customHeight="1">
      <c r="A791" s="2" t="s">
        <v>1366</v>
      </c>
      <c r="B791" s="2" t="s">
        <v>1367</v>
      </c>
      <c r="C791" s="2" t="s">
        <v>24</v>
      </c>
      <c r="D791" s="2" t="s">
        <v>24</v>
      </c>
      <c r="E791" s="2" t="s">
        <v>294</v>
      </c>
      <c r="F791" s="2" t="s">
        <v>24</v>
      </c>
      <c r="G791" s="2" t="s">
        <v>24</v>
      </c>
      <c r="H791" s="2" t="s">
        <v>1368</v>
      </c>
      <c r="I791" s="2" t="s">
        <v>1366</v>
      </c>
      <c r="J791" s="2" t="s">
        <v>26</v>
      </c>
      <c r="K791" s="2" t="s">
        <v>1369</v>
      </c>
      <c r="L791" s="3">
        <v>46089.0</v>
      </c>
      <c r="M791" s="2">
        <v>24.99</v>
      </c>
      <c r="N791" s="2">
        <v>24.99</v>
      </c>
      <c r="O791" s="2">
        <v>22.0</v>
      </c>
      <c r="P791" s="2">
        <v>21.0</v>
      </c>
      <c r="Q791" s="2" t="s">
        <v>1370</v>
      </c>
      <c r="R791" s="2" t="s">
        <v>24</v>
      </c>
      <c r="S791" s="2" t="b">
        <f>COUNTIF('Marcas Target'!A:A,dados!$E791)&gt;0</f>
        <v>1</v>
      </c>
    </row>
    <row r="792" ht="15.75" customHeight="1">
      <c r="A792" s="2" t="s">
        <v>1366</v>
      </c>
      <c r="B792" s="2" t="s">
        <v>1367</v>
      </c>
      <c r="C792" s="2" t="s">
        <v>24</v>
      </c>
      <c r="D792" s="2" t="s">
        <v>24</v>
      </c>
      <c r="E792" s="2" t="s">
        <v>294</v>
      </c>
      <c r="F792" s="2" t="s">
        <v>24</v>
      </c>
      <c r="G792" s="2" t="s">
        <v>24</v>
      </c>
      <c r="H792" s="2" t="s">
        <v>1368</v>
      </c>
      <c r="I792" s="2" t="s">
        <v>1366</v>
      </c>
      <c r="J792" s="2" t="s">
        <v>26</v>
      </c>
      <c r="K792" s="2" t="s">
        <v>1369</v>
      </c>
      <c r="L792" s="3">
        <v>46088.0</v>
      </c>
      <c r="M792" s="2">
        <v>24.99</v>
      </c>
      <c r="N792" s="2">
        <v>24.99</v>
      </c>
      <c r="O792" s="2">
        <v>24.0</v>
      </c>
      <c r="P792" s="2">
        <v>24.0</v>
      </c>
      <c r="Q792" s="2" t="s">
        <v>1370</v>
      </c>
      <c r="R792" s="2" t="s">
        <v>24</v>
      </c>
      <c r="S792" s="2" t="b">
        <f>COUNTIF('Marcas Target'!A:A,dados!$E792)&gt;0</f>
        <v>1</v>
      </c>
    </row>
    <row r="793" ht="15.75" customHeight="1">
      <c r="A793" s="2" t="s">
        <v>1366</v>
      </c>
      <c r="B793" s="2" t="s">
        <v>1367</v>
      </c>
      <c r="C793" s="2" t="s">
        <v>24</v>
      </c>
      <c r="D793" s="2" t="s">
        <v>24</v>
      </c>
      <c r="E793" s="2" t="s">
        <v>294</v>
      </c>
      <c r="F793" s="2" t="s">
        <v>24</v>
      </c>
      <c r="G793" s="2" t="s">
        <v>24</v>
      </c>
      <c r="H793" s="2" t="s">
        <v>1368</v>
      </c>
      <c r="I793" s="2" t="s">
        <v>1366</v>
      </c>
      <c r="J793" s="2" t="s">
        <v>26</v>
      </c>
      <c r="K793" s="2" t="s">
        <v>1369</v>
      </c>
      <c r="L793" s="3">
        <v>46087.0</v>
      </c>
      <c r="M793" s="2">
        <v>24.99</v>
      </c>
      <c r="N793" s="2">
        <v>24.99</v>
      </c>
      <c r="O793" s="2">
        <v>3.0</v>
      </c>
      <c r="P793" s="2">
        <v>3.0</v>
      </c>
      <c r="Q793" s="2" t="s">
        <v>1370</v>
      </c>
      <c r="R793" s="2" t="s">
        <v>24</v>
      </c>
      <c r="S793" s="2" t="b">
        <f>COUNTIF('Marcas Target'!A:A,dados!$E793)&gt;0</f>
        <v>1</v>
      </c>
    </row>
    <row r="794" ht="15.75" customHeight="1">
      <c r="A794" s="2" t="s">
        <v>1371</v>
      </c>
      <c r="B794" s="2" t="s">
        <v>1372</v>
      </c>
      <c r="C794" s="2" t="s">
        <v>24</v>
      </c>
      <c r="D794" s="2" t="s">
        <v>24</v>
      </c>
      <c r="E794" s="2" t="s">
        <v>425</v>
      </c>
      <c r="F794" s="2" t="s">
        <v>24</v>
      </c>
      <c r="G794" s="2" t="s">
        <v>24</v>
      </c>
      <c r="H794" s="2" t="s">
        <v>1373</v>
      </c>
      <c r="I794" s="2" t="s">
        <v>1371</v>
      </c>
      <c r="J794" s="2" t="s">
        <v>26</v>
      </c>
      <c r="K794" s="2" t="s">
        <v>1374</v>
      </c>
      <c r="L794" s="3">
        <v>46089.0</v>
      </c>
      <c r="M794" s="2">
        <v>21.99</v>
      </c>
      <c r="N794" s="2">
        <v>21.99</v>
      </c>
      <c r="O794" s="2">
        <v>22.0</v>
      </c>
      <c r="P794" s="2">
        <v>22.0</v>
      </c>
      <c r="Q794" s="2" t="s">
        <v>1375</v>
      </c>
      <c r="R794" s="2" t="s">
        <v>24</v>
      </c>
      <c r="S794" s="2" t="b">
        <f>COUNTIF('Marcas Target'!A:A,dados!$E794)&gt;0</f>
        <v>0</v>
      </c>
    </row>
    <row r="795" ht="15.75" customHeight="1">
      <c r="A795" s="2" t="s">
        <v>1371</v>
      </c>
      <c r="B795" s="2" t="s">
        <v>1372</v>
      </c>
      <c r="C795" s="2" t="s">
        <v>24</v>
      </c>
      <c r="D795" s="2" t="s">
        <v>24</v>
      </c>
      <c r="E795" s="2" t="s">
        <v>425</v>
      </c>
      <c r="F795" s="2" t="s">
        <v>24</v>
      </c>
      <c r="G795" s="2" t="s">
        <v>24</v>
      </c>
      <c r="H795" s="2" t="s">
        <v>1373</v>
      </c>
      <c r="I795" s="2" t="s">
        <v>1371</v>
      </c>
      <c r="J795" s="2" t="s">
        <v>26</v>
      </c>
      <c r="K795" s="2" t="s">
        <v>1374</v>
      </c>
      <c r="L795" s="3">
        <v>46088.0</v>
      </c>
      <c r="M795" s="2">
        <v>21.99</v>
      </c>
      <c r="N795" s="2">
        <v>21.99</v>
      </c>
      <c r="O795" s="2">
        <v>24.0</v>
      </c>
      <c r="P795" s="2">
        <v>24.0</v>
      </c>
      <c r="Q795" s="2" t="s">
        <v>1375</v>
      </c>
      <c r="R795" s="2" t="s">
        <v>24</v>
      </c>
      <c r="S795" s="2" t="b">
        <f>COUNTIF('Marcas Target'!A:A,dados!$E795)&gt;0</f>
        <v>0</v>
      </c>
    </row>
    <row r="796" ht="15.75" customHeight="1">
      <c r="A796" s="2" t="s">
        <v>1371</v>
      </c>
      <c r="B796" s="2" t="s">
        <v>1372</v>
      </c>
      <c r="C796" s="2" t="s">
        <v>24</v>
      </c>
      <c r="D796" s="2" t="s">
        <v>24</v>
      </c>
      <c r="E796" s="2" t="s">
        <v>425</v>
      </c>
      <c r="F796" s="2" t="s">
        <v>24</v>
      </c>
      <c r="G796" s="2" t="s">
        <v>24</v>
      </c>
      <c r="H796" s="2" t="s">
        <v>1373</v>
      </c>
      <c r="I796" s="2" t="s">
        <v>1371</v>
      </c>
      <c r="J796" s="2" t="s">
        <v>26</v>
      </c>
      <c r="K796" s="2" t="s">
        <v>1374</v>
      </c>
      <c r="L796" s="3">
        <v>46087.0</v>
      </c>
      <c r="M796" s="2">
        <v>21.99</v>
      </c>
      <c r="N796" s="2">
        <v>21.99</v>
      </c>
      <c r="O796" s="2">
        <v>3.0</v>
      </c>
      <c r="P796" s="2">
        <v>2.0</v>
      </c>
      <c r="Q796" s="2" t="s">
        <v>1375</v>
      </c>
      <c r="R796" s="2" t="s">
        <v>24</v>
      </c>
      <c r="S796" s="2" t="b">
        <f>COUNTIF('Marcas Target'!A:A,dados!$E796)&gt;0</f>
        <v>0</v>
      </c>
    </row>
    <row r="797" ht="15.75" customHeight="1">
      <c r="A797" s="2" t="s">
        <v>1376</v>
      </c>
      <c r="B797" s="2" t="s">
        <v>1377</v>
      </c>
      <c r="C797" s="2" t="s">
        <v>24</v>
      </c>
      <c r="D797" s="2" t="s">
        <v>24</v>
      </c>
      <c r="E797" s="2" t="s">
        <v>482</v>
      </c>
      <c r="F797" s="2" t="s">
        <v>24</v>
      </c>
      <c r="G797" s="2" t="s">
        <v>24</v>
      </c>
      <c r="H797" s="2" t="s">
        <v>1378</v>
      </c>
      <c r="I797" s="2" t="s">
        <v>1376</v>
      </c>
      <c r="J797" s="2" t="s">
        <v>26</v>
      </c>
      <c r="K797" s="2" t="s">
        <v>1379</v>
      </c>
      <c r="L797" s="3">
        <v>46089.0</v>
      </c>
      <c r="M797" s="2">
        <v>45.99</v>
      </c>
      <c r="N797" s="2">
        <v>45.99</v>
      </c>
      <c r="O797" s="2">
        <v>22.0</v>
      </c>
      <c r="P797" s="2">
        <v>22.0</v>
      </c>
      <c r="Q797" s="2" t="s">
        <v>1380</v>
      </c>
      <c r="R797" s="2" t="s">
        <v>24</v>
      </c>
      <c r="S797" s="2" t="b">
        <f>COUNTIF('Marcas Target'!A:A,dados!$E797)&gt;0</f>
        <v>0</v>
      </c>
    </row>
    <row r="798" ht="15.75" customHeight="1">
      <c r="A798" s="2" t="s">
        <v>1376</v>
      </c>
      <c r="B798" s="2" t="s">
        <v>1377</v>
      </c>
      <c r="C798" s="2" t="s">
        <v>24</v>
      </c>
      <c r="D798" s="2" t="s">
        <v>24</v>
      </c>
      <c r="E798" s="2" t="s">
        <v>482</v>
      </c>
      <c r="F798" s="2" t="s">
        <v>24</v>
      </c>
      <c r="G798" s="2" t="s">
        <v>24</v>
      </c>
      <c r="H798" s="2" t="s">
        <v>1378</v>
      </c>
      <c r="I798" s="2" t="s">
        <v>1376</v>
      </c>
      <c r="J798" s="2" t="s">
        <v>26</v>
      </c>
      <c r="K798" s="2" t="s">
        <v>1379</v>
      </c>
      <c r="L798" s="3">
        <v>46088.0</v>
      </c>
      <c r="M798" s="2">
        <v>45.99</v>
      </c>
      <c r="N798" s="2">
        <v>45.99</v>
      </c>
      <c r="O798" s="2">
        <v>24.0</v>
      </c>
      <c r="P798" s="2">
        <v>22.0</v>
      </c>
      <c r="Q798" s="2" t="s">
        <v>1380</v>
      </c>
      <c r="R798" s="2" t="s">
        <v>24</v>
      </c>
      <c r="S798" s="2" t="b">
        <f>COUNTIF('Marcas Target'!A:A,dados!$E798)&gt;0</f>
        <v>0</v>
      </c>
    </row>
    <row r="799" ht="15.75" customHeight="1">
      <c r="A799" s="2" t="s">
        <v>1376</v>
      </c>
      <c r="B799" s="2" t="s">
        <v>1377</v>
      </c>
      <c r="C799" s="2" t="s">
        <v>24</v>
      </c>
      <c r="D799" s="2" t="s">
        <v>24</v>
      </c>
      <c r="E799" s="2" t="s">
        <v>482</v>
      </c>
      <c r="F799" s="2" t="s">
        <v>24</v>
      </c>
      <c r="G799" s="2" t="s">
        <v>24</v>
      </c>
      <c r="H799" s="2" t="s">
        <v>1378</v>
      </c>
      <c r="I799" s="2" t="s">
        <v>1376</v>
      </c>
      <c r="J799" s="2" t="s">
        <v>26</v>
      </c>
      <c r="K799" s="2" t="s">
        <v>1379</v>
      </c>
      <c r="L799" s="3">
        <v>46087.0</v>
      </c>
      <c r="M799" s="2">
        <v>45.99</v>
      </c>
      <c r="N799" s="2">
        <v>45.99</v>
      </c>
      <c r="O799" s="2">
        <v>3.0</v>
      </c>
      <c r="P799" s="2">
        <v>3.0</v>
      </c>
      <c r="Q799" s="2" t="s">
        <v>1380</v>
      </c>
      <c r="R799" s="2" t="s">
        <v>24</v>
      </c>
      <c r="S799" s="2" t="b">
        <f>COUNTIF('Marcas Target'!A:A,dados!$E799)&gt;0</f>
        <v>0</v>
      </c>
    </row>
    <row r="800" ht="15.75" customHeight="1">
      <c r="A800" s="2" t="s">
        <v>1381</v>
      </c>
      <c r="B800" s="2" t="s">
        <v>1382</v>
      </c>
      <c r="C800" s="2" t="s">
        <v>24</v>
      </c>
      <c r="D800" s="2" t="s">
        <v>24</v>
      </c>
      <c r="E800" s="2" t="s">
        <v>362</v>
      </c>
      <c r="F800" s="2" t="s">
        <v>24</v>
      </c>
      <c r="G800" s="2" t="s">
        <v>24</v>
      </c>
      <c r="H800" s="2" t="s">
        <v>1383</v>
      </c>
      <c r="I800" s="2" t="s">
        <v>1381</v>
      </c>
      <c r="J800" s="2" t="s">
        <v>26</v>
      </c>
      <c r="K800" s="2" t="s">
        <v>1384</v>
      </c>
      <c r="L800" s="3">
        <v>46089.0</v>
      </c>
      <c r="M800" s="2">
        <v>24.99</v>
      </c>
      <c r="N800" s="2">
        <v>24.99</v>
      </c>
      <c r="O800" s="2">
        <v>22.0</v>
      </c>
      <c r="P800" s="2">
        <v>9.0</v>
      </c>
      <c r="Q800" s="2" t="s">
        <v>1385</v>
      </c>
      <c r="R800" s="2" t="s">
        <v>24</v>
      </c>
      <c r="S800" s="2" t="b">
        <f>COUNTIF('Marcas Target'!A:A,dados!$E800)&gt;0</f>
        <v>0</v>
      </c>
    </row>
    <row r="801" ht="15.75" customHeight="1">
      <c r="A801" s="2" t="s">
        <v>1381</v>
      </c>
      <c r="B801" s="2" t="s">
        <v>1382</v>
      </c>
      <c r="C801" s="2" t="s">
        <v>24</v>
      </c>
      <c r="D801" s="2" t="s">
        <v>24</v>
      </c>
      <c r="E801" s="2" t="s">
        <v>362</v>
      </c>
      <c r="F801" s="2" t="s">
        <v>24</v>
      </c>
      <c r="G801" s="2" t="s">
        <v>24</v>
      </c>
      <c r="H801" s="2" t="s">
        <v>1383</v>
      </c>
      <c r="I801" s="2" t="s">
        <v>1381</v>
      </c>
      <c r="J801" s="2" t="s">
        <v>26</v>
      </c>
      <c r="K801" s="2" t="s">
        <v>1384</v>
      </c>
      <c r="L801" s="3">
        <v>46088.0</v>
      </c>
      <c r="M801" s="2">
        <v>24.99</v>
      </c>
      <c r="N801" s="2">
        <v>24.99</v>
      </c>
      <c r="O801" s="2">
        <v>24.0</v>
      </c>
      <c r="P801" s="2">
        <v>9.0</v>
      </c>
      <c r="Q801" s="2" t="s">
        <v>1385</v>
      </c>
      <c r="R801" s="2" t="s">
        <v>24</v>
      </c>
      <c r="S801" s="2" t="b">
        <f>COUNTIF('Marcas Target'!A:A,dados!$E801)&gt;0</f>
        <v>0</v>
      </c>
    </row>
    <row r="802" ht="15.75" customHeight="1">
      <c r="A802" s="2" t="s">
        <v>1381</v>
      </c>
      <c r="B802" s="2" t="s">
        <v>1382</v>
      </c>
      <c r="C802" s="2" t="s">
        <v>24</v>
      </c>
      <c r="D802" s="2" t="s">
        <v>24</v>
      </c>
      <c r="E802" s="2" t="s">
        <v>362</v>
      </c>
      <c r="F802" s="2" t="s">
        <v>24</v>
      </c>
      <c r="G802" s="2" t="s">
        <v>24</v>
      </c>
      <c r="H802" s="2" t="s">
        <v>1383</v>
      </c>
      <c r="I802" s="2" t="s">
        <v>1381</v>
      </c>
      <c r="J802" s="2" t="s">
        <v>26</v>
      </c>
      <c r="K802" s="2" t="s">
        <v>1384</v>
      </c>
      <c r="L802" s="3">
        <v>46087.0</v>
      </c>
      <c r="M802" s="2">
        <v>24.99</v>
      </c>
      <c r="N802" s="2">
        <v>24.99</v>
      </c>
      <c r="O802" s="2">
        <v>3.0</v>
      </c>
      <c r="P802" s="2">
        <v>2.0</v>
      </c>
      <c r="Q802" s="2" t="s">
        <v>1385</v>
      </c>
      <c r="R802" s="2" t="s">
        <v>24</v>
      </c>
      <c r="S802" s="2" t="b">
        <f>COUNTIF('Marcas Target'!A:A,dados!$E802)&gt;0</f>
        <v>0</v>
      </c>
    </row>
    <row r="803" ht="15.75" customHeight="1">
      <c r="A803" s="2" t="s">
        <v>1386</v>
      </c>
      <c r="B803" s="2" t="s">
        <v>1387</v>
      </c>
      <c r="C803" s="2" t="s">
        <v>24</v>
      </c>
      <c r="D803" s="2" t="s">
        <v>24</v>
      </c>
      <c r="E803" s="2" t="s">
        <v>503</v>
      </c>
      <c r="F803" s="2" t="s">
        <v>24</v>
      </c>
      <c r="G803" s="2" t="s">
        <v>24</v>
      </c>
      <c r="H803" s="2" t="s">
        <v>1388</v>
      </c>
      <c r="I803" s="2" t="s">
        <v>1386</v>
      </c>
      <c r="J803" s="2" t="s">
        <v>26</v>
      </c>
      <c r="K803" s="2" t="s">
        <v>1389</v>
      </c>
      <c r="L803" s="3">
        <v>46089.0</v>
      </c>
      <c r="M803" s="2" t="s">
        <v>24</v>
      </c>
      <c r="N803" s="2" t="s">
        <v>24</v>
      </c>
      <c r="O803" s="2">
        <v>22.0</v>
      </c>
      <c r="P803" s="2">
        <v>0.0</v>
      </c>
      <c r="Q803" s="2" t="s">
        <v>1390</v>
      </c>
      <c r="R803" s="2" t="s">
        <v>24</v>
      </c>
      <c r="S803" s="2" t="b">
        <f>COUNTIF('Marcas Target'!A:A,dados!$E803)&gt;0</f>
        <v>0</v>
      </c>
    </row>
    <row r="804" ht="15.75" customHeight="1">
      <c r="A804" s="2" t="s">
        <v>1386</v>
      </c>
      <c r="B804" s="2" t="s">
        <v>1387</v>
      </c>
      <c r="C804" s="2" t="s">
        <v>24</v>
      </c>
      <c r="D804" s="2" t="s">
        <v>24</v>
      </c>
      <c r="E804" s="2" t="s">
        <v>503</v>
      </c>
      <c r="F804" s="2" t="s">
        <v>24</v>
      </c>
      <c r="G804" s="2" t="s">
        <v>24</v>
      </c>
      <c r="H804" s="2" t="s">
        <v>1388</v>
      </c>
      <c r="I804" s="2" t="s">
        <v>1386</v>
      </c>
      <c r="J804" s="2" t="s">
        <v>26</v>
      </c>
      <c r="K804" s="2" t="s">
        <v>1389</v>
      </c>
      <c r="L804" s="3">
        <v>46088.0</v>
      </c>
      <c r="M804" s="2">
        <v>28.99</v>
      </c>
      <c r="N804" s="2">
        <v>28.99</v>
      </c>
      <c r="O804" s="2">
        <v>24.0</v>
      </c>
      <c r="P804" s="2">
        <v>1.0</v>
      </c>
      <c r="Q804" s="2" t="s">
        <v>1390</v>
      </c>
      <c r="R804" s="2" t="s">
        <v>24</v>
      </c>
      <c r="S804" s="2" t="b">
        <f>COUNTIF('Marcas Target'!A:A,dados!$E804)&gt;0</f>
        <v>0</v>
      </c>
    </row>
    <row r="805" ht="15.75" customHeight="1">
      <c r="A805" s="2" t="s">
        <v>1386</v>
      </c>
      <c r="B805" s="2" t="s">
        <v>1387</v>
      </c>
      <c r="C805" s="2" t="s">
        <v>24</v>
      </c>
      <c r="D805" s="2" t="s">
        <v>24</v>
      </c>
      <c r="E805" s="2" t="s">
        <v>503</v>
      </c>
      <c r="F805" s="2" t="s">
        <v>24</v>
      </c>
      <c r="G805" s="2" t="s">
        <v>24</v>
      </c>
      <c r="H805" s="2" t="s">
        <v>1388</v>
      </c>
      <c r="I805" s="2" t="s">
        <v>1386</v>
      </c>
      <c r="J805" s="2" t="s">
        <v>26</v>
      </c>
      <c r="K805" s="2" t="s">
        <v>1389</v>
      </c>
      <c r="L805" s="3">
        <v>46087.0</v>
      </c>
      <c r="M805" s="2">
        <v>23.19</v>
      </c>
      <c r="N805" s="2">
        <v>23.19</v>
      </c>
      <c r="O805" s="2">
        <v>3.0</v>
      </c>
      <c r="P805" s="2">
        <v>2.0</v>
      </c>
      <c r="Q805" s="2" t="s">
        <v>1390</v>
      </c>
      <c r="R805" s="2" t="s">
        <v>24</v>
      </c>
      <c r="S805" s="2" t="b">
        <f>COUNTIF('Marcas Target'!A:A,dados!$E805)&gt;0</f>
        <v>0</v>
      </c>
    </row>
    <row r="806" ht="15.75" customHeight="1">
      <c r="A806" s="2" t="s">
        <v>1391</v>
      </c>
      <c r="B806" s="2" t="s">
        <v>1392</v>
      </c>
      <c r="C806" s="2" t="s">
        <v>24</v>
      </c>
      <c r="D806" s="2" t="s">
        <v>24</v>
      </c>
      <c r="E806" s="2" t="s">
        <v>425</v>
      </c>
      <c r="F806" s="2" t="s">
        <v>24</v>
      </c>
      <c r="G806" s="2" t="s">
        <v>24</v>
      </c>
      <c r="H806" s="2" t="s">
        <v>1393</v>
      </c>
      <c r="I806" s="2" t="s">
        <v>1391</v>
      </c>
      <c r="J806" s="2" t="s">
        <v>26</v>
      </c>
      <c r="K806" s="2" t="s">
        <v>1394</v>
      </c>
      <c r="L806" s="3">
        <v>46089.0</v>
      </c>
      <c r="M806" s="2">
        <v>21.99</v>
      </c>
      <c r="N806" s="2">
        <v>21.99</v>
      </c>
      <c r="O806" s="2">
        <v>22.0</v>
      </c>
      <c r="P806" s="2">
        <v>22.0</v>
      </c>
      <c r="Q806" s="2" t="s">
        <v>1395</v>
      </c>
      <c r="R806" s="2" t="s">
        <v>24</v>
      </c>
      <c r="S806" s="2" t="b">
        <f>COUNTIF('Marcas Target'!A:A,dados!$E806)&gt;0</f>
        <v>0</v>
      </c>
    </row>
    <row r="807" ht="15.75" customHeight="1">
      <c r="A807" s="2" t="s">
        <v>1391</v>
      </c>
      <c r="B807" s="2" t="s">
        <v>1392</v>
      </c>
      <c r="C807" s="2" t="s">
        <v>24</v>
      </c>
      <c r="D807" s="2" t="s">
        <v>24</v>
      </c>
      <c r="E807" s="2" t="s">
        <v>425</v>
      </c>
      <c r="F807" s="2" t="s">
        <v>24</v>
      </c>
      <c r="G807" s="2" t="s">
        <v>24</v>
      </c>
      <c r="H807" s="2" t="s">
        <v>1393</v>
      </c>
      <c r="I807" s="2" t="s">
        <v>1391</v>
      </c>
      <c r="J807" s="2" t="s">
        <v>26</v>
      </c>
      <c r="K807" s="2" t="s">
        <v>1394</v>
      </c>
      <c r="L807" s="3">
        <v>46088.0</v>
      </c>
      <c r="M807" s="2">
        <v>21.99</v>
      </c>
      <c r="N807" s="2">
        <v>21.99</v>
      </c>
      <c r="O807" s="2">
        <v>24.0</v>
      </c>
      <c r="P807" s="2">
        <v>24.0</v>
      </c>
      <c r="Q807" s="2" t="s">
        <v>1395</v>
      </c>
      <c r="R807" s="2" t="s">
        <v>24</v>
      </c>
      <c r="S807" s="2" t="b">
        <f>COUNTIF('Marcas Target'!A:A,dados!$E807)&gt;0</f>
        <v>0</v>
      </c>
    </row>
    <row r="808" ht="15.75" customHeight="1">
      <c r="A808" s="2" t="s">
        <v>1391</v>
      </c>
      <c r="B808" s="2" t="s">
        <v>1392</v>
      </c>
      <c r="C808" s="2" t="s">
        <v>24</v>
      </c>
      <c r="D808" s="2" t="s">
        <v>24</v>
      </c>
      <c r="E808" s="2" t="s">
        <v>425</v>
      </c>
      <c r="F808" s="2" t="s">
        <v>24</v>
      </c>
      <c r="G808" s="2" t="s">
        <v>24</v>
      </c>
      <c r="H808" s="2" t="s">
        <v>1393</v>
      </c>
      <c r="I808" s="2" t="s">
        <v>1391</v>
      </c>
      <c r="J808" s="2" t="s">
        <v>26</v>
      </c>
      <c r="K808" s="2" t="s">
        <v>1394</v>
      </c>
      <c r="L808" s="3">
        <v>46087.0</v>
      </c>
      <c r="M808" s="2">
        <v>21.99</v>
      </c>
      <c r="N808" s="2">
        <v>21.99</v>
      </c>
      <c r="O808" s="2">
        <v>3.0</v>
      </c>
      <c r="P808" s="2">
        <v>2.0</v>
      </c>
      <c r="Q808" s="2" t="s">
        <v>1395</v>
      </c>
      <c r="R808" s="2" t="s">
        <v>24</v>
      </c>
      <c r="S808" s="2" t="b">
        <f>COUNTIF('Marcas Target'!A:A,dados!$E808)&gt;0</f>
        <v>0</v>
      </c>
    </row>
    <row r="809" ht="15.75" customHeight="1">
      <c r="A809" s="2" t="s">
        <v>1396</v>
      </c>
      <c r="B809" s="2" t="s">
        <v>1397</v>
      </c>
      <c r="C809" s="2" t="s">
        <v>24</v>
      </c>
      <c r="D809" s="2" t="s">
        <v>24</v>
      </c>
      <c r="E809" s="2" t="s">
        <v>336</v>
      </c>
      <c r="F809" s="2" t="s">
        <v>24</v>
      </c>
      <c r="G809" s="2" t="s">
        <v>24</v>
      </c>
      <c r="H809" s="2" t="s">
        <v>1398</v>
      </c>
      <c r="I809" s="2" t="s">
        <v>1396</v>
      </c>
      <c r="J809" s="2" t="s">
        <v>26</v>
      </c>
      <c r="K809" s="2" t="s">
        <v>1399</v>
      </c>
      <c r="L809" s="3">
        <v>46089.0</v>
      </c>
      <c r="M809" s="2">
        <v>51.9</v>
      </c>
      <c r="N809" s="2">
        <v>51.9</v>
      </c>
      <c r="O809" s="2">
        <v>22.0</v>
      </c>
      <c r="P809" s="2">
        <v>22.0</v>
      </c>
      <c r="Q809" s="2" t="s">
        <v>1400</v>
      </c>
      <c r="R809" s="2" t="s">
        <v>24</v>
      </c>
      <c r="S809" s="2" t="b">
        <f>COUNTIF('Marcas Target'!A:A,dados!$E809)&gt;0</f>
        <v>0</v>
      </c>
    </row>
    <row r="810" ht="15.75" customHeight="1">
      <c r="A810" s="2" t="s">
        <v>1396</v>
      </c>
      <c r="B810" s="2" t="s">
        <v>1397</v>
      </c>
      <c r="C810" s="2" t="s">
        <v>24</v>
      </c>
      <c r="D810" s="2" t="s">
        <v>24</v>
      </c>
      <c r="E810" s="2" t="s">
        <v>336</v>
      </c>
      <c r="F810" s="2" t="s">
        <v>24</v>
      </c>
      <c r="G810" s="2" t="s">
        <v>24</v>
      </c>
      <c r="H810" s="2" t="s">
        <v>1398</v>
      </c>
      <c r="I810" s="2" t="s">
        <v>1396</v>
      </c>
      <c r="J810" s="2" t="s">
        <v>26</v>
      </c>
      <c r="K810" s="2" t="s">
        <v>1399</v>
      </c>
      <c r="L810" s="3">
        <v>46088.0</v>
      </c>
      <c r="M810" s="2">
        <v>51.9</v>
      </c>
      <c r="N810" s="2">
        <v>51.9</v>
      </c>
      <c r="O810" s="2">
        <v>24.0</v>
      </c>
      <c r="P810" s="2">
        <v>24.0</v>
      </c>
      <c r="Q810" s="2" t="s">
        <v>1400</v>
      </c>
      <c r="R810" s="2" t="s">
        <v>24</v>
      </c>
      <c r="S810" s="2" t="b">
        <f>COUNTIF('Marcas Target'!A:A,dados!$E810)&gt;0</f>
        <v>0</v>
      </c>
    </row>
    <row r="811" ht="15.75" customHeight="1">
      <c r="A811" s="2" t="s">
        <v>1396</v>
      </c>
      <c r="B811" s="2" t="s">
        <v>1397</v>
      </c>
      <c r="C811" s="2" t="s">
        <v>24</v>
      </c>
      <c r="D811" s="2" t="s">
        <v>24</v>
      </c>
      <c r="E811" s="2" t="s">
        <v>336</v>
      </c>
      <c r="F811" s="2" t="s">
        <v>24</v>
      </c>
      <c r="G811" s="2" t="s">
        <v>24</v>
      </c>
      <c r="H811" s="2" t="s">
        <v>1398</v>
      </c>
      <c r="I811" s="2" t="s">
        <v>1396</v>
      </c>
      <c r="J811" s="2" t="s">
        <v>26</v>
      </c>
      <c r="K811" s="2" t="s">
        <v>1399</v>
      </c>
      <c r="L811" s="3">
        <v>46087.0</v>
      </c>
      <c r="M811" s="2">
        <v>51.9</v>
      </c>
      <c r="N811" s="2">
        <v>51.9</v>
      </c>
      <c r="O811" s="2">
        <v>3.0</v>
      </c>
      <c r="P811" s="2">
        <v>2.0</v>
      </c>
      <c r="Q811" s="2" t="s">
        <v>1400</v>
      </c>
      <c r="R811" s="2" t="s">
        <v>24</v>
      </c>
      <c r="S811" s="2" t="b">
        <f>COUNTIF('Marcas Target'!A:A,dados!$E811)&gt;0</f>
        <v>0</v>
      </c>
    </row>
    <row r="812" ht="15.75" customHeight="1">
      <c r="A812" s="2" t="s">
        <v>1401</v>
      </c>
      <c r="B812" s="2" t="s">
        <v>1402</v>
      </c>
      <c r="C812" s="2" t="s">
        <v>24</v>
      </c>
      <c r="D812" s="2" t="s">
        <v>24</v>
      </c>
      <c r="E812" s="2" t="s">
        <v>1245</v>
      </c>
      <c r="F812" s="2" t="s">
        <v>24</v>
      </c>
      <c r="G812" s="2" t="s">
        <v>24</v>
      </c>
      <c r="H812" s="2" t="s">
        <v>1403</v>
      </c>
      <c r="I812" s="2" t="s">
        <v>1401</v>
      </c>
      <c r="J812" s="2" t="s">
        <v>26</v>
      </c>
      <c r="K812" s="2" t="s">
        <v>1404</v>
      </c>
      <c r="L812" s="3">
        <v>46089.0</v>
      </c>
      <c r="M812" s="2" t="s">
        <v>24</v>
      </c>
      <c r="N812" s="2" t="s">
        <v>24</v>
      </c>
      <c r="O812" s="2">
        <v>22.0</v>
      </c>
      <c r="P812" s="2">
        <v>0.0</v>
      </c>
      <c r="Q812" s="2" t="s">
        <v>1405</v>
      </c>
      <c r="R812" s="2" t="s">
        <v>24</v>
      </c>
      <c r="S812" s="2" t="b">
        <f>COUNTIF('Marcas Target'!A:A,dados!$E812)&gt;0</f>
        <v>1</v>
      </c>
    </row>
    <row r="813" ht="15.75" customHeight="1">
      <c r="A813" s="2" t="s">
        <v>1401</v>
      </c>
      <c r="B813" s="2" t="s">
        <v>1402</v>
      </c>
      <c r="C813" s="2" t="s">
        <v>24</v>
      </c>
      <c r="D813" s="2" t="s">
        <v>24</v>
      </c>
      <c r="E813" s="2" t="s">
        <v>1245</v>
      </c>
      <c r="F813" s="2" t="s">
        <v>24</v>
      </c>
      <c r="G813" s="2" t="s">
        <v>24</v>
      </c>
      <c r="H813" s="2" t="s">
        <v>1403</v>
      </c>
      <c r="I813" s="2" t="s">
        <v>1401</v>
      </c>
      <c r="J813" s="2" t="s">
        <v>26</v>
      </c>
      <c r="K813" s="2" t="s">
        <v>1404</v>
      </c>
      <c r="L813" s="3">
        <v>46088.0</v>
      </c>
      <c r="M813" s="2">
        <v>59.9</v>
      </c>
      <c r="N813" s="2">
        <v>59.9</v>
      </c>
      <c r="O813" s="2">
        <v>24.0</v>
      </c>
      <c r="P813" s="2">
        <v>21.0</v>
      </c>
      <c r="Q813" s="2" t="s">
        <v>1405</v>
      </c>
      <c r="R813" s="2" t="s">
        <v>24</v>
      </c>
      <c r="S813" s="2" t="b">
        <f>COUNTIF('Marcas Target'!A:A,dados!$E813)&gt;0</f>
        <v>1</v>
      </c>
    </row>
    <row r="814" ht="15.75" customHeight="1">
      <c r="A814" s="2" t="s">
        <v>1401</v>
      </c>
      <c r="B814" s="2" t="s">
        <v>1402</v>
      </c>
      <c r="C814" s="2" t="s">
        <v>24</v>
      </c>
      <c r="D814" s="2" t="s">
        <v>24</v>
      </c>
      <c r="E814" s="2" t="s">
        <v>1245</v>
      </c>
      <c r="F814" s="2" t="s">
        <v>24</v>
      </c>
      <c r="G814" s="2" t="s">
        <v>24</v>
      </c>
      <c r="H814" s="2" t="s">
        <v>1403</v>
      </c>
      <c r="I814" s="2" t="s">
        <v>1401</v>
      </c>
      <c r="J814" s="2" t="s">
        <v>26</v>
      </c>
      <c r="K814" s="2" t="s">
        <v>1404</v>
      </c>
      <c r="L814" s="3">
        <v>46087.0</v>
      </c>
      <c r="M814" s="2">
        <v>59.9</v>
      </c>
      <c r="N814" s="2">
        <v>59.9</v>
      </c>
      <c r="O814" s="2">
        <v>3.0</v>
      </c>
      <c r="P814" s="2">
        <v>3.0</v>
      </c>
      <c r="Q814" s="2" t="s">
        <v>1405</v>
      </c>
      <c r="R814" s="2" t="s">
        <v>24</v>
      </c>
      <c r="S814" s="2" t="b">
        <f>COUNTIF('Marcas Target'!A:A,dados!$E814)&gt;0</f>
        <v>1</v>
      </c>
    </row>
    <row r="815" ht="15.75" customHeight="1">
      <c r="A815" s="2" t="s">
        <v>1406</v>
      </c>
      <c r="B815" s="2" t="s">
        <v>1336</v>
      </c>
      <c r="C815" s="2" t="s">
        <v>24</v>
      </c>
      <c r="D815" s="2" t="s">
        <v>24</v>
      </c>
      <c r="E815" s="2" t="s">
        <v>23</v>
      </c>
      <c r="F815" s="2" t="s">
        <v>24</v>
      </c>
      <c r="G815" s="2" t="s">
        <v>24</v>
      </c>
      <c r="H815" s="2" t="s">
        <v>1407</v>
      </c>
      <c r="I815" s="2" t="s">
        <v>1406</v>
      </c>
      <c r="J815" s="2" t="s">
        <v>26</v>
      </c>
      <c r="K815" s="2" t="s">
        <v>1408</v>
      </c>
      <c r="L815" s="3">
        <v>46089.0</v>
      </c>
      <c r="M815" s="2">
        <v>60.99</v>
      </c>
      <c r="N815" s="2">
        <v>60.99</v>
      </c>
      <c r="O815" s="2">
        <v>22.0</v>
      </c>
      <c r="P815" s="2">
        <v>2.0</v>
      </c>
      <c r="Q815" s="2" t="s">
        <v>1409</v>
      </c>
      <c r="R815" s="2" t="s">
        <v>24</v>
      </c>
      <c r="S815" s="2" t="b">
        <f>COUNTIF('Marcas Target'!A:A,dados!$E815)&gt;0</f>
        <v>0</v>
      </c>
    </row>
    <row r="816" ht="15.75" customHeight="1">
      <c r="A816" s="2" t="s">
        <v>1406</v>
      </c>
      <c r="B816" s="2" t="s">
        <v>1336</v>
      </c>
      <c r="C816" s="2" t="s">
        <v>24</v>
      </c>
      <c r="D816" s="2" t="s">
        <v>24</v>
      </c>
      <c r="E816" s="2" t="s">
        <v>23</v>
      </c>
      <c r="F816" s="2" t="s">
        <v>24</v>
      </c>
      <c r="G816" s="2" t="s">
        <v>24</v>
      </c>
      <c r="H816" s="2" t="s">
        <v>1407</v>
      </c>
      <c r="I816" s="2" t="s">
        <v>1406</v>
      </c>
      <c r="J816" s="2" t="s">
        <v>26</v>
      </c>
      <c r="K816" s="2" t="s">
        <v>1408</v>
      </c>
      <c r="L816" s="3">
        <v>46088.0</v>
      </c>
      <c r="M816" s="2">
        <v>17.9</v>
      </c>
      <c r="N816" s="2">
        <v>17.9</v>
      </c>
      <c r="O816" s="2">
        <v>24.0</v>
      </c>
      <c r="P816" s="2">
        <v>1.0</v>
      </c>
      <c r="Q816" s="2" t="s">
        <v>1409</v>
      </c>
      <c r="R816" s="2" t="s">
        <v>24</v>
      </c>
      <c r="S816" s="2" t="b">
        <f>COUNTIF('Marcas Target'!A:A,dados!$E816)&gt;0</f>
        <v>0</v>
      </c>
    </row>
    <row r="817" ht="15.75" customHeight="1">
      <c r="A817" s="2" t="s">
        <v>1406</v>
      </c>
      <c r="B817" s="2" t="s">
        <v>1336</v>
      </c>
      <c r="C817" s="2" t="s">
        <v>24</v>
      </c>
      <c r="D817" s="2" t="s">
        <v>24</v>
      </c>
      <c r="E817" s="2" t="s">
        <v>23</v>
      </c>
      <c r="F817" s="2" t="s">
        <v>24</v>
      </c>
      <c r="G817" s="2" t="s">
        <v>24</v>
      </c>
      <c r="H817" s="2" t="s">
        <v>1407</v>
      </c>
      <c r="I817" s="2" t="s">
        <v>1406</v>
      </c>
      <c r="J817" s="2" t="s">
        <v>26</v>
      </c>
      <c r="K817" s="2" t="s">
        <v>1408</v>
      </c>
      <c r="L817" s="3">
        <v>46087.0</v>
      </c>
      <c r="M817" s="2" t="s">
        <v>24</v>
      </c>
      <c r="N817" s="2" t="s">
        <v>24</v>
      </c>
      <c r="O817" s="2">
        <v>3.0</v>
      </c>
      <c r="P817" s="2">
        <v>0.0</v>
      </c>
      <c r="Q817" s="2" t="s">
        <v>1409</v>
      </c>
      <c r="R817" s="2" t="s">
        <v>24</v>
      </c>
      <c r="S817" s="2" t="b">
        <f>COUNTIF('Marcas Target'!A:A,dados!$E817)&gt;0</f>
        <v>0</v>
      </c>
    </row>
    <row r="818" ht="15.75" customHeight="1">
      <c r="A818" s="2" t="s">
        <v>1410</v>
      </c>
      <c r="B818" s="2" t="s">
        <v>1411</v>
      </c>
      <c r="C818" s="2" t="s">
        <v>24</v>
      </c>
      <c r="D818" s="2" t="s">
        <v>24</v>
      </c>
      <c r="E818" s="2" t="s">
        <v>1412</v>
      </c>
      <c r="F818" s="2" t="s">
        <v>24</v>
      </c>
      <c r="G818" s="2" t="s">
        <v>24</v>
      </c>
      <c r="H818" s="2" t="s">
        <v>1413</v>
      </c>
      <c r="I818" s="2" t="s">
        <v>1410</v>
      </c>
      <c r="J818" s="2" t="s">
        <v>26</v>
      </c>
      <c r="K818" s="2" t="s">
        <v>1414</v>
      </c>
      <c r="L818" s="3">
        <v>46089.0</v>
      </c>
      <c r="M818" s="2">
        <v>49.99</v>
      </c>
      <c r="N818" s="2">
        <v>49.99</v>
      </c>
      <c r="O818" s="2">
        <v>22.0</v>
      </c>
      <c r="P818" s="2">
        <v>15.0</v>
      </c>
      <c r="Q818" s="2" t="s">
        <v>1415</v>
      </c>
      <c r="R818" s="2" t="s">
        <v>24</v>
      </c>
      <c r="S818" s="2" t="b">
        <f>COUNTIF('Marcas Target'!A:A,dados!$E818)&gt;0</f>
        <v>0</v>
      </c>
    </row>
    <row r="819" ht="15.75" customHeight="1">
      <c r="A819" s="2" t="s">
        <v>1410</v>
      </c>
      <c r="B819" s="2" t="s">
        <v>1411</v>
      </c>
      <c r="C819" s="2" t="s">
        <v>24</v>
      </c>
      <c r="D819" s="2" t="s">
        <v>24</v>
      </c>
      <c r="E819" s="2" t="s">
        <v>1412</v>
      </c>
      <c r="F819" s="2" t="s">
        <v>24</v>
      </c>
      <c r="G819" s="2" t="s">
        <v>24</v>
      </c>
      <c r="H819" s="2" t="s">
        <v>1413</v>
      </c>
      <c r="I819" s="2" t="s">
        <v>1410</v>
      </c>
      <c r="J819" s="2" t="s">
        <v>26</v>
      </c>
      <c r="K819" s="2" t="s">
        <v>1414</v>
      </c>
      <c r="L819" s="3">
        <v>46088.0</v>
      </c>
      <c r="M819" s="2">
        <v>49.99</v>
      </c>
      <c r="N819" s="2">
        <v>49.99</v>
      </c>
      <c r="O819" s="2">
        <v>24.0</v>
      </c>
      <c r="P819" s="2">
        <v>10.0</v>
      </c>
      <c r="Q819" s="2" t="s">
        <v>1415</v>
      </c>
      <c r="R819" s="2" t="s">
        <v>24</v>
      </c>
      <c r="S819" s="2" t="b">
        <f>COUNTIF('Marcas Target'!A:A,dados!$E819)&gt;0</f>
        <v>0</v>
      </c>
    </row>
    <row r="820" ht="15.75" customHeight="1">
      <c r="A820" s="2" t="s">
        <v>1410</v>
      </c>
      <c r="B820" s="2" t="s">
        <v>1411</v>
      </c>
      <c r="C820" s="2" t="s">
        <v>24</v>
      </c>
      <c r="D820" s="2" t="s">
        <v>24</v>
      </c>
      <c r="E820" s="2" t="s">
        <v>1412</v>
      </c>
      <c r="F820" s="2" t="s">
        <v>24</v>
      </c>
      <c r="G820" s="2" t="s">
        <v>24</v>
      </c>
      <c r="H820" s="2" t="s">
        <v>1413</v>
      </c>
      <c r="I820" s="2" t="s">
        <v>1410</v>
      </c>
      <c r="J820" s="2" t="s">
        <v>26</v>
      </c>
      <c r="K820" s="2" t="s">
        <v>1414</v>
      </c>
      <c r="L820" s="3">
        <v>46087.0</v>
      </c>
      <c r="M820" s="2">
        <v>49.99</v>
      </c>
      <c r="N820" s="2">
        <v>49.99</v>
      </c>
      <c r="O820" s="2">
        <v>3.0</v>
      </c>
      <c r="P820" s="2">
        <v>1.0</v>
      </c>
      <c r="Q820" s="2" t="s">
        <v>1415</v>
      </c>
      <c r="R820" s="2" t="s">
        <v>24</v>
      </c>
      <c r="S820" s="2" t="b">
        <f>COUNTIF('Marcas Target'!A:A,dados!$E820)&gt;0</f>
        <v>0</v>
      </c>
    </row>
    <row r="821" ht="15.75" customHeight="1">
      <c r="A821" s="2" t="s">
        <v>1416</v>
      </c>
      <c r="B821" s="2" t="s">
        <v>842</v>
      </c>
      <c r="C821" s="2" t="s">
        <v>24</v>
      </c>
      <c r="D821" s="2" t="s">
        <v>24</v>
      </c>
      <c r="E821" s="2" t="s">
        <v>1240</v>
      </c>
      <c r="F821" s="2" t="s">
        <v>24</v>
      </c>
      <c r="G821" s="2" t="s">
        <v>24</v>
      </c>
      <c r="H821" s="2" t="s">
        <v>1417</v>
      </c>
      <c r="I821" s="2" t="s">
        <v>1416</v>
      </c>
      <c r="J821" s="2" t="s">
        <v>26</v>
      </c>
      <c r="K821" s="2" t="s">
        <v>1418</v>
      </c>
      <c r="L821" s="3">
        <v>46089.0</v>
      </c>
      <c r="M821" s="2" t="s">
        <v>24</v>
      </c>
      <c r="N821" s="2" t="s">
        <v>24</v>
      </c>
      <c r="O821" s="2">
        <v>22.0</v>
      </c>
      <c r="P821" s="2">
        <v>0.0</v>
      </c>
      <c r="Q821" s="2" t="s">
        <v>1419</v>
      </c>
      <c r="R821" s="2" t="s">
        <v>24</v>
      </c>
      <c r="S821" s="2" t="b">
        <f>COUNTIF('Marcas Target'!A:A,dados!$E821)&gt;0</f>
        <v>0</v>
      </c>
    </row>
    <row r="822" ht="15.75" customHeight="1">
      <c r="A822" s="2" t="s">
        <v>1416</v>
      </c>
      <c r="B822" s="2" t="s">
        <v>842</v>
      </c>
      <c r="C822" s="2" t="s">
        <v>24</v>
      </c>
      <c r="D822" s="2" t="s">
        <v>24</v>
      </c>
      <c r="E822" s="2" t="s">
        <v>1240</v>
      </c>
      <c r="F822" s="2" t="s">
        <v>24</v>
      </c>
      <c r="G822" s="2" t="s">
        <v>24</v>
      </c>
      <c r="H822" s="2" t="s">
        <v>1417</v>
      </c>
      <c r="I822" s="2" t="s">
        <v>1416</v>
      </c>
      <c r="J822" s="2" t="s">
        <v>26</v>
      </c>
      <c r="K822" s="2" t="s">
        <v>1418</v>
      </c>
      <c r="L822" s="3">
        <v>46088.0</v>
      </c>
      <c r="M822" s="2">
        <v>26.99</v>
      </c>
      <c r="N822" s="2">
        <v>26.99</v>
      </c>
      <c r="O822" s="2">
        <v>24.0</v>
      </c>
      <c r="P822" s="2">
        <v>1.0</v>
      </c>
      <c r="Q822" s="2" t="s">
        <v>1419</v>
      </c>
      <c r="R822" s="2" t="s">
        <v>24</v>
      </c>
      <c r="S822" s="2" t="b">
        <f>COUNTIF('Marcas Target'!A:A,dados!$E822)&gt;0</f>
        <v>0</v>
      </c>
    </row>
    <row r="823" ht="15.75" customHeight="1">
      <c r="A823" s="2" t="s">
        <v>1416</v>
      </c>
      <c r="B823" s="2" t="s">
        <v>842</v>
      </c>
      <c r="C823" s="2" t="s">
        <v>24</v>
      </c>
      <c r="D823" s="2" t="s">
        <v>24</v>
      </c>
      <c r="E823" s="2" t="s">
        <v>1240</v>
      </c>
      <c r="F823" s="2" t="s">
        <v>24</v>
      </c>
      <c r="G823" s="2" t="s">
        <v>24</v>
      </c>
      <c r="H823" s="2" t="s">
        <v>1417</v>
      </c>
      <c r="I823" s="2" t="s">
        <v>1416</v>
      </c>
      <c r="J823" s="2" t="s">
        <v>26</v>
      </c>
      <c r="K823" s="2" t="s">
        <v>1418</v>
      </c>
      <c r="L823" s="3">
        <v>46087.0</v>
      </c>
      <c r="M823" s="2" t="s">
        <v>24</v>
      </c>
      <c r="N823" s="2" t="s">
        <v>24</v>
      </c>
      <c r="O823" s="2">
        <v>3.0</v>
      </c>
      <c r="P823" s="2">
        <v>0.0</v>
      </c>
      <c r="Q823" s="2" t="s">
        <v>1419</v>
      </c>
      <c r="R823" s="2" t="s">
        <v>24</v>
      </c>
      <c r="S823" s="2" t="b">
        <f>COUNTIF('Marcas Target'!A:A,dados!$E823)&gt;0</f>
        <v>0</v>
      </c>
    </row>
    <row r="824" ht="15.75" customHeight="1">
      <c r="A824" s="2" t="s">
        <v>1420</v>
      </c>
      <c r="B824" s="2" t="s">
        <v>1117</v>
      </c>
      <c r="C824" s="2" t="s">
        <v>24</v>
      </c>
      <c r="D824" s="2" t="s">
        <v>24</v>
      </c>
      <c r="E824" s="2" t="s">
        <v>874</v>
      </c>
      <c r="F824" s="2" t="s">
        <v>24</v>
      </c>
      <c r="G824" s="2" t="s">
        <v>24</v>
      </c>
      <c r="H824" s="2" t="s">
        <v>1421</v>
      </c>
      <c r="I824" s="2" t="s">
        <v>1420</v>
      </c>
      <c r="J824" s="2" t="s">
        <v>26</v>
      </c>
      <c r="K824" s="2" t="s">
        <v>1422</v>
      </c>
      <c r="L824" s="3">
        <v>46089.0</v>
      </c>
      <c r="M824" s="2" t="s">
        <v>24</v>
      </c>
      <c r="N824" s="2" t="s">
        <v>24</v>
      </c>
      <c r="O824" s="2">
        <v>22.0</v>
      </c>
      <c r="P824" s="2">
        <v>0.0</v>
      </c>
      <c r="Q824" s="2" t="s">
        <v>1423</v>
      </c>
      <c r="R824" s="2" t="s">
        <v>24</v>
      </c>
      <c r="S824" s="2" t="b">
        <f>COUNTIF('Marcas Target'!A:A,dados!$E824)&gt;0</f>
        <v>1</v>
      </c>
    </row>
    <row r="825" ht="15.75" customHeight="1">
      <c r="A825" s="2" t="s">
        <v>1420</v>
      </c>
      <c r="B825" s="2" t="s">
        <v>1117</v>
      </c>
      <c r="C825" s="2" t="s">
        <v>24</v>
      </c>
      <c r="D825" s="2" t="s">
        <v>24</v>
      </c>
      <c r="E825" s="2" t="s">
        <v>874</v>
      </c>
      <c r="F825" s="2" t="s">
        <v>24</v>
      </c>
      <c r="G825" s="2" t="s">
        <v>24</v>
      </c>
      <c r="H825" s="2" t="s">
        <v>1421</v>
      </c>
      <c r="I825" s="2" t="s">
        <v>1420</v>
      </c>
      <c r="J825" s="2" t="s">
        <v>26</v>
      </c>
      <c r="K825" s="2" t="s">
        <v>1422</v>
      </c>
      <c r="L825" s="3">
        <v>46088.0</v>
      </c>
      <c r="M825" s="2">
        <v>22.99</v>
      </c>
      <c r="N825" s="2">
        <v>22.99</v>
      </c>
      <c r="O825" s="2">
        <v>24.0</v>
      </c>
      <c r="P825" s="2">
        <v>1.0</v>
      </c>
      <c r="Q825" s="2" t="s">
        <v>1423</v>
      </c>
      <c r="R825" s="2" t="s">
        <v>24</v>
      </c>
      <c r="S825" s="2" t="b">
        <f>COUNTIF('Marcas Target'!A:A,dados!$E825)&gt;0</f>
        <v>1</v>
      </c>
    </row>
    <row r="826" ht="15.75" customHeight="1">
      <c r="A826" s="2" t="s">
        <v>1420</v>
      </c>
      <c r="B826" s="2" t="s">
        <v>1117</v>
      </c>
      <c r="C826" s="2" t="s">
        <v>24</v>
      </c>
      <c r="D826" s="2" t="s">
        <v>24</v>
      </c>
      <c r="E826" s="2" t="s">
        <v>874</v>
      </c>
      <c r="F826" s="2" t="s">
        <v>24</v>
      </c>
      <c r="G826" s="2" t="s">
        <v>24</v>
      </c>
      <c r="H826" s="2" t="s">
        <v>1421</v>
      </c>
      <c r="I826" s="2" t="s">
        <v>1420</v>
      </c>
      <c r="J826" s="2" t="s">
        <v>26</v>
      </c>
      <c r="K826" s="2" t="s">
        <v>1422</v>
      </c>
      <c r="L826" s="3">
        <v>46087.0</v>
      </c>
      <c r="M826" s="2" t="s">
        <v>24</v>
      </c>
      <c r="N826" s="2" t="s">
        <v>24</v>
      </c>
      <c r="O826" s="2">
        <v>3.0</v>
      </c>
      <c r="P826" s="2">
        <v>0.0</v>
      </c>
      <c r="Q826" s="2" t="s">
        <v>1423</v>
      </c>
      <c r="R826" s="2" t="s">
        <v>24</v>
      </c>
      <c r="S826" s="2" t="b">
        <f>COUNTIF('Marcas Target'!A:A,dados!$E826)&gt;0</f>
        <v>1</v>
      </c>
    </row>
    <row r="827" ht="15.75" customHeight="1">
      <c r="A827" s="2" t="s">
        <v>1424</v>
      </c>
      <c r="B827" s="2" t="s">
        <v>1425</v>
      </c>
      <c r="C827" s="2" t="s">
        <v>24</v>
      </c>
      <c r="D827" s="2" t="s">
        <v>24</v>
      </c>
      <c r="E827" s="2" t="s">
        <v>905</v>
      </c>
      <c r="F827" s="2" t="s">
        <v>24</v>
      </c>
      <c r="G827" s="2" t="s">
        <v>24</v>
      </c>
      <c r="H827" s="2" t="s">
        <v>1426</v>
      </c>
      <c r="I827" s="2" t="s">
        <v>1424</v>
      </c>
      <c r="J827" s="2" t="s">
        <v>26</v>
      </c>
      <c r="K827" s="2" t="s">
        <v>1427</v>
      </c>
      <c r="L827" s="3">
        <v>46089.0</v>
      </c>
      <c r="M827" s="2">
        <v>32.79</v>
      </c>
      <c r="N827" s="2">
        <v>32.79</v>
      </c>
      <c r="O827" s="2">
        <v>22.0</v>
      </c>
      <c r="P827" s="2">
        <v>22.0</v>
      </c>
      <c r="Q827" s="2" t="s">
        <v>1428</v>
      </c>
      <c r="R827" s="2" t="s">
        <v>24</v>
      </c>
      <c r="S827" s="2" t="b">
        <f>COUNTIF('Marcas Target'!A:A,dados!$E827)&gt;0</f>
        <v>0</v>
      </c>
    </row>
    <row r="828" ht="15.75" customHeight="1">
      <c r="A828" s="2" t="s">
        <v>1424</v>
      </c>
      <c r="B828" s="2" t="s">
        <v>1425</v>
      </c>
      <c r="C828" s="2" t="s">
        <v>24</v>
      </c>
      <c r="D828" s="2" t="s">
        <v>24</v>
      </c>
      <c r="E828" s="2" t="s">
        <v>905</v>
      </c>
      <c r="F828" s="2" t="s">
        <v>24</v>
      </c>
      <c r="G828" s="2" t="s">
        <v>24</v>
      </c>
      <c r="H828" s="2" t="s">
        <v>1426</v>
      </c>
      <c r="I828" s="2" t="s">
        <v>1424</v>
      </c>
      <c r="J828" s="2" t="s">
        <v>26</v>
      </c>
      <c r="K828" s="2" t="s">
        <v>1427</v>
      </c>
      <c r="L828" s="3">
        <v>46088.0</v>
      </c>
      <c r="M828" s="2">
        <v>37.91</v>
      </c>
      <c r="N828" s="2">
        <v>37.91</v>
      </c>
      <c r="O828" s="2">
        <v>24.0</v>
      </c>
      <c r="P828" s="2">
        <v>24.0</v>
      </c>
      <c r="Q828" s="2" t="s">
        <v>1428</v>
      </c>
      <c r="R828" s="2" t="s">
        <v>24</v>
      </c>
      <c r="S828" s="2" t="b">
        <f>COUNTIF('Marcas Target'!A:A,dados!$E828)&gt;0</f>
        <v>0</v>
      </c>
    </row>
    <row r="829" ht="15.75" customHeight="1">
      <c r="A829" s="2" t="s">
        <v>1424</v>
      </c>
      <c r="B829" s="2" t="s">
        <v>1425</v>
      </c>
      <c r="C829" s="2" t="s">
        <v>24</v>
      </c>
      <c r="D829" s="2" t="s">
        <v>24</v>
      </c>
      <c r="E829" s="2" t="s">
        <v>905</v>
      </c>
      <c r="F829" s="2" t="s">
        <v>24</v>
      </c>
      <c r="G829" s="2" t="s">
        <v>24</v>
      </c>
      <c r="H829" s="2" t="s">
        <v>1426</v>
      </c>
      <c r="I829" s="2" t="s">
        <v>1424</v>
      </c>
      <c r="J829" s="2" t="s">
        <v>26</v>
      </c>
      <c r="K829" s="2" t="s">
        <v>1427</v>
      </c>
      <c r="L829" s="3">
        <v>46087.0</v>
      </c>
      <c r="M829" s="2">
        <v>32.79</v>
      </c>
      <c r="N829" s="2">
        <v>32.79</v>
      </c>
      <c r="O829" s="2">
        <v>3.0</v>
      </c>
      <c r="P829" s="2">
        <v>3.0</v>
      </c>
      <c r="Q829" s="2" t="s">
        <v>1428</v>
      </c>
      <c r="R829" s="2" t="s">
        <v>24</v>
      </c>
      <c r="S829" s="2" t="b">
        <f>COUNTIF('Marcas Target'!A:A,dados!$E829)&gt;0</f>
        <v>0</v>
      </c>
    </row>
    <row r="830" ht="15.75" customHeight="1">
      <c r="A830" s="2" t="s">
        <v>1429</v>
      </c>
      <c r="B830" s="2" t="s">
        <v>645</v>
      </c>
      <c r="C830" s="2" t="s">
        <v>24</v>
      </c>
      <c r="D830" s="2" t="s">
        <v>24</v>
      </c>
      <c r="E830" s="2" t="s">
        <v>106</v>
      </c>
      <c r="F830" s="2" t="s">
        <v>24</v>
      </c>
      <c r="G830" s="2" t="s">
        <v>24</v>
      </c>
      <c r="H830" s="2" t="s">
        <v>1430</v>
      </c>
      <c r="I830" s="2" t="s">
        <v>1429</v>
      </c>
      <c r="J830" s="2" t="s">
        <v>26</v>
      </c>
      <c r="K830" s="2" t="s">
        <v>1431</v>
      </c>
      <c r="L830" s="3">
        <v>46089.0</v>
      </c>
      <c r="M830" s="2">
        <v>27.94</v>
      </c>
      <c r="N830" s="2">
        <v>27.94</v>
      </c>
      <c r="O830" s="2">
        <v>22.0</v>
      </c>
      <c r="P830" s="2">
        <v>22.0</v>
      </c>
      <c r="Q830" s="2" t="s">
        <v>1432</v>
      </c>
      <c r="R830" s="2" t="s">
        <v>24</v>
      </c>
      <c r="S830" s="2" t="b">
        <f>COUNTIF('Marcas Target'!A:A,dados!$E830)&gt;0</f>
        <v>0</v>
      </c>
    </row>
    <row r="831" ht="15.75" customHeight="1">
      <c r="A831" s="2" t="s">
        <v>1429</v>
      </c>
      <c r="B831" s="2" t="s">
        <v>645</v>
      </c>
      <c r="C831" s="2" t="s">
        <v>24</v>
      </c>
      <c r="D831" s="2" t="s">
        <v>24</v>
      </c>
      <c r="E831" s="2" t="s">
        <v>106</v>
      </c>
      <c r="F831" s="2" t="s">
        <v>24</v>
      </c>
      <c r="G831" s="2" t="s">
        <v>24</v>
      </c>
      <c r="H831" s="2" t="s">
        <v>1430</v>
      </c>
      <c r="I831" s="2" t="s">
        <v>1429</v>
      </c>
      <c r="J831" s="2" t="s">
        <v>26</v>
      </c>
      <c r="K831" s="2" t="s">
        <v>1431</v>
      </c>
      <c r="L831" s="3">
        <v>46088.0</v>
      </c>
      <c r="M831" s="2">
        <v>30.45</v>
      </c>
      <c r="N831" s="2">
        <v>30.45</v>
      </c>
      <c r="O831" s="2">
        <v>24.0</v>
      </c>
      <c r="P831" s="2">
        <v>12.0</v>
      </c>
      <c r="Q831" s="2" t="s">
        <v>1432</v>
      </c>
      <c r="R831" s="2" t="s">
        <v>24</v>
      </c>
      <c r="S831" s="2" t="b">
        <f>COUNTIF('Marcas Target'!A:A,dados!$E831)&gt;0</f>
        <v>0</v>
      </c>
    </row>
    <row r="832" ht="15.75" customHeight="1">
      <c r="A832" s="2" t="s">
        <v>1429</v>
      </c>
      <c r="B832" s="2" t="s">
        <v>645</v>
      </c>
      <c r="C832" s="2" t="s">
        <v>24</v>
      </c>
      <c r="D832" s="2" t="s">
        <v>24</v>
      </c>
      <c r="E832" s="2" t="s">
        <v>106</v>
      </c>
      <c r="F832" s="2" t="s">
        <v>24</v>
      </c>
      <c r="G832" s="2" t="s">
        <v>24</v>
      </c>
      <c r="H832" s="2" t="s">
        <v>1430</v>
      </c>
      <c r="I832" s="2" t="s">
        <v>1429</v>
      </c>
      <c r="J832" s="2" t="s">
        <v>26</v>
      </c>
      <c r="K832" s="2" t="s">
        <v>1431</v>
      </c>
      <c r="L832" s="3">
        <v>46087.0</v>
      </c>
      <c r="M832" s="2" t="s">
        <v>24</v>
      </c>
      <c r="N832" s="2" t="s">
        <v>24</v>
      </c>
      <c r="O832" s="2">
        <v>3.0</v>
      </c>
      <c r="P832" s="2">
        <v>0.0</v>
      </c>
      <c r="Q832" s="2" t="s">
        <v>1432</v>
      </c>
      <c r="R832" s="2" t="s">
        <v>24</v>
      </c>
      <c r="S832" s="2" t="b">
        <f>COUNTIF('Marcas Target'!A:A,dados!$E832)&gt;0</f>
        <v>0</v>
      </c>
    </row>
    <row r="833" ht="15.75" customHeight="1">
      <c r="A833" s="2" t="s">
        <v>1433</v>
      </c>
      <c r="B833" s="2" t="s">
        <v>1434</v>
      </c>
      <c r="C833" s="2" t="s">
        <v>24</v>
      </c>
      <c r="D833" s="2" t="s">
        <v>24</v>
      </c>
      <c r="E833" s="2" t="s">
        <v>23</v>
      </c>
      <c r="F833" s="2" t="s">
        <v>24</v>
      </c>
      <c r="G833" s="2" t="s">
        <v>24</v>
      </c>
      <c r="H833" s="2" t="s">
        <v>1435</v>
      </c>
      <c r="I833" s="2" t="s">
        <v>1433</v>
      </c>
      <c r="J833" s="2" t="s">
        <v>26</v>
      </c>
      <c r="K833" s="2" t="s">
        <v>1436</v>
      </c>
      <c r="L833" s="3">
        <v>46089.0</v>
      </c>
      <c r="M833" s="2">
        <v>11.59</v>
      </c>
      <c r="N833" s="2">
        <v>11.59</v>
      </c>
      <c r="O833" s="2">
        <v>22.0</v>
      </c>
      <c r="P833" s="2">
        <v>22.0</v>
      </c>
      <c r="Q833" s="2" t="s">
        <v>1437</v>
      </c>
      <c r="R833" s="2" t="s">
        <v>24</v>
      </c>
      <c r="S833" s="2" t="b">
        <f>COUNTIF('Marcas Target'!A:A,dados!$E833)&gt;0</f>
        <v>0</v>
      </c>
    </row>
    <row r="834" ht="15.75" customHeight="1">
      <c r="A834" s="2" t="s">
        <v>1433</v>
      </c>
      <c r="B834" s="2" t="s">
        <v>1434</v>
      </c>
      <c r="C834" s="2" t="s">
        <v>24</v>
      </c>
      <c r="D834" s="2" t="s">
        <v>24</v>
      </c>
      <c r="E834" s="2" t="s">
        <v>23</v>
      </c>
      <c r="F834" s="2" t="s">
        <v>24</v>
      </c>
      <c r="G834" s="2" t="s">
        <v>24</v>
      </c>
      <c r="H834" s="2" t="s">
        <v>1435</v>
      </c>
      <c r="I834" s="2" t="s">
        <v>1433</v>
      </c>
      <c r="J834" s="2" t="s">
        <v>26</v>
      </c>
      <c r="K834" s="2" t="s">
        <v>1436</v>
      </c>
      <c r="L834" s="3">
        <v>46088.0</v>
      </c>
      <c r="M834" s="2">
        <v>13.4</v>
      </c>
      <c r="N834" s="2">
        <v>13.4</v>
      </c>
      <c r="O834" s="2">
        <v>24.0</v>
      </c>
      <c r="P834" s="2">
        <v>24.0</v>
      </c>
      <c r="Q834" s="2" t="s">
        <v>1437</v>
      </c>
      <c r="R834" s="2" t="s">
        <v>24</v>
      </c>
      <c r="S834" s="2" t="b">
        <f>COUNTIF('Marcas Target'!A:A,dados!$E834)&gt;0</f>
        <v>0</v>
      </c>
    </row>
    <row r="835" ht="15.75" customHeight="1">
      <c r="A835" s="2" t="s">
        <v>1433</v>
      </c>
      <c r="B835" s="2" t="s">
        <v>1434</v>
      </c>
      <c r="C835" s="2" t="s">
        <v>24</v>
      </c>
      <c r="D835" s="2" t="s">
        <v>24</v>
      </c>
      <c r="E835" s="2" t="s">
        <v>23</v>
      </c>
      <c r="F835" s="2" t="s">
        <v>24</v>
      </c>
      <c r="G835" s="2" t="s">
        <v>24</v>
      </c>
      <c r="H835" s="2" t="s">
        <v>1435</v>
      </c>
      <c r="I835" s="2" t="s">
        <v>1433</v>
      </c>
      <c r="J835" s="2" t="s">
        <v>26</v>
      </c>
      <c r="K835" s="2" t="s">
        <v>1436</v>
      </c>
      <c r="L835" s="3">
        <v>46087.0</v>
      </c>
      <c r="M835" s="2">
        <v>11.59</v>
      </c>
      <c r="N835" s="2">
        <v>11.59</v>
      </c>
      <c r="O835" s="2">
        <v>3.0</v>
      </c>
      <c r="P835" s="2">
        <v>3.0</v>
      </c>
      <c r="Q835" s="2" t="s">
        <v>1437</v>
      </c>
      <c r="R835" s="2" t="s">
        <v>24</v>
      </c>
      <c r="S835" s="2" t="b">
        <f>COUNTIF('Marcas Target'!A:A,dados!$E835)&gt;0</f>
        <v>0</v>
      </c>
    </row>
    <row r="836" ht="15.75" customHeight="1">
      <c r="A836" s="2" t="s">
        <v>1438</v>
      </c>
      <c r="B836" s="2" t="s">
        <v>1439</v>
      </c>
      <c r="C836" s="2" t="s">
        <v>24</v>
      </c>
      <c r="D836" s="2" t="s">
        <v>24</v>
      </c>
      <c r="E836" s="2" t="s">
        <v>874</v>
      </c>
      <c r="F836" s="2" t="s">
        <v>24</v>
      </c>
      <c r="G836" s="2" t="s">
        <v>24</v>
      </c>
      <c r="H836" s="2" t="s">
        <v>1440</v>
      </c>
      <c r="I836" s="2" t="s">
        <v>1438</v>
      </c>
      <c r="J836" s="2" t="s">
        <v>26</v>
      </c>
      <c r="K836" s="2" t="s">
        <v>1441</v>
      </c>
      <c r="L836" s="3">
        <v>46089.0</v>
      </c>
      <c r="M836" s="2">
        <v>27.99</v>
      </c>
      <c r="N836" s="2">
        <v>27.99</v>
      </c>
      <c r="O836" s="2">
        <v>22.0</v>
      </c>
      <c r="P836" s="2">
        <v>21.0</v>
      </c>
      <c r="Q836" s="2" t="s">
        <v>1442</v>
      </c>
      <c r="R836" s="2" t="s">
        <v>24</v>
      </c>
      <c r="S836" s="2" t="b">
        <f>COUNTIF('Marcas Target'!A:A,dados!$E836)&gt;0</f>
        <v>1</v>
      </c>
    </row>
    <row r="837" ht="15.75" customHeight="1">
      <c r="A837" s="2" t="s">
        <v>1438</v>
      </c>
      <c r="B837" s="2" t="s">
        <v>1439</v>
      </c>
      <c r="C837" s="2" t="s">
        <v>24</v>
      </c>
      <c r="D837" s="2" t="s">
        <v>24</v>
      </c>
      <c r="E837" s="2" t="s">
        <v>874</v>
      </c>
      <c r="F837" s="2" t="s">
        <v>24</v>
      </c>
      <c r="G837" s="2" t="s">
        <v>24</v>
      </c>
      <c r="H837" s="2" t="s">
        <v>1440</v>
      </c>
      <c r="I837" s="2" t="s">
        <v>1438</v>
      </c>
      <c r="J837" s="2" t="s">
        <v>26</v>
      </c>
      <c r="K837" s="2" t="s">
        <v>1441</v>
      </c>
      <c r="L837" s="3">
        <v>46088.0</v>
      </c>
      <c r="M837" s="2">
        <v>27.99</v>
      </c>
      <c r="N837" s="2">
        <v>27.99</v>
      </c>
      <c r="O837" s="2">
        <v>24.0</v>
      </c>
      <c r="P837" s="2">
        <v>24.0</v>
      </c>
      <c r="Q837" s="2" t="s">
        <v>1442</v>
      </c>
      <c r="R837" s="2" t="s">
        <v>24</v>
      </c>
      <c r="S837" s="2" t="b">
        <f>COUNTIF('Marcas Target'!A:A,dados!$E837)&gt;0</f>
        <v>1</v>
      </c>
    </row>
    <row r="838" ht="15.75" customHeight="1">
      <c r="A838" s="2" t="s">
        <v>1438</v>
      </c>
      <c r="B838" s="2" t="s">
        <v>1439</v>
      </c>
      <c r="C838" s="2" t="s">
        <v>24</v>
      </c>
      <c r="D838" s="2" t="s">
        <v>24</v>
      </c>
      <c r="E838" s="2" t="s">
        <v>874</v>
      </c>
      <c r="F838" s="2" t="s">
        <v>24</v>
      </c>
      <c r="G838" s="2" t="s">
        <v>24</v>
      </c>
      <c r="H838" s="2" t="s">
        <v>1440</v>
      </c>
      <c r="I838" s="2" t="s">
        <v>1438</v>
      </c>
      <c r="J838" s="2" t="s">
        <v>26</v>
      </c>
      <c r="K838" s="2" t="s">
        <v>1441</v>
      </c>
      <c r="L838" s="3">
        <v>46087.0</v>
      </c>
      <c r="M838" s="2">
        <v>27.99</v>
      </c>
      <c r="N838" s="2">
        <v>27.99</v>
      </c>
      <c r="O838" s="2">
        <v>3.0</v>
      </c>
      <c r="P838" s="2">
        <v>2.0</v>
      </c>
      <c r="Q838" s="2" t="s">
        <v>1442</v>
      </c>
      <c r="R838" s="2" t="s">
        <v>24</v>
      </c>
      <c r="S838" s="2" t="b">
        <f>COUNTIF('Marcas Target'!A:A,dados!$E838)&gt;0</f>
        <v>1</v>
      </c>
    </row>
    <row r="839" ht="15.75" customHeight="1">
      <c r="A839" s="2" t="s">
        <v>1443</v>
      </c>
      <c r="B839" s="2" t="s">
        <v>1444</v>
      </c>
      <c r="C839" s="2" t="s">
        <v>24</v>
      </c>
      <c r="D839" s="2" t="s">
        <v>24</v>
      </c>
      <c r="E839" s="2" t="s">
        <v>425</v>
      </c>
      <c r="F839" s="2" t="s">
        <v>24</v>
      </c>
      <c r="G839" s="2" t="s">
        <v>24</v>
      </c>
      <c r="H839" s="2" t="s">
        <v>1445</v>
      </c>
      <c r="I839" s="2" t="s">
        <v>1443</v>
      </c>
      <c r="J839" s="2" t="s">
        <v>26</v>
      </c>
      <c r="K839" s="2" t="s">
        <v>1446</v>
      </c>
      <c r="L839" s="3">
        <v>46089.0</v>
      </c>
      <c r="M839" s="2">
        <v>38.99</v>
      </c>
      <c r="N839" s="2">
        <v>38.99</v>
      </c>
      <c r="O839" s="2">
        <v>22.0</v>
      </c>
      <c r="P839" s="2">
        <v>22.0</v>
      </c>
      <c r="Q839" s="2" t="s">
        <v>1447</v>
      </c>
      <c r="R839" s="2" t="s">
        <v>24</v>
      </c>
      <c r="S839" s="2" t="b">
        <f>COUNTIF('Marcas Target'!A:A,dados!$E839)&gt;0</f>
        <v>0</v>
      </c>
    </row>
    <row r="840" ht="15.75" customHeight="1">
      <c r="A840" s="2" t="s">
        <v>1443</v>
      </c>
      <c r="B840" s="2" t="s">
        <v>1444</v>
      </c>
      <c r="C840" s="2" t="s">
        <v>24</v>
      </c>
      <c r="D840" s="2" t="s">
        <v>24</v>
      </c>
      <c r="E840" s="2" t="s">
        <v>425</v>
      </c>
      <c r="F840" s="2" t="s">
        <v>24</v>
      </c>
      <c r="G840" s="2" t="s">
        <v>24</v>
      </c>
      <c r="H840" s="2" t="s">
        <v>1445</v>
      </c>
      <c r="I840" s="2" t="s">
        <v>1443</v>
      </c>
      <c r="J840" s="2" t="s">
        <v>26</v>
      </c>
      <c r="K840" s="2" t="s">
        <v>1446</v>
      </c>
      <c r="L840" s="3">
        <v>46088.0</v>
      </c>
      <c r="M840" s="2">
        <v>38.99</v>
      </c>
      <c r="N840" s="2">
        <v>38.99</v>
      </c>
      <c r="O840" s="2">
        <v>24.0</v>
      </c>
      <c r="P840" s="2">
        <v>24.0</v>
      </c>
      <c r="Q840" s="2" t="s">
        <v>1447</v>
      </c>
      <c r="R840" s="2" t="s">
        <v>24</v>
      </c>
      <c r="S840" s="2" t="b">
        <f>COUNTIF('Marcas Target'!A:A,dados!$E840)&gt;0</f>
        <v>0</v>
      </c>
    </row>
    <row r="841" ht="15.75" customHeight="1">
      <c r="A841" s="2" t="s">
        <v>1443</v>
      </c>
      <c r="B841" s="2" t="s">
        <v>1444</v>
      </c>
      <c r="C841" s="2" t="s">
        <v>24</v>
      </c>
      <c r="D841" s="2" t="s">
        <v>24</v>
      </c>
      <c r="E841" s="2" t="s">
        <v>425</v>
      </c>
      <c r="F841" s="2" t="s">
        <v>24</v>
      </c>
      <c r="G841" s="2" t="s">
        <v>24</v>
      </c>
      <c r="H841" s="2" t="s">
        <v>1445</v>
      </c>
      <c r="I841" s="2" t="s">
        <v>1443</v>
      </c>
      <c r="J841" s="2" t="s">
        <v>26</v>
      </c>
      <c r="K841" s="2" t="s">
        <v>1446</v>
      </c>
      <c r="L841" s="3">
        <v>46087.0</v>
      </c>
      <c r="M841" s="2">
        <v>38.99</v>
      </c>
      <c r="N841" s="2">
        <v>38.99</v>
      </c>
      <c r="O841" s="2">
        <v>3.0</v>
      </c>
      <c r="P841" s="2">
        <v>2.0</v>
      </c>
      <c r="Q841" s="2" t="s">
        <v>1447</v>
      </c>
      <c r="R841" s="2" t="s">
        <v>24</v>
      </c>
      <c r="S841" s="2" t="b">
        <f>COUNTIF('Marcas Target'!A:A,dados!$E841)&gt;0</f>
        <v>0</v>
      </c>
    </row>
    <row r="842" ht="15.75" customHeight="1">
      <c r="A842" s="2" t="s">
        <v>1448</v>
      </c>
      <c r="B842" s="2" t="s">
        <v>1449</v>
      </c>
      <c r="C842" s="2" t="s">
        <v>24</v>
      </c>
      <c r="D842" s="2" t="s">
        <v>24</v>
      </c>
      <c r="E842" s="2" t="s">
        <v>843</v>
      </c>
      <c r="F842" s="2" t="s">
        <v>24</v>
      </c>
      <c r="G842" s="2" t="s">
        <v>24</v>
      </c>
      <c r="H842" s="2" t="s">
        <v>1450</v>
      </c>
      <c r="I842" s="2" t="s">
        <v>1448</v>
      </c>
      <c r="J842" s="2" t="s">
        <v>26</v>
      </c>
      <c r="K842" s="2" t="s">
        <v>1451</v>
      </c>
      <c r="L842" s="3">
        <v>46089.0</v>
      </c>
      <c r="M842" s="2">
        <v>19.99</v>
      </c>
      <c r="N842" s="2">
        <v>19.99</v>
      </c>
      <c r="O842" s="2">
        <v>22.0</v>
      </c>
      <c r="P842" s="2">
        <v>15.0</v>
      </c>
      <c r="Q842" s="2" t="s">
        <v>1452</v>
      </c>
      <c r="R842" s="2" t="s">
        <v>24</v>
      </c>
      <c r="S842" s="2" t="b">
        <f>COUNTIF('Marcas Target'!A:A,dados!$E842)&gt;0</f>
        <v>1</v>
      </c>
    </row>
    <row r="843" ht="15.75" customHeight="1">
      <c r="A843" s="2" t="s">
        <v>1448</v>
      </c>
      <c r="B843" s="2" t="s">
        <v>1449</v>
      </c>
      <c r="C843" s="2" t="s">
        <v>24</v>
      </c>
      <c r="D843" s="2" t="s">
        <v>24</v>
      </c>
      <c r="E843" s="2" t="s">
        <v>843</v>
      </c>
      <c r="F843" s="2" t="s">
        <v>24</v>
      </c>
      <c r="G843" s="2" t="s">
        <v>24</v>
      </c>
      <c r="H843" s="2" t="s">
        <v>1450</v>
      </c>
      <c r="I843" s="2" t="s">
        <v>1448</v>
      </c>
      <c r="J843" s="2" t="s">
        <v>26</v>
      </c>
      <c r="K843" s="2" t="s">
        <v>1451</v>
      </c>
      <c r="L843" s="3">
        <v>46088.0</v>
      </c>
      <c r="M843" s="2">
        <v>19.99</v>
      </c>
      <c r="N843" s="2">
        <v>19.99</v>
      </c>
      <c r="O843" s="2">
        <v>24.0</v>
      </c>
      <c r="P843" s="2">
        <v>23.0</v>
      </c>
      <c r="Q843" s="2" t="s">
        <v>1452</v>
      </c>
      <c r="R843" s="2" t="s">
        <v>24</v>
      </c>
      <c r="S843" s="2" t="b">
        <f>COUNTIF('Marcas Target'!A:A,dados!$E843)&gt;0</f>
        <v>1</v>
      </c>
    </row>
    <row r="844" ht="15.75" customHeight="1">
      <c r="A844" s="2" t="s">
        <v>1448</v>
      </c>
      <c r="B844" s="2" t="s">
        <v>1449</v>
      </c>
      <c r="C844" s="2" t="s">
        <v>24</v>
      </c>
      <c r="D844" s="2" t="s">
        <v>24</v>
      </c>
      <c r="E844" s="2" t="s">
        <v>843</v>
      </c>
      <c r="F844" s="2" t="s">
        <v>24</v>
      </c>
      <c r="G844" s="2" t="s">
        <v>24</v>
      </c>
      <c r="H844" s="2" t="s">
        <v>1450</v>
      </c>
      <c r="I844" s="2" t="s">
        <v>1448</v>
      </c>
      <c r="J844" s="2" t="s">
        <v>26</v>
      </c>
      <c r="K844" s="2" t="s">
        <v>1451</v>
      </c>
      <c r="L844" s="3">
        <v>46087.0</v>
      </c>
      <c r="M844" s="2">
        <v>19.99</v>
      </c>
      <c r="N844" s="2">
        <v>19.99</v>
      </c>
      <c r="O844" s="2">
        <v>3.0</v>
      </c>
      <c r="P844" s="2">
        <v>3.0</v>
      </c>
      <c r="Q844" s="2" t="s">
        <v>1452</v>
      </c>
      <c r="R844" s="2" t="s">
        <v>24</v>
      </c>
      <c r="S844" s="2" t="b">
        <f>COUNTIF('Marcas Target'!A:A,dados!$E844)&gt;0</f>
        <v>1</v>
      </c>
    </row>
    <row r="845" ht="15.75" customHeight="1">
      <c r="A845" s="2" t="s">
        <v>1453</v>
      </c>
      <c r="B845" s="2" t="s">
        <v>1454</v>
      </c>
      <c r="C845" s="2" t="s">
        <v>24</v>
      </c>
      <c r="D845" s="2" t="s">
        <v>24</v>
      </c>
      <c r="E845" s="2" t="s">
        <v>503</v>
      </c>
      <c r="F845" s="2" t="s">
        <v>24</v>
      </c>
      <c r="G845" s="2" t="s">
        <v>24</v>
      </c>
      <c r="H845" s="2" t="s">
        <v>1455</v>
      </c>
      <c r="I845" s="2" t="s">
        <v>1453</v>
      </c>
      <c r="J845" s="2" t="s">
        <v>26</v>
      </c>
      <c r="K845" s="2" t="s">
        <v>1456</v>
      </c>
      <c r="L845" s="3">
        <v>46089.0</v>
      </c>
      <c r="M845" s="2" t="s">
        <v>24</v>
      </c>
      <c r="N845" s="2" t="s">
        <v>24</v>
      </c>
      <c r="O845" s="2">
        <v>22.0</v>
      </c>
      <c r="P845" s="2">
        <v>0.0</v>
      </c>
      <c r="Q845" s="2" t="s">
        <v>1457</v>
      </c>
      <c r="R845" s="2" t="s">
        <v>24</v>
      </c>
      <c r="S845" s="2" t="b">
        <f>COUNTIF('Marcas Target'!A:A,dados!$E845)&gt;0</f>
        <v>0</v>
      </c>
    </row>
    <row r="846" ht="15.75" customHeight="1">
      <c r="A846" s="2" t="s">
        <v>1453</v>
      </c>
      <c r="B846" s="2" t="s">
        <v>1454</v>
      </c>
      <c r="C846" s="2" t="s">
        <v>24</v>
      </c>
      <c r="D846" s="2" t="s">
        <v>24</v>
      </c>
      <c r="E846" s="2" t="s">
        <v>503</v>
      </c>
      <c r="F846" s="2" t="s">
        <v>24</v>
      </c>
      <c r="G846" s="2" t="s">
        <v>24</v>
      </c>
      <c r="H846" s="2" t="s">
        <v>1455</v>
      </c>
      <c r="I846" s="2" t="s">
        <v>1453</v>
      </c>
      <c r="J846" s="2" t="s">
        <v>26</v>
      </c>
      <c r="K846" s="2" t="s">
        <v>1456</v>
      </c>
      <c r="L846" s="3">
        <v>46088.0</v>
      </c>
      <c r="M846" s="2">
        <v>20.13</v>
      </c>
      <c r="N846" s="2">
        <v>20.13</v>
      </c>
      <c r="O846" s="2">
        <v>24.0</v>
      </c>
      <c r="P846" s="2">
        <v>3.0</v>
      </c>
      <c r="Q846" s="2" t="s">
        <v>1457</v>
      </c>
      <c r="R846" s="2" t="s">
        <v>24</v>
      </c>
      <c r="S846" s="2" t="b">
        <f>COUNTIF('Marcas Target'!A:A,dados!$E846)&gt;0</f>
        <v>0</v>
      </c>
    </row>
    <row r="847" ht="15.75" customHeight="1">
      <c r="A847" s="2" t="s">
        <v>1453</v>
      </c>
      <c r="B847" s="2" t="s">
        <v>1454</v>
      </c>
      <c r="C847" s="2" t="s">
        <v>24</v>
      </c>
      <c r="D847" s="2" t="s">
        <v>24</v>
      </c>
      <c r="E847" s="2" t="s">
        <v>503</v>
      </c>
      <c r="F847" s="2" t="s">
        <v>24</v>
      </c>
      <c r="G847" s="2" t="s">
        <v>24</v>
      </c>
      <c r="H847" s="2" t="s">
        <v>1455</v>
      </c>
      <c r="I847" s="2" t="s">
        <v>1453</v>
      </c>
      <c r="J847" s="2" t="s">
        <v>26</v>
      </c>
      <c r="K847" s="2" t="s">
        <v>1456</v>
      </c>
      <c r="L847" s="3">
        <v>46087.0</v>
      </c>
      <c r="M847" s="2" t="s">
        <v>24</v>
      </c>
      <c r="N847" s="2" t="s">
        <v>24</v>
      </c>
      <c r="O847" s="2">
        <v>3.0</v>
      </c>
      <c r="P847" s="2">
        <v>0.0</v>
      </c>
      <c r="Q847" s="2" t="s">
        <v>1457</v>
      </c>
      <c r="R847" s="2" t="s">
        <v>24</v>
      </c>
      <c r="S847" s="2" t="b">
        <f>COUNTIF('Marcas Target'!A:A,dados!$E847)&gt;0</f>
        <v>0</v>
      </c>
    </row>
    <row r="848" ht="15.75" customHeight="1">
      <c r="A848" s="2" t="s">
        <v>1458</v>
      </c>
      <c r="B848" s="2" t="s">
        <v>798</v>
      </c>
      <c r="C848" s="2" t="s">
        <v>24</v>
      </c>
      <c r="D848" s="2" t="s">
        <v>24</v>
      </c>
      <c r="E848" s="2" t="s">
        <v>145</v>
      </c>
      <c r="F848" s="2" t="s">
        <v>24</v>
      </c>
      <c r="G848" s="2" t="s">
        <v>24</v>
      </c>
      <c r="H848" s="2" t="s">
        <v>1459</v>
      </c>
      <c r="I848" s="2" t="s">
        <v>1458</v>
      </c>
      <c r="J848" s="2" t="s">
        <v>26</v>
      </c>
      <c r="K848" s="2" t="s">
        <v>1460</v>
      </c>
      <c r="L848" s="3">
        <v>46089.0</v>
      </c>
      <c r="M848" s="2">
        <v>55.9</v>
      </c>
      <c r="N848" s="2">
        <v>55.9</v>
      </c>
      <c r="O848" s="2">
        <v>22.0</v>
      </c>
      <c r="P848" s="2">
        <v>21.0</v>
      </c>
      <c r="Q848" s="2" t="s">
        <v>1461</v>
      </c>
      <c r="R848" s="2" t="s">
        <v>24</v>
      </c>
      <c r="S848" s="2" t="b">
        <f>COUNTIF('Marcas Target'!A:A,dados!$E848)&gt;0</f>
        <v>1</v>
      </c>
    </row>
    <row r="849" ht="15.75" customHeight="1">
      <c r="A849" s="2" t="s">
        <v>1458</v>
      </c>
      <c r="B849" s="2" t="s">
        <v>798</v>
      </c>
      <c r="C849" s="2" t="s">
        <v>24</v>
      </c>
      <c r="D849" s="2" t="s">
        <v>24</v>
      </c>
      <c r="E849" s="2" t="s">
        <v>145</v>
      </c>
      <c r="F849" s="2" t="s">
        <v>24</v>
      </c>
      <c r="G849" s="2" t="s">
        <v>24</v>
      </c>
      <c r="H849" s="2" t="s">
        <v>1459</v>
      </c>
      <c r="I849" s="2" t="s">
        <v>1458</v>
      </c>
      <c r="J849" s="2" t="s">
        <v>26</v>
      </c>
      <c r="K849" s="2" t="s">
        <v>1460</v>
      </c>
      <c r="L849" s="3">
        <v>46088.0</v>
      </c>
      <c r="M849" s="2">
        <v>55.9</v>
      </c>
      <c r="N849" s="2">
        <v>55.9</v>
      </c>
      <c r="O849" s="2">
        <v>24.0</v>
      </c>
      <c r="P849" s="2">
        <v>11.0</v>
      </c>
      <c r="Q849" s="2" t="s">
        <v>1461</v>
      </c>
      <c r="R849" s="2" t="s">
        <v>24</v>
      </c>
      <c r="S849" s="2" t="b">
        <f>COUNTIF('Marcas Target'!A:A,dados!$E849)&gt;0</f>
        <v>1</v>
      </c>
    </row>
    <row r="850" ht="15.75" customHeight="1">
      <c r="A850" s="2" t="s">
        <v>1458</v>
      </c>
      <c r="B850" s="2" t="s">
        <v>798</v>
      </c>
      <c r="C850" s="2" t="s">
        <v>24</v>
      </c>
      <c r="D850" s="2" t="s">
        <v>24</v>
      </c>
      <c r="E850" s="2" t="s">
        <v>145</v>
      </c>
      <c r="F850" s="2" t="s">
        <v>24</v>
      </c>
      <c r="G850" s="2" t="s">
        <v>24</v>
      </c>
      <c r="H850" s="2" t="s">
        <v>1459</v>
      </c>
      <c r="I850" s="2" t="s">
        <v>1458</v>
      </c>
      <c r="J850" s="2" t="s">
        <v>26</v>
      </c>
      <c r="K850" s="2" t="s">
        <v>1460</v>
      </c>
      <c r="L850" s="3">
        <v>46087.0</v>
      </c>
      <c r="M850" s="2" t="s">
        <v>24</v>
      </c>
      <c r="N850" s="2" t="s">
        <v>24</v>
      </c>
      <c r="O850" s="2">
        <v>3.0</v>
      </c>
      <c r="P850" s="2">
        <v>0.0</v>
      </c>
      <c r="Q850" s="2" t="s">
        <v>1461</v>
      </c>
      <c r="R850" s="2" t="s">
        <v>24</v>
      </c>
      <c r="S850" s="2" t="b">
        <f>COUNTIF('Marcas Target'!A:A,dados!$E850)&gt;0</f>
        <v>1</v>
      </c>
    </row>
    <row r="851" ht="15.75" customHeight="1">
      <c r="A851" s="2" t="s">
        <v>1462</v>
      </c>
      <c r="B851" s="2" t="s">
        <v>1463</v>
      </c>
      <c r="C851" s="2" t="s">
        <v>24</v>
      </c>
      <c r="D851" s="2" t="s">
        <v>24</v>
      </c>
      <c r="E851" s="2" t="s">
        <v>905</v>
      </c>
      <c r="F851" s="2" t="s">
        <v>24</v>
      </c>
      <c r="G851" s="2" t="s">
        <v>24</v>
      </c>
      <c r="H851" s="2" t="s">
        <v>1464</v>
      </c>
      <c r="I851" s="2" t="s">
        <v>1462</v>
      </c>
      <c r="J851" s="2" t="s">
        <v>26</v>
      </c>
      <c r="K851" s="2" t="s">
        <v>1465</v>
      </c>
      <c r="L851" s="3">
        <v>46089.0</v>
      </c>
      <c r="M851" s="2">
        <v>16.79</v>
      </c>
      <c r="N851" s="2">
        <v>16.79</v>
      </c>
      <c r="O851" s="2">
        <v>22.0</v>
      </c>
      <c r="P851" s="2">
        <v>22.0</v>
      </c>
      <c r="Q851" s="2" t="s">
        <v>1466</v>
      </c>
      <c r="R851" s="2" t="s">
        <v>24</v>
      </c>
      <c r="S851" s="2" t="b">
        <f>COUNTIF('Marcas Target'!A:A,dados!$E851)&gt;0</f>
        <v>0</v>
      </c>
    </row>
    <row r="852" ht="15.75" customHeight="1">
      <c r="A852" s="2" t="s">
        <v>1462</v>
      </c>
      <c r="B852" s="2" t="s">
        <v>1463</v>
      </c>
      <c r="C852" s="2" t="s">
        <v>24</v>
      </c>
      <c r="D852" s="2" t="s">
        <v>24</v>
      </c>
      <c r="E852" s="2" t="s">
        <v>905</v>
      </c>
      <c r="F852" s="2" t="s">
        <v>24</v>
      </c>
      <c r="G852" s="2" t="s">
        <v>24</v>
      </c>
      <c r="H852" s="2" t="s">
        <v>1464</v>
      </c>
      <c r="I852" s="2" t="s">
        <v>1462</v>
      </c>
      <c r="J852" s="2" t="s">
        <v>26</v>
      </c>
      <c r="K852" s="2" t="s">
        <v>1465</v>
      </c>
      <c r="L852" s="3">
        <v>46088.0</v>
      </c>
      <c r="M852" s="2">
        <v>19.41</v>
      </c>
      <c r="N852" s="2">
        <v>19.41</v>
      </c>
      <c r="O852" s="2">
        <v>24.0</v>
      </c>
      <c r="P852" s="2">
        <v>24.0</v>
      </c>
      <c r="Q852" s="2" t="s">
        <v>1466</v>
      </c>
      <c r="R852" s="2" t="s">
        <v>24</v>
      </c>
      <c r="S852" s="2" t="b">
        <f>COUNTIF('Marcas Target'!A:A,dados!$E852)&gt;0</f>
        <v>0</v>
      </c>
    </row>
    <row r="853" ht="15.75" customHeight="1">
      <c r="A853" s="2" t="s">
        <v>1462</v>
      </c>
      <c r="B853" s="2" t="s">
        <v>1463</v>
      </c>
      <c r="C853" s="2" t="s">
        <v>24</v>
      </c>
      <c r="D853" s="2" t="s">
        <v>24</v>
      </c>
      <c r="E853" s="2" t="s">
        <v>905</v>
      </c>
      <c r="F853" s="2" t="s">
        <v>24</v>
      </c>
      <c r="G853" s="2" t="s">
        <v>24</v>
      </c>
      <c r="H853" s="2" t="s">
        <v>1464</v>
      </c>
      <c r="I853" s="2" t="s">
        <v>1462</v>
      </c>
      <c r="J853" s="2" t="s">
        <v>26</v>
      </c>
      <c r="K853" s="2" t="s">
        <v>1465</v>
      </c>
      <c r="L853" s="3">
        <v>46087.0</v>
      </c>
      <c r="M853" s="2">
        <v>16.79</v>
      </c>
      <c r="N853" s="2">
        <v>16.79</v>
      </c>
      <c r="O853" s="2">
        <v>3.0</v>
      </c>
      <c r="P853" s="2">
        <v>2.0</v>
      </c>
      <c r="Q853" s="2" t="s">
        <v>1466</v>
      </c>
      <c r="R853" s="2" t="s">
        <v>24</v>
      </c>
      <c r="S853" s="2" t="b">
        <f>COUNTIF('Marcas Target'!A:A,dados!$E853)&gt;0</f>
        <v>0</v>
      </c>
    </row>
    <row r="854" ht="15.75" customHeight="1">
      <c r="A854" s="2" t="s">
        <v>1467</v>
      </c>
      <c r="B854" s="2" t="s">
        <v>1468</v>
      </c>
      <c r="C854" s="2" t="s">
        <v>24</v>
      </c>
      <c r="D854" s="2" t="s">
        <v>24</v>
      </c>
      <c r="E854" s="2" t="s">
        <v>843</v>
      </c>
      <c r="F854" s="2" t="s">
        <v>24</v>
      </c>
      <c r="G854" s="2" t="s">
        <v>24</v>
      </c>
      <c r="H854" s="2" t="s">
        <v>1469</v>
      </c>
      <c r="I854" s="2" t="s">
        <v>1467</v>
      </c>
      <c r="J854" s="2" t="s">
        <v>26</v>
      </c>
      <c r="K854" s="2" t="s">
        <v>1470</v>
      </c>
      <c r="L854" s="3">
        <v>46089.0</v>
      </c>
      <c r="M854" s="2">
        <v>8.44</v>
      </c>
      <c r="N854" s="2">
        <v>8.44</v>
      </c>
      <c r="O854" s="2">
        <v>22.0</v>
      </c>
      <c r="P854" s="2">
        <v>22.0</v>
      </c>
      <c r="Q854" s="2" t="s">
        <v>1471</v>
      </c>
      <c r="R854" s="2" t="s">
        <v>24</v>
      </c>
      <c r="S854" s="2" t="b">
        <f>COUNTIF('Marcas Target'!A:A,dados!$E854)&gt;0</f>
        <v>1</v>
      </c>
    </row>
    <row r="855" ht="15.75" customHeight="1">
      <c r="A855" s="2" t="s">
        <v>1467</v>
      </c>
      <c r="B855" s="2" t="s">
        <v>1468</v>
      </c>
      <c r="C855" s="2" t="s">
        <v>24</v>
      </c>
      <c r="D855" s="2" t="s">
        <v>24</v>
      </c>
      <c r="E855" s="2" t="s">
        <v>843</v>
      </c>
      <c r="F855" s="2" t="s">
        <v>24</v>
      </c>
      <c r="G855" s="2" t="s">
        <v>24</v>
      </c>
      <c r="H855" s="2" t="s">
        <v>1469</v>
      </c>
      <c r="I855" s="2" t="s">
        <v>1467</v>
      </c>
      <c r="J855" s="2" t="s">
        <v>26</v>
      </c>
      <c r="K855" s="2" t="s">
        <v>1470</v>
      </c>
      <c r="L855" s="3">
        <v>46088.0</v>
      </c>
      <c r="M855" s="2">
        <v>11.28</v>
      </c>
      <c r="N855" s="2">
        <v>11.28</v>
      </c>
      <c r="O855" s="2">
        <v>24.0</v>
      </c>
      <c r="P855" s="2">
        <v>24.0</v>
      </c>
      <c r="Q855" s="2" t="s">
        <v>1471</v>
      </c>
      <c r="R855" s="2" t="s">
        <v>24</v>
      </c>
      <c r="S855" s="2" t="b">
        <f>COUNTIF('Marcas Target'!A:A,dados!$E855)&gt;0</f>
        <v>1</v>
      </c>
    </row>
    <row r="856" ht="15.75" customHeight="1">
      <c r="A856" s="2" t="s">
        <v>1467</v>
      </c>
      <c r="B856" s="2" t="s">
        <v>1468</v>
      </c>
      <c r="C856" s="2" t="s">
        <v>24</v>
      </c>
      <c r="D856" s="2" t="s">
        <v>24</v>
      </c>
      <c r="E856" s="2" t="s">
        <v>843</v>
      </c>
      <c r="F856" s="2" t="s">
        <v>24</v>
      </c>
      <c r="G856" s="2" t="s">
        <v>24</v>
      </c>
      <c r="H856" s="2" t="s">
        <v>1469</v>
      </c>
      <c r="I856" s="2" t="s">
        <v>1467</v>
      </c>
      <c r="J856" s="2" t="s">
        <v>26</v>
      </c>
      <c r="K856" s="2" t="s">
        <v>1470</v>
      </c>
      <c r="L856" s="3">
        <v>46087.0</v>
      </c>
      <c r="M856" s="2">
        <v>8.44</v>
      </c>
      <c r="N856" s="2">
        <v>8.44</v>
      </c>
      <c r="O856" s="2">
        <v>3.0</v>
      </c>
      <c r="P856" s="2">
        <v>3.0</v>
      </c>
      <c r="Q856" s="2" t="s">
        <v>1471</v>
      </c>
      <c r="R856" s="2" t="s">
        <v>24</v>
      </c>
      <c r="S856" s="2" t="b">
        <f>COUNTIF('Marcas Target'!A:A,dados!$E856)&gt;0</f>
        <v>1</v>
      </c>
    </row>
    <row r="857" ht="15.75" customHeight="1">
      <c r="A857" s="2" t="s">
        <v>1472</v>
      </c>
      <c r="B857" s="2" t="s">
        <v>1473</v>
      </c>
      <c r="C857" s="2" t="s">
        <v>24</v>
      </c>
      <c r="D857" s="2" t="s">
        <v>24</v>
      </c>
      <c r="E857" s="2" t="s">
        <v>227</v>
      </c>
      <c r="F857" s="2" t="s">
        <v>24</v>
      </c>
      <c r="G857" s="2" t="s">
        <v>24</v>
      </c>
      <c r="H857" s="2" t="s">
        <v>1474</v>
      </c>
      <c r="I857" s="2" t="s">
        <v>1472</v>
      </c>
      <c r="J857" s="2" t="s">
        <v>26</v>
      </c>
      <c r="K857" s="2" t="s">
        <v>1475</v>
      </c>
      <c r="L857" s="3">
        <v>46089.0</v>
      </c>
      <c r="M857" s="2">
        <v>22.99</v>
      </c>
      <c r="N857" s="2">
        <v>22.99</v>
      </c>
      <c r="O857" s="2">
        <v>22.0</v>
      </c>
      <c r="P857" s="2">
        <v>20.0</v>
      </c>
      <c r="Q857" s="2" t="s">
        <v>1476</v>
      </c>
      <c r="R857" s="2" t="s">
        <v>24</v>
      </c>
      <c r="S857" s="2" t="b">
        <f>COUNTIF('Marcas Target'!A:A,dados!$E857)&gt;0</f>
        <v>0</v>
      </c>
    </row>
    <row r="858" ht="15.75" customHeight="1">
      <c r="A858" s="2" t="s">
        <v>1472</v>
      </c>
      <c r="B858" s="2" t="s">
        <v>1473</v>
      </c>
      <c r="C858" s="2" t="s">
        <v>24</v>
      </c>
      <c r="D858" s="2" t="s">
        <v>24</v>
      </c>
      <c r="E858" s="2" t="s">
        <v>227</v>
      </c>
      <c r="F858" s="2" t="s">
        <v>24</v>
      </c>
      <c r="G858" s="2" t="s">
        <v>24</v>
      </c>
      <c r="H858" s="2" t="s">
        <v>1474</v>
      </c>
      <c r="I858" s="2" t="s">
        <v>1472</v>
      </c>
      <c r="J858" s="2" t="s">
        <v>26</v>
      </c>
      <c r="K858" s="2" t="s">
        <v>1475</v>
      </c>
      <c r="L858" s="3">
        <v>46088.0</v>
      </c>
      <c r="M858" s="2">
        <v>22.99</v>
      </c>
      <c r="N858" s="2">
        <v>22.99</v>
      </c>
      <c r="O858" s="2">
        <v>24.0</v>
      </c>
      <c r="P858" s="2">
        <v>22.0</v>
      </c>
      <c r="Q858" s="2" t="s">
        <v>1476</v>
      </c>
      <c r="R858" s="2" t="s">
        <v>24</v>
      </c>
      <c r="S858" s="2" t="b">
        <f>COUNTIF('Marcas Target'!A:A,dados!$E858)&gt;0</f>
        <v>0</v>
      </c>
    </row>
    <row r="859" ht="15.75" customHeight="1">
      <c r="A859" s="2" t="s">
        <v>1472</v>
      </c>
      <c r="B859" s="2" t="s">
        <v>1473</v>
      </c>
      <c r="C859" s="2" t="s">
        <v>24</v>
      </c>
      <c r="D859" s="2" t="s">
        <v>24</v>
      </c>
      <c r="E859" s="2" t="s">
        <v>227</v>
      </c>
      <c r="F859" s="2" t="s">
        <v>24</v>
      </c>
      <c r="G859" s="2" t="s">
        <v>24</v>
      </c>
      <c r="H859" s="2" t="s">
        <v>1474</v>
      </c>
      <c r="I859" s="2" t="s">
        <v>1472</v>
      </c>
      <c r="J859" s="2" t="s">
        <v>26</v>
      </c>
      <c r="K859" s="2" t="s">
        <v>1475</v>
      </c>
      <c r="L859" s="3">
        <v>46087.0</v>
      </c>
      <c r="M859" s="2">
        <v>22.99</v>
      </c>
      <c r="N859" s="2">
        <v>22.99</v>
      </c>
      <c r="O859" s="2">
        <v>3.0</v>
      </c>
      <c r="P859" s="2">
        <v>3.0</v>
      </c>
      <c r="Q859" s="2" t="s">
        <v>1476</v>
      </c>
      <c r="R859" s="2" t="s">
        <v>24</v>
      </c>
      <c r="S859" s="2" t="b">
        <f>COUNTIF('Marcas Target'!A:A,dados!$E859)&gt;0</f>
        <v>0</v>
      </c>
    </row>
    <row r="860" ht="15.75" customHeight="1">
      <c r="A860" s="2" t="s">
        <v>1477</v>
      </c>
      <c r="B860" s="2" t="s">
        <v>1478</v>
      </c>
      <c r="C860" s="2" t="s">
        <v>24</v>
      </c>
      <c r="D860" s="2" t="s">
        <v>24</v>
      </c>
      <c r="E860" s="2" t="s">
        <v>1189</v>
      </c>
      <c r="F860" s="2" t="s">
        <v>24</v>
      </c>
      <c r="G860" s="2" t="s">
        <v>24</v>
      </c>
      <c r="H860" s="2" t="s">
        <v>1479</v>
      </c>
      <c r="I860" s="2" t="s">
        <v>1477</v>
      </c>
      <c r="J860" s="2" t="s">
        <v>26</v>
      </c>
      <c r="K860" s="2" t="s">
        <v>1480</v>
      </c>
      <c r="L860" s="3">
        <v>46089.0</v>
      </c>
      <c r="M860" s="2">
        <v>16.99</v>
      </c>
      <c r="N860" s="2">
        <v>16.99</v>
      </c>
      <c r="O860" s="2">
        <v>22.0</v>
      </c>
      <c r="P860" s="2">
        <v>22.0</v>
      </c>
      <c r="Q860" s="2" t="s">
        <v>1481</v>
      </c>
      <c r="R860" s="2" t="s">
        <v>24</v>
      </c>
      <c r="S860" s="2" t="b">
        <f>COUNTIF('Marcas Target'!A:A,dados!$E860)&gt;0</f>
        <v>0</v>
      </c>
    </row>
    <row r="861" ht="15.75" customHeight="1">
      <c r="A861" s="2" t="s">
        <v>1477</v>
      </c>
      <c r="B861" s="2" t="s">
        <v>1478</v>
      </c>
      <c r="C861" s="2" t="s">
        <v>24</v>
      </c>
      <c r="D861" s="2" t="s">
        <v>24</v>
      </c>
      <c r="E861" s="2" t="s">
        <v>1189</v>
      </c>
      <c r="F861" s="2" t="s">
        <v>24</v>
      </c>
      <c r="G861" s="2" t="s">
        <v>24</v>
      </c>
      <c r="H861" s="2" t="s">
        <v>1479</v>
      </c>
      <c r="I861" s="2" t="s">
        <v>1477</v>
      </c>
      <c r="J861" s="2" t="s">
        <v>26</v>
      </c>
      <c r="K861" s="2" t="s">
        <v>1480</v>
      </c>
      <c r="L861" s="3">
        <v>46088.0</v>
      </c>
      <c r="M861" s="2">
        <v>16.99</v>
      </c>
      <c r="N861" s="2">
        <v>16.99</v>
      </c>
      <c r="O861" s="2">
        <v>24.0</v>
      </c>
      <c r="P861" s="2">
        <v>23.0</v>
      </c>
      <c r="Q861" s="2" t="s">
        <v>1481</v>
      </c>
      <c r="R861" s="2" t="s">
        <v>24</v>
      </c>
      <c r="S861" s="2" t="b">
        <f>COUNTIF('Marcas Target'!A:A,dados!$E861)&gt;0</f>
        <v>0</v>
      </c>
    </row>
    <row r="862" ht="15.75" customHeight="1">
      <c r="A862" s="2" t="s">
        <v>1477</v>
      </c>
      <c r="B862" s="2" t="s">
        <v>1478</v>
      </c>
      <c r="C862" s="2" t="s">
        <v>24</v>
      </c>
      <c r="D862" s="2" t="s">
        <v>24</v>
      </c>
      <c r="E862" s="2" t="s">
        <v>1189</v>
      </c>
      <c r="F862" s="2" t="s">
        <v>24</v>
      </c>
      <c r="G862" s="2" t="s">
        <v>24</v>
      </c>
      <c r="H862" s="2" t="s">
        <v>1479</v>
      </c>
      <c r="I862" s="2" t="s">
        <v>1477</v>
      </c>
      <c r="J862" s="2" t="s">
        <v>26</v>
      </c>
      <c r="K862" s="2" t="s">
        <v>1480</v>
      </c>
      <c r="L862" s="3">
        <v>46087.0</v>
      </c>
      <c r="M862" s="2">
        <v>16.99</v>
      </c>
      <c r="N862" s="2">
        <v>16.99</v>
      </c>
      <c r="O862" s="2">
        <v>3.0</v>
      </c>
      <c r="P862" s="2">
        <v>2.0</v>
      </c>
      <c r="Q862" s="2" t="s">
        <v>1481</v>
      </c>
      <c r="R862" s="2" t="s">
        <v>24</v>
      </c>
      <c r="S862" s="2" t="b">
        <f>COUNTIF('Marcas Target'!A:A,dados!$E862)&gt;0</f>
        <v>0</v>
      </c>
    </row>
    <row r="863" ht="15.75" customHeight="1">
      <c r="A863" s="2" t="s">
        <v>1482</v>
      </c>
      <c r="B863" s="2" t="s">
        <v>1483</v>
      </c>
      <c r="C863" s="2" t="s">
        <v>24</v>
      </c>
      <c r="D863" s="2" t="s">
        <v>24</v>
      </c>
      <c r="E863" s="2" t="s">
        <v>425</v>
      </c>
      <c r="F863" s="2" t="s">
        <v>24</v>
      </c>
      <c r="G863" s="2" t="s">
        <v>24</v>
      </c>
      <c r="H863" s="2" t="s">
        <v>1484</v>
      </c>
      <c r="I863" s="2" t="s">
        <v>1482</v>
      </c>
      <c r="J863" s="2" t="s">
        <v>26</v>
      </c>
      <c r="K863" s="2" t="s">
        <v>1485</v>
      </c>
      <c r="L863" s="3">
        <v>46089.0</v>
      </c>
      <c r="M863" s="2">
        <v>34.99</v>
      </c>
      <c r="N863" s="2">
        <v>34.99</v>
      </c>
      <c r="O863" s="2">
        <v>22.0</v>
      </c>
      <c r="P863" s="2">
        <v>21.0</v>
      </c>
      <c r="Q863" s="2" t="s">
        <v>1486</v>
      </c>
      <c r="R863" s="2" t="s">
        <v>24</v>
      </c>
      <c r="S863" s="2" t="b">
        <f>COUNTIF('Marcas Target'!A:A,dados!$E863)&gt;0</f>
        <v>0</v>
      </c>
    </row>
    <row r="864" ht="15.75" customHeight="1">
      <c r="A864" s="2" t="s">
        <v>1482</v>
      </c>
      <c r="B864" s="2" t="s">
        <v>1483</v>
      </c>
      <c r="C864" s="2" t="s">
        <v>24</v>
      </c>
      <c r="D864" s="2" t="s">
        <v>24</v>
      </c>
      <c r="E864" s="2" t="s">
        <v>425</v>
      </c>
      <c r="F864" s="2" t="s">
        <v>24</v>
      </c>
      <c r="G864" s="2" t="s">
        <v>24</v>
      </c>
      <c r="H864" s="2" t="s">
        <v>1484</v>
      </c>
      <c r="I864" s="2" t="s">
        <v>1482</v>
      </c>
      <c r="J864" s="2" t="s">
        <v>26</v>
      </c>
      <c r="K864" s="2" t="s">
        <v>1485</v>
      </c>
      <c r="L864" s="3">
        <v>46088.0</v>
      </c>
      <c r="M864" s="2">
        <v>34.99</v>
      </c>
      <c r="N864" s="2">
        <v>34.99</v>
      </c>
      <c r="O864" s="2">
        <v>23.0</v>
      </c>
      <c r="P864" s="2">
        <v>23.0</v>
      </c>
      <c r="Q864" s="2" t="s">
        <v>1486</v>
      </c>
      <c r="R864" s="2" t="s">
        <v>24</v>
      </c>
      <c r="S864" s="2" t="b">
        <f>COUNTIF('Marcas Target'!A:A,dados!$E864)&gt;0</f>
        <v>0</v>
      </c>
    </row>
    <row r="865" ht="15.75" customHeight="1">
      <c r="A865" s="2" t="s">
        <v>1482</v>
      </c>
      <c r="B865" s="2" t="s">
        <v>1483</v>
      </c>
      <c r="C865" s="2" t="s">
        <v>24</v>
      </c>
      <c r="D865" s="2" t="s">
        <v>24</v>
      </c>
      <c r="E865" s="2" t="s">
        <v>425</v>
      </c>
      <c r="F865" s="2" t="s">
        <v>24</v>
      </c>
      <c r="G865" s="2" t="s">
        <v>24</v>
      </c>
      <c r="H865" s="2" t="s">
        <v>1484</v>
      </c>
      <c r="I865" s="2" t="s">
        <v>1482</v>
      </c>
      <c r="J865" s="2" t="s">
        <v>26</v>
      </c>
      <c r="K865" s="2" t="s">
        <v>1485</v>
      </c>
      <c r="L865" s="3">
        <v>46087.0</v>
      </c>
      <c r="M865" s="2">
        <v>34.99</v>
      </c>
      <c r="N865" s="2">
        <v>34.99</v>
      </c>
      <c r="O865" s="2">
        <v>3.0</v>
      </c>
      <c r="P865" s="2">
        <v>3.0</v>
      </c>
      <c r="Q865" s="2" t="s">
        <v>1486</v>
      </c>
      <c r="R865" s="2" t="s">
        <v>24</v>
      </c>
      <c r="S865" s="2" t="b">
        <f>COUNTIF('Marcas Target'!A:A,dados!$E865)&gt;0</f>
        <v>0</v>
      </c>
    </row>
    <row r="866" ht="15.75" customHeight="1">
      <c r="A866" s="2" t="s">
        <v>1487</v>
      </c>
      <c r="B866" s="2" t="s">
        <v>1488</v>
      </c>
      <c r="C866" s="2" t="s">
        <v>24</v>
      </c>
      <c r="D866" s="2" t="s">
        <v>24</v>
      </c>
      <c r="E866" s="2" t="s">
        <v>23</v>
      </c>
      <c r="F866" s="2" t="s">
        <v>24</v>
      </c>
      <c r="G866" s="2" t="s">
        <v>24</v>
      </c>
      <c r="H866" s="2" t="s">
        <v>1489</v>
      </c>
      <c r="I866" s="2" t="s">
        <v>1487</v>
      </c>
      <c r="J866" s="2" t="s">
        <v>26</v>
      </c>
      <c r="K866" s="2" t="s">
        <v>1490</v>
      </c>
      <c r="L866" s="3">
        <v>46089.0</v>
      </c>
      <c r="M866" s="2">
        <v>28.99</v>
      </c>
      <c r="N866" s="2">
        <v>28.99</v>
      </c>
      <c r="O866" s="2">
        <v>22.0</v>
      </c>
      <c r="P866" s="2">
        <v>22.0</v>
      </c>
      <c r="Q866" s="2" t="s">
        <v>1491</v>
      </c>
      <c r="R866" s="2" t="s">
        <v>24</v>
      </c>
      <c r="S866" s="2" t="b">
        <f>COUNTIF('Marcas Target'!A:A,dados!$E866)&gt;0</f>
        <v>0</v>
      </c>
    </row>
    <row r="867" ht="15.75" customHeight="1">
      <c r="A867" s="2" t="s">
        <v>1487</v>
      </c>
      <c r="B867" s="2" t="s">
        <v>1488</v>
      </c>
      <c r="C867" s="2" t="s">
        <v>24</v>
      </c>
      <c r="D867" s="2" t="s">
        <v>24</v>
      </c>
      <c r="E867" s="2" t="s">
        <v>23</v>
      </c>
      <c r="F867" s="2" t="s">
        <v>24</v>
      </c>
      <c r="G867" s="2" t="s">
        <v>24</v>
      </c>
      <c r="H867" s="2" t="s">
        <v>1489</v>
      </c>
      <c r="I867" s="2" t="s">
        <v>1487</v>
      </c>
      <c r="J867" s="2" t="s">
        <v>26</v>
      </c>
      <c r="K867" s="2" t="s">
        <v>1490</v>
      </c>
      <c r="L867" s="3">
        <v>46088.0</v>
      </c>
      <c r="M867" s="2">
        <v>28.99</v>
      </c>
      <c r="N867" s="2">
        <v>28.99</v>
      </c>
      <c r="O867" s="2">
        <v>24.0</v>
      </c>
      <c r="P867" s="2">
        <v>12.0</v>
      </c>
      <c r="Q867" s="2" t="s">
        <v>1491</v>
      </c>
      <c r="R867" s="2" t="s">
        <v>24</v>
      </c>
      <c r="S867" s="2" t="b">
        <f>COUNTIF('Marcas Target'!A:A,dados!$E867)&gt;0</f>
        <v>0</v>
      </c>
    </row>
    <row r="868" ht="15.75" customHeight="1">
      <c r="A868" s="2" t="s">
        <v>1487</v>
      </c>
      <c r="B868" s="2" t="s">
        <v>1488</v>
      </c>
      <c r="C868" s="2" t="s">
        <v>24</v>
      </c>
      <c r="D868" s="2" t="s">
        <v>24</v>
      </c>
      <c r="E868" s="2" t="s">
        <v>23</v>
      </c>
      <c r="F868" s="2" t="s">
        <v>24</v>
      </c>
      <c r="G868" s="2" t="s">
        <v>24</v>
      </c>
      <c r="H868" s="2" t="s">
        <v>1489</v>
      </c>
      <c r="I868" s="2" t="s">
        <v>1487</v>
      </c>
      <c r="J868" s="2" t="s">
        <v>26</v>
      </c>
      <c r="K868" s="2" t="s">
        <v>1490</v>
      </c>
      <c r="L868" s="3">
        <v>46087.0</v>
      </c>
      <c r="M868" s="2">
        <v>69.9</v>
      </c>
      <c r="N868" s="2">
        <v>69.9</v>
      </c>
      <c r="O868" s="2">
        <v>3.0</v>
      </c>
      <c r="P868" s="2">
        <v>1.0</v>
      </c>
      <c r="Q868" s="2" t="s">
        <v>1491</v>
      </c>
      <c r="R868" s="2" t="s">
        <v>24</v>
      </c>
      <c r="S868" s="2" t="b">
        <f>COUNTIF('Marcas Target'!A:A,dados!$E868)&gt;0</f>
        <v>0</v>
      </c>
    </row>
    <row r="869" ht="15.75" customHeight="1">
      <c r="A869" s="2" t="s">
        <v>1492</v>
      </c>
      <c r="B869" s="2" t="s">
        <v>1493</v>
      </c>
      <c r="C869" s="2" t="s">
        <v>24</v>
      </c>
      <c r="D869" s="2" t="s">
        <v>24</v>
      </c>
      <c r="E869" s="2" t="s">
        <v>555</v>
      </c>
      <c r="F869" s="2" t="s">
        <v>24</v>
      </c>
      <c r="G869" s="2" t="s">
        <v>24</v>
      </c>
      <c r="H869" s="2" t="s">
        <v>1494</v>
      </c>
      <c r="I869" s="2" t="s">
        <v>1492</v>
      </c>
      <c r="J869" s="2" t="s">
        <v>26</v>
      </c>
      <c r="K869" s="2" t="s">
        <v>1495</v>
      </c>
      <c r="L869" s="3">
        <v>46089.0</v>
      </c>
      <c r="M869" s="2">
        <v>23.99</v>
      </c>
      <c r="N869" s="2">
        <v>23.99</v>
      </c>
      <c r="O869" s="2">
        <v>22.0</v>
      </c>
      <c r="P869" s="2">
        <v>22.0</v>
      </c>
      <c r="Q869" s="2" t="s">
        <v>1496</v>
      </c>
      <c r="R869" s="2" t="s">
        <v>24</v>
      </c>
      <c r="S869" s="2" t="b">
        <f>COUNTIF('Marcas Target'!A:A,dados!$E869)&gt;0</f>
        <v>0</v>
      </c>
    </row>
    <row r="870" ht="15.75" customHeight="1">
      <c r="A870" s="2" t="s">
        <v>1492</v>
      </c>
      <c r="B870" s="2" t="s">
        <v>1493</v>
      </c>
      <c r="C870" s="2" t="s">
        <v>24</v>
      </c>
      <c r="D870" s="2" t="s">
        <v>24</v>
      </c>
      <c r="E870" s="2" t="s">
        <v>555</v>
      </c>
      <c r="F870" s="2" t="s">
        <v>24</v>
      </c>
      <c r="G870" s="2" t="s">
        <v>24</v>
      </c>
      <c r="H870" s="2" t="s">
        <v>1494</v>
      </c>
      <c r="I870" s="2" t="s">
        <v>1492</v>
      </c>
      <c r="J870" s="2" t="s">
        <v>26</v>
      </c>
      <c r="K870" s="2" t="s">
        <v>1495</v>
      </c>
      <c r="L870" s="3">
        <v>46088.0</v>
      </c>
      <c r="M870" s="2">
        <v>23.99</v>
      </c>
      <c r="N870" s="2">
        <v>23.99</v>
      </c>
      <c r="O870" s="2">
        <v>24.0</v>
      </c>
      <c r="P870" s="2">
        <v>24.0</v>
      </c>
      <c r="Q870" s="2" t="s">
        <v>1496</v>
      </c>
      <c r="R870" s="2" t="s">
        <v>24</v>
      </c>
      <c r="S870" s="2" t="b">
        <f>COUNTIF('Marcas Target'!A:A,dados!$E870)&gt;0</f>
        <v>0</v>
      </c>
    </row>
    <row r="871" ht="15.75" customHeight="1">
      <c r="A871" s="2" t="s">
        <v>1492</v>
      </c>
      <c r="B871" s="2" t="s">
        <v>1493</v>
      </c>
      <c r="C871" s="2" t="s">
        <v>24</v>
      </c>
      <c r="D871" s="2" t="s">
        <v>24</v>
      </c>
      <c r="E871" s="2" t="s">
        <v>555</v>
      </c>
      <c r="F871" s="2" t="s">
        <v>24</v>
      </c>
      <c r="G871" s="2" t="s">
        <v>24</v>
      </c>
      <c r="H871" s="2" t="s">
        <v>1494</v>
      </c>
      <c r="I871" s="2" t="s">
        <v>1492</v>
      </c>
      <c r="J871" s="2" t="s">
        <v>26</v>
      </c>
      <c r="K871" s="2" t="s">
        <v>1495</v>
      </c>
      <c r="L871" s="3">
        <v>46087.0</v>
      </c>
      <c r="M871" s="2">
        <v>23.99</v>
      </c>
      <c r="N871" s="2">
        <v>23.99</v>
      </c>
      <c r="O871" s="2">
        <v>3.0</v>
      </c>
      <c r="P871" s="2">
        <v>2.0</v>
      </c>
      <c r="Q871" s="2" t="s">
        <v>1496</v>
      </c>
      <c r="R871" s="2" t="s">
        <v>24</v>
      </c>
      <c r="S871" s="2" t="b">
        <f>COUNTIF('Marcas Target'!A:A,dados!$E871)&gt;0</f>
        <v>0</v>
      </c>
    </row>
    <row r="872" ht="15.75" customHeight="1">
      <c r="A872" s="2" t="s">
        <v>1497</v>
      </c>
      <c r="B872" s="2" t="s">
        <v>1498</v>
      </c>
      <c r="C872" s="2" t="s">
        <v>24</v>
      </c>
      <c r="D872" s="2" t="s">
        <v>24</v>
      </c>
      <c r="E872" s="2" t="s">
        <v>362</v>
      </c>
      <c r="F872" s="2" t="s">
        <v>24</v>
      </c>
      <c r="G872" s="2" t="s">
        <v>24</v>
      </c>
      <c r="H872" s="2" t="s">
        <v>1499</v>
      </c>
      <c r="I872" s="2" t="s">
        <v>1497</v>
      </c>
      <c r="J872" s="2" t="s">
        <v>26</v>
      </c>
      <c r="K872" s="2" t="s">
        <v>1500</v>
      </c>
      <c r="L872" s="3">
        <v>46089.0</v>
      </c>
      <c r="M872" s="2">
        <v>29.99</v>
      </c>
      <c r="N872" s="2">
        <v>29.99</v>
      </c>
      <c r="O872" s="2">
        <v>22.0</v>
      </c>
      <c r="P872" s="2">
        <v>22.0</v>
      </c>
      <c r="Q872" s="2" t="s">
        <v>1501</v>
      </c>
      <c r="R872" s="2" t="s">
        <v>24</v>
      </c>
      <c r="S872" s="2" t="b">
        <f>COUNTIF('Marcas Target'!A:A,dados!$E872)&gt;0</f>
        <v>0</v>
      </c>
    </row>
    <row r="873" ht="15.75" customHeight="1">
      <c r="A873" s="2" t="s">
        <v>1497</v>
      </c>
      <c r="B873" s="2" t="s">
        <v>1498</v>
      </c>
      <c r="C873" s="2" t="s">
        <v>24</v>
      </c>
      <c r="D873" s="2" t="s">
        <v>24</v>
      </c>
      <c r="E873" s="2" t="s">
        <v>362</v>
      </c>
      <c r="F873" s="2" t="s">
        <v>24</v>
      </c>
      <c r="G873" s="2" t="s">
        <v>24</v>
      </c>
      <c r="H873" s="2" t="s">
        <v>1499</v>
      </c>
      <c r="I873" s="2" t="s">
        <v>1497</v>
      </c>
      <c r="J873" s="2" t="s">
        <v>26</v>
      </c>
      <c r="K873" s="2" t="s">
        <v>1500</v>
      </c>
      <c r="L873" s="3">
        <v>46088.0</v>
      </c>
      <c r="M873" s="2">
        <v>29.99</v>
      </c>
      <c r="N873" s="2">
        <v>29.99</v>
      </c>
      <c r="O873" s="2">
        <v>23.0</v>
      </c>
      <c r="P873" s="2">
        <v>23.0</v>
      </c>
      <c r="Q873" s="2" t="s">
        <v>1501</v>
      </c>
      <c r="R873" s="2" t="s">
        <v>24</v>
      </c>
      <c r="S873" s="2" t="b">
        <f>COUNTIF('Marcas Target'!A:A,dados!$E873)&gt;0</f>
        <v>0</v>
      </c>
    </row>
    <row r="874" ht="15.75" customHeight="1">
      <c r="A874" s="2" t="s">
        <v>1497</v>
      </c>
      <c r="B874" s="2" t="s">
        <v>1498</v>
      </c>
      <c r="C874" s="2" t="s">
        <v>24</v>
      </c>
      <c r="D874" s="2" t="s">
        <v>24</v>
      </c>
      <c r="E874" s="2" t="s">
        <v>362</v>
      </c>
      <c r="F874" s="2" t="s">
        <v>24</v>
      </c>
      <c r="G874" s="2" t="s">
        <v>24</v>
      </c>
      <c r="H874" s="2" t="s">
        <v>1499</v>
      </c>
      <c r="I874" s="2" t="s">
        <v>1497</v>
      </c>
      <c r="J874" s="2" t="s">
        <v>26</v>
      </c>
      <c r="K874" s="2" t="s">
        <v>1500</v>
      </c>
      <c r="L874" s="3">
        <v>46087.0</v>
      </c>
      <c r="M874" s="2">
        <v>29.99</v>
      </c>
      <c r="N874" s="2">
        <v>29.99</v>
      </c>
      <c r="O874" s="2">
        <v>3.0</v>
      </c>
      <c r="P874" s="2">
        <v>1.0</v>
      </c>
      <c r="Q874" s="2" t="s">
        <v>1501</v>
      </c>
      <c r="R874" s="2" t="s">
        <v>24</v>
      </c>
      <c r="S874" s="2" t="b">
        <f>COUNTIF('Marcas Target'!A:A,dados!$E874)&gt;0</f>
        <v>0</v>
      </c>
    </row>
    <row r="875" ht="15.75" customHeight="1">
      <c r="A875" s="2" t="s">
        <v>1502</v>
      </c>
      <c r="B875" s="2" t="s">
        <v>1503</v>
      </c>
      <c r="C875" s="2" t="s">
        <v>24</v>
      </c>
      <c r="D875" s="2" t="s">
        <v>24</v>
      </c>
      <c r="E875" s="2" t="s">
        <v>23</v>
      </c>
      <c r="F875" s="2" t="s">
        <v>24</v>
      </c>
      <c r="G875" s="2" t="s">
        <v>24</v>
      </c>
      <c r="H875" s="2" t="s">
        <v>1504</v>
      </c>
      <c r="I875" s="2" t="s">
        <v>1502</v>
      </c>
      <c r="J875" s="2" t="s">
        <v>26</v>
      </c>
      <c r="K875" s="2" t="s">
        <v>1505</v>
      </c>
      <c r="L875" s="3">
        <v>46089.0</v>
      </c>
      <c r="M875" s="2">
        <v>11.59</v>
      </c>
      <c r="N875" s="2">
        <v>11.59</v>
      </c>
      <c r="O875" s="2">
        <v>22.0</v>
      </c>
      <c r="P875" s="2">
        <v>22.0</v>
      </c>
      <c r="Q875" s="2" t="s">
        <v>1506</v>
      </c>
      <c r="R875" s="2" t="s">
        <v>24</v>
      </c>
      <c r="S875" s="2" t="b">
        <f>COUNTIF('Marcas Target'!A:A,dados!$E875)&gt;0</f>
        <v>0</v>
      </c>
    </row>
    <row r="876" ht="15.75" customHeight="1">
      <c r="A876" s="2" t="s">
        <v>1502</v>
      </c>
      <c r="B876" s="2" t="s">
        <v>1503</v>
      </c>
      <c r="C876" s="2" t="s">
        <v>24</v>
      </c>
      <c r="D876" s="2" t="s">
        <v>24</v>
      </c>
      <c r="E876" s="2" t="s">
        <v>23</v>
      </c>
      <c r="F876" s="2" t="s">
        <v>24</v>
      </c>
      <c r="G876" s="2" t="s">
        <v>24</v>
      </c>
      <c r="H876" s="2" t="s">
        <v>1504</v>
      </c>
      <c r="I876" s="2" t="s">
        <v>1502</v>
      </c>
      <c r="J876" s="2" t="s">
        <v>26</v>
      </c>
      <c r="K876" s="2" t="s">
        <v>1505</v>
      </c>
      <c r="L876" s="3">
        <v>46088.0</v>
      </c>
      <c r="M876" s="2">
        <v>13.4</v>
      </c>
      <c r="N876" s="2">
        <v>13.4</v>
      </c>
      <c r="O876" s="2">
        <v>24.0</v>
      </c>
      <c r="P876" s="2">
        <v>24.0</v>
      </c>
      <c r="Q876" s="2" t="s">
        <v>1506</v>
      </c>
      <c r="R876" s="2" t="s">
        <v>24</v>
      </c>
      <c r="S876" s="2" t="b">
        <f>COUNTIF('Marcas Target'!A:A,dados!$E876)&gt;0</f>
        <v>0</v>
      </c>
    </row>
    <row r="877" ht="15.75" customHeight="1">
      <c r="A877" s="2" t="s">
        <v>1502</v>
      </c>
      <c r="B877" s="2" t="s">
        <v>1503</v>
      </c>
      <c r="C877" s="2" t="s">
        <v>24</v>
      </c>
      <c r="D877" s="2" t="s">
        <v>24</v>
      </c>
      <c r="E877" s="2" t="s">
        <v>23</v>
      </c>
      <c r="F877" s="2" t="s">
        <v>24</v>
      </c>
      <c r="G877" s="2" t="s">
        <v>24</v>
      </c>
      <c r="H877" s="2" t="s">
        <v>1504</v>
      </c>
      <c r="I877" s="2" t="s">
        <v>1502</v>
      </c>
      <c r="J877" s="2" t="s">
        <v>26</v>
      </c>
      <c r="K877" s="2" t="s">
        <v>1505</v>
      </c>
      <c r="L877" s="3">
        <v>46087.0</v>
      </c>
      <c r="M877" s="2">
        <v>11.59</v>
      </c>
      <c r="N877" s="2">
        <v>11.59</v>
      </c>
      <c r="O877" s="2">
        <v>3.0</v>
      </c>
      <c r="P877" s="2">
        <v>3.0</v>
      </c>
      <c r="Q877" s="2" t="s">
        <v>1506</v>
      </c>
      <c r="R877" s="2" t="s">
        <v>24</v>
      </c>
      <c r="S877" s="2" t="b">
        <f>COUNTIF('Marcas Target'!A:A,dados!$E877)&gt;0</f>
        <v>0</v>
      </c>
    </row>
    <row r="878" ht="15.75" customHeight="1">
      <c r="A878" s="2" t="s">
        <v>1507</v>
      </c>
      <c r="B878" s="2" t="s">
        <v>1508</v>
      </c>
      <c r="C878" s="2" t="s">
        <v>24</v>
      </c>
      <c r="D878" s="2" t="s">
        <v>24</v>
      </c>
      <c r="E878" s="2" t="s">
        <v>425</v>
      </c>
      <c r="F878" s="2" t="s">
        <v>24</v>
      </c>
      <c r="G878" s="2" t="s">
        <v>24</v>
      </c>
      <c r="H878" s="2" t="s">
        <v>1509</v>
      </c>
      <c r="I878" s="2" t="s">
        <v>1507</v>
      </c>
      <c r="J878" s="2" t="s">
        <v>26</v>
      </c>
      <c r="K878" s="2" t="s">
        <v>1510</v>
      </c>
      <c r="L878" s="3">
        <v>46089.0</v>
      </c>
      <c r="M878" s="2">
        <v>18.99</v>
      </c>
      <c r="N878" s="2">
        <v>18.99</v>
      </c>
      <c r="O878" s="2">
        <v>22.0</v>
      </c>
      <c r="P878" s="2">
        <v>22.0</v>
      </c>
      <c r="Q878" s="2" t="s">
        <v>1511</v>
      </c>
      <c r="R878" s="2" t="s">
        <v>24</v>
      </c>
      <c r="S878" s="2" t="b">
        <f>COUNTIF('Marcas Target'!A:A,dados!$E878)&gt;0</f>
        <v>0</v>
      </c>
    </row>
    <row r="879" ht="15.75" customHeight="1">
      <c r="A879" s="2" t="s">
        <v>1507</v>
      </c>
      <c r="B879" s="2" t="s">
        <v>1508</v>
      </c>
      <c r="C879" s="2" t="s">
        <v>24</v>
      </c>
      <c r="D879" s="2" t="s">
        <v>24</v>
      </c>
      <c r="E879" s="2" t="s">
        <v>425</v>
      </c>
      <c r="F879" s="2" t="s">
        <v>24</v>
      </c>
      <c r="G879" s="2" t="s">
        <v>24</v>
      </c>
      <c r="H879" s="2" t="s">
        <v>1509</v>
      </c>
      <c r="I879" s="2" t="s">
        <v>1507</v>
      </c>
      <c r="J879" s="2" t="s">
        <v>26</v>
      </c>
      <c r="K879" s="2" t="s">
        <v>1510</v>
      </c>
      <c r="L879" s="3">
        <v>46088.0</v>
      </c>
      <c r="M879" s="2">
        <v>18.99</v>
      </c>
      <c r="N879" s="2">
        <v>18.99</v>
      </c>
      <c r="O879" s="2">
        <v>24.0</v>
      </c>
      <c r="P879" s="2">
        <v>24.0</v>
      </c>
      <c r="Q879" s="2" t="s">
        <v>1511</v>
      </c>
      <c r="R879" s="2" t="s">
        <v>24</v>
      </c>
      <c r="S879" s="2" t="b">
        <f>COUNTIF('Marcas Target'!A:A,dados!$E879)&gt;0</f>
        <v>0</v>
      </c>
    </row>
    <row r="880" ht="15.75" customHeight="1">
      <c r="A880" s="2" t="s">
        <v>1507</v>
      </c>
      <c r="B880" s="2" t="s">
        <v>1508</v>
      </c>
      <c r="C880" s="2" t="s">
        <v>24</v>
      </c>
      <c r="D880" s="2" t="s">
        <v>24</v>
      </c>
      <c r="E880" s="2" t="s">
        <v>425</v>
      </c>
      <c r="F880" s="2" t="s">
        <v>24</v>
      </c>
      <c r="G880" s="2" t="s">
        <v>24</v>
      </c>
      <c r="H880" s="2" t="s">
        <v>1509</v>
      </c>
      <c r="I880" s="2" t="s">
        <v>1507</v>
      </c>
      <c r="J880" s="2" t="s">
        <v>26</v>
      </c>
      <c r="K880" s="2" t="s">
        <v>1510</v>
      </c>
      <c r="L880" s="3">
        <v>46087.0</v>
      </c>
      <c r="M880" s="2">
        <v>18.99</v>
      </c>
      <c r="N880" s="2">
        <v>18.99</v>
      </c>
      <c r="O880" s="2">
        <v>3.0</v>
      </c>
      <c r="P880" s="2">
        <v>3.0</v>
      </c>
      <c r="Q880" s="2" t="s">
        <v>1511</v>
      </c>
      <c r="R880" s="2" t="s">
        <v>24</v>
      </c>
      <c r="S880" s="2" t="b">
        <f>COUNTIF('Marcas Target'!A:A,dados!$E880)&gt;0</f>
        <v>0</v>
      </c>
    </row>
    <row r="881" ht="15.75" customHeight="1">
      <c r="A881" s="2" t="s">
        <v>1512</v>
      </c>
      <c r="B881" s="2" t="s">
        <v>1513</v>
      </c>
      <c r="C881" s="2" t="s">
        <v>24</v>
      </c>
      <c r="D881" s="2" t="s">
        <v>24</v>
      </c>
      <c r="E881" s="2" t="s">
        <v>503</v>
      </c>
      <c r="F881" s="2" t="s">
        <v>24</v>
      </c>
      <c r="G881" s="2" t="s">
        <v>24</v>
      </c>
      <c r="H881" s="2" t="s">
        <v>1514</v>
      </c>
      <c r="I881" s="2" t="s">
        <v>1512</v>
      </c>
      <c r="J881" s="2" t="s">
        <v>26</v>
      </c>
      <c r="K881" s="2" t="s">
        <v>1515</v>
      </c>
      <c r="L881" s="3">
        <v>46089.0</v>
      </c>
      <c r="M881" s="2">
        <v>45.95</v>
      </c>
      <c r="N881" s="2">
        <v>45.95</v>
      </c>
      <c r="O881" s="2">
        <v>22.0</v>
      </c>
      <c r="P881" s="2">
        <v>2.0</v>
      </c>
      <c r="Q881" s="2" t="s">
        <v>1516</v>
      </c>
      <c r="R881" s="2" t="s">
        <v>24</v>
      </c>
      <c r="S881" s="2" t="b">
        <f>COUNTIF('Marcas Target'!A:A,dados!$E881)&gt;0</f>
        <v>0</v>
      </c>
    </row>
    <row r="882" ht="15.75" customHeight="1">
      <c r="A882" s="2" t="s">
        <v>1512</v>
      </c>
      <c r="B882" s="2" t="s">
        <v>1513</v>
      </c>
      <c r="C882" s="2" t="s">
        <v>24</v>
      </c>
      <c r="D882" s="2" t="s">
        <v>24</v>
      </c>
      <c r="E882" s="2" t="s">
        <v>503</v>
      </c>
      <c r="F882" s="2" t="s">
        <v>24</v>
      </c>
      <c r="G882" s="2" t="s">
        <v>24</v>
      </c>
      <c r="H882" s="2" t="s">
        <v>1514</v>
      </c>
      <c r="I882" s="2" t="s">
        <v>1512</v>
      </c>
      <c r="J882" s="2" t="s">
        <v>26</v>
      </c>
      <c r="K882" s="2" t="s">
        <v>1515</v>
      </c>
      <c r="L882" s="3">
        <v>46088.0</v>
      </c>
      <c r="M882" s="2">
        <v>28.99</v>
      </c>
      <c r="N882" s="2">
        <v>28.99</v>
      </c>
      <c r="O882" s="2">
        <v>24.0</v>
      </c>
      <c r="P882" s="2">
        <v>1.0</v>
      </c>
      <c r="Q882" s="2" t="s">
        <v>1516</v>
      </c>
      <c r="R882" s="2" t="s">
        <v>24</v>
      </c>
      <c r="S882" s="2" t="b">
        <f>COUNTIF('Marcas Target'!A:A,dados!$E882)&gt;0</f>
        <v>0</v>
      </c>
    </row>
    <row r="883" ht="15.75" customHeight="1">
      <c r="A883" s="2" t="s">
        <v>1512</v>
      </c>
      <c r="B883" s="2" t="s">
        <v>1513</v>
      </c>
      <c r="C883" s="2" t="s">
        <v>24</v>
      </c>
      <c r="D883" s="2" t="s">
        <v>24</v>
      </c>
      <c r="E883" s="2" t="s">
        <v>503</v>
      </c>
      <c r="F883" s="2" t="s">
        <v>24</v>
      </c>
      <c r="G883" s="2" t="s">
        <v>24</v>
      </c>
      <c r="H883" s="2" t="s">
        <v>1514</v>
      </c>
      <c r="I883" s="2" t="s">
        <v>1512</v>
      </c>
      <c r="J883" s="2" t="s">
        <v>26</v>
      </c>
      <c r="K883" s="2" t="s">
        <v>1515</v>
      </c>
      <c r="L883" s="3">
        <v>46087.0</v>
      </c>
      <c r="M883" s="2" t="s">
        <v>24</v>
      </c>
      <c r="N883" s="2" t="s">
        <v>24</v>
      </c>
      <c r="O883" s="2">
        <v>3.0</v>
      </c>
      <c r="P883" s="2">
        <v>0.0</v>
      </c>
      <c r="Q883" s="2" t="s">
        <v>1516</v>
      </c>
      <c r="R883" s="2" t="s">
        <v>24</v>
      </c>
      <c r="S883" s="2" t="b">
        <f>COUNTIF('Marcas Target'!A:A,dados!$E883)&gt;0</f>
        <v>0</v>
      </c>
    </row>
    <row r="884" ht="15.75" customHeight="1">
      <c r="A884" s="2" t="s">
        <v>1517</v>
      </c>
      <c r="B884" s="2" t="s">
        <v>1518</v>
      </c>
      <c r="C884" s="2" t="s">
        <v>24</v>
      </c>
      <c r="D884" s="2" t="s">
        <v>24</v>
      </c>
      <c r="E884" s="2" t="s">
        <v>843</v>
      </c>
      <c r="F884" s="2" t="s">
        <v>24</v>
      </c>
      <c r="G884" s="2" t="s">
        <v>24</v>
      </c>
      <c r="H884" s="2" t="s">
        <v>1519</v>
      </c>
      <c r="I884" s="2" t="s">
        <v>1517</v>
      </c>
      <c r="J884" s="2" t="s">
        <v>26</v>
      </c>
      <c r="K884" s="2" t="s">
        <v>1520</v>
      </c>
      <c r="L884" s="3">
        <v>46089.0</v>
      </c>
      <c r="M884" s="2">
        <v>30.99</v>
      </c>
      <c r="N884" s="2">
        <v>30.99</v>
      </c>
      <c r="O884" s="2">
        <v>22.0</v>
      </c>
      <c r="P884" s="2">
        <v>22.0</v>
      </c>
      <c r="Q884" s="2" t="s">
        <v>1521</v>
      </c>
      <c r="R884" s="2" t="s">
        <v>24</v>
      </c>
      <c r="S884" s="2" t="b">
        <f>COUNTIF('Marcas Target'!A:A,dados!$E884)&gt;0</f>
        <v>1</v>
      </c>
    </row>
    <row r="885" ht="15.75" customHeight="1">
      <c r="A885" s="2" t="s">
        <v>1517</v>
      </c>
      <c r="B885" s="2" t="s">
        <v>1518</v>
      </c>
      <c r="C885" s="2" t="s">
        <v>24</v>
      </c>
      <c r="D885" s="2" t="s">
        <v>24</v>
      </c>
      <c r="E885" s="2" t="s">
        <v>843</v>
      </c>
      <c r="F885" s="2" t="s">
        <v>24</v>
      </c>
      <c r="G885" s="2" t="s">
        <v>24</v>
      </c>
      <c r="H885" s="2" t="s">
        <v>1519</v>
      </c>
      <c r="I885" s="2" t="s">
        <v>1517</v>
      </c>
      <c r="J885" s="2" t="s">
        <v>26</v>
      </c>
      <c r="K885" s="2" t="s">
        <v>1520</v>
      </c>
      <c r="L885" s="3">
        <v>46088.0</v>
      </c>
      <c r="M885" s="2">
        <v>30.99</v>
      </c>
      <c r="N885" s="2">
        <v>30.99</v>
      </c>
      <c r="O885" s="2">
        <v>24.0</v>
      </c>
      <c r="P885" s="2">
        <v>16.0</v>
      </c>
      <c r="Q885" s="2" t="s">
        <v>1521</v>
      </c>
      <c r="R885" s="2" t="s">
        <v>24</v>
      </c>
      <c r="S885" s="2" t="b">
        <f>COUNTIF('Marcas Target'!A:A,dados!$E885)&gt;0</f>
        <v>1</v>
      </c>
    </row>
    <row r="886" ht="15.75" customHeight="1">
      <c r="A886" s="2" t="s">
        <v>1517</v>
      </c>
      <c r="B886" s="2" t="s">
        <v>1518</v>
      </c>
      <c r="C886" s="2" t="s">
        <v>24</v>
      </c>
      <c r="D886" s="2" t="s">
        <v>24</v>
      </c>
      <c r="E886" s="2" t="s">
        <v>843</v>
      </c>
      <c r="F886" s="2" t="s">
        <v>24</v>
      </c>
      <c r="G886" s="2" t="s">
        <v>24</v>
      </c>
      <c r="H886" s="2" t="s">
        <v>1519</v>
      </c>
      <c r="I886" s="2" t="s">
        <v>1517</v>
      </c>
      <c r="J886" s="2" t="s">
        <v>26</v>
      </c>
      <c r="K886" s="2" t="s">
        <v>1520</v>
      </c>
      <c r="L886" s="3">
        <v>46087.0</v>
      </c>
      <c r="M886" s="2">
        <v>30.99</v>
      </c>
      <c r="N886" s="2">
        <v>30.99</v>
      </c>
      <c r="O886" s="2">
        <v>3.0</v>
      </c>
      <c r="P886" s="2">
        <v>2.0</v>
      </c>
      <c r="Q886" s="2" t="s">
        <v>1521</v>
      </c>
      <c r="R886" s="2" t="s">
        <v>24</v>
      </c>
      <c r="S886" s="2" t="b">
        <f>COUNTIF('Marcas Target'!A:A,dados!$E886)&gt;0</f>
        <v>1</v>
      </c>
    </row>
    <row r="887" ht="15.75" customHeight="1">
      <c r="A887" s="2" t="s">
        <v>1522</v>
      </c>
      <c r="B887" s="2" t="s">
        <v>1523</v>
      </c>
      <c r="C887" s="2" t="s">
        <v>24</v>
      </c>
      <c r="D887" s="2" t="s">
        <v>24</v>
      </c>
      <c r="E887" s="2" t="s">
        <v>425</v>
      </c>
      <c r="F887" s="2" t="s">
        <v>24</v>
      </c>
      <c r="G887" s="2" t="s">
        <v>24</v>
      </c>
      <c r="H887" s="2" t="s">
        <v>1524</v>
      </c>
      <c r="I887" s="2" t="s">
        <v>1522</v>
      </c>
      <c r="J887" s="2" t="s">
        <v>26</v>
      </c>
      <c r="K887" s="2" t="s">
        <v>1525</v>
      </c>
      <c r="L887" s="3">
        <v>46089.0</v>
      </c>
      <c r="M887" s="2">
        <v>21.99</v>
      </c>
      <c r="N887" s="2">
        <v>21.99</v>
      </c>
      <c r="O887" s="2">
        <v>22.0</v>
      </c>
      <c r="P887" s="2">
        <v>22.0</v>
      </c>
      <c r="Q887" s="2" t="s">
        <v>1526</v>
      </c>
      <c r="R887" s="2" t="s">
        <v>24</v>
      </c>
      <c r="S887" s="2" t="b">
        <f>COUNTIF('Marcas Target'!A:A,dados!$E887)&gt;0</f>
        <v>0</v>
      </c>
    </row>
    <row r="888" ht="15.75" customHeight="1">
      <c r="A888" s="2" t="s">
        <v>1522</v>
      </c>
      <c r="B888" s="2" t="s">
        <v>1523</v>
      </c>
      <c r="C888" s="2" t="s">
        <v>24</v>
      </c>
      <c r="D888" s="2" t="s">
        <v>24</v>
      </c>
      <c r="E888" s="2" t="s">
        <v>425</v>
      </c>
      <c r="F888" s="2" t="s">
        <v>24</v>
      </c>
      <c r="G888" s="2" t="s">
        <v>24</v>
      </c>
      <c r="H888" s="2" t="s">
        <v>1524</v>
      </c>
      <c r="I888" s="2" t="s">
        <v>1522</v>
      </c>
      <c r="J888" s="2" t="s">
        <v>26</v>
      </c>
      <c r="K888" s="2" t="s">
        <v>1525</v>
      </c>
      <c r="L888" s="3">
        <v>46088.0</v>
      </c>
      <c r="M888" s="2">
        <v>21.99</v>
      </c>
      <c r="N888" s="2">
        <v>21.99</v>
      </c>
      <c r="O888" s="2">
        <v>24.0</v>
      </c>
      <c r="P888" s="2">
        <v>24.0</v>
      </c>
      <c r="Q888" s="2" t="s">
        <v>1526</v>
      </c>
      <c r="R888" s="2" t="s">
        <v>24</v>
      </c>
      <c r="S888" s="2" t="b">
        <f>COUNTIF('Marcas Target'!A:A,dados!$E888)&gt;0</f>
        <v>0</v>
      </c>
    </row>
    <row r="889" ht="15.75" customHeight="1">
      <c r="A889" s="2" t="s">
        <v>1522</v>
      </c>
      <c r="B889" s="2" t="s">
        <v>1523</v>
      </c>
      <c r="C889" s="2" t="s">
        <v>24</v>
      </c>
      <c r="D889" s="2" t="s">
        <v>24</v>
      </c>
      <c r="E889" s="2" t="s">
        <v>425</v>
      </c>
      <c r="F889" s="2" t="s">
        <v>24</v>
      </c>
      <c r="G889" s="2" t="s">
        <v>24</v>
      </c>
      <c r="H889" s="2" t="s">
        <v>1524</v>
      </c>
      <c r="I889" s="2" t="s">
        <v>1522</v>
      </c>
      <c r="J889" s="2" t="s">
        <v>26</v>
      </c>
      <c r="K889" s="2" t="s">
        <v>1525</v>
      </c>
      <c r="L889" s="3">
        <v>46087.0</v>
      </c>
      <c r="M889" s="2">
        <v>21.99</v>
      </c>
      <c r="N889" s="2">
        <v>21.99</v>
      </c>
      <c r="O889" s="2">
        <v>3.0</v>
      </c>
      <c r="P889" s="2">
        <v>2.0</v>
      </c>
      <c r="Q889" s="2" t="s">
        <v>1526</v>
      </c>
      <c r="R889" s="2" t="s">
        <v>24</v>
      </c>
      <c r="S889" s="2" t="b">
        <f>COUNTIF('Marcas Target'!A:A,dados!$E889)&gt;0</f>
        <v>0</v>
      </c>
    </row>
    <row r="890" ht="15.75" customHeight="1">
      <c r="A890" s="2" t="s">
        <v>1527</v>
      </c>
      <c r="B890" s="2" t="s">
        <v>1528</v>
      </c>
      <c r="C890" s="2" t="s">
        <v>24</v>
      </c>
      <c r="D890" s="2" t="s">
        <v>24</v>
      </c>
      <c r="E890" s="2" t="s">
        <v>1163</v>
      </c>
      <c r="F890" s="2" t="s">
        <v>24</v>
      </c>
      <c r="G890" s="2" t="s">
        <v>24</v>
      </c>
      <c r="H890" s="2" t="s">
        <v>1529</v>
      </c>
      <c r="I890" s="2" t="s">
        <v>1527</v>
      </c>
      <c r="J890" s="2" t="s">
        <v>26</v>
      </c>
      <c r="K890" s="2" t="s">
        <v>1530</v>
      </c>
      <c r="L890" s="3">
        <v>46089.0</v>
      </c>
      <c r="M890" s="2">
        <v>21.99</v>
      </c>
      <c r="N890" s="2">
        <v>21.99</v>
      </c>
      <c r="O890" s="2">
        <v>22.0</v>
      </c>
      <c r="P890" s="2">
        <v>22.0</v>
      </c>
      <c r="Q890" s="2" t="s">
        <v>1531</v>
      </c>
      <c r="R890" s="2" t="s">
        <v>24</v>
      </c>
      <c r="S890" s="2" t="b">
        <f>COUNTIF('Marcas Target'!A:A,dados!$E890)&gt;0</f>
        <v>0</v>
      </c>
    </row>
    <row r="891" ht="15.75" customHeight="1">
      <c r="A891" s="2" t="s">
        <v>1527</v>
      </c>
      <c r="B891" s="2" t="s">
        <v>1528</v>
      </c>
      <c r="C891" s="2" t="s">
        <v>24</v>
      </c>
      <c r="D891" s="2" t="s">
        <v>24</v>
      </c>
      <c r="E891" s="2" t="s">
        <v>1163</v>
      </c>
      <c r="F891" s="2" t="s">
        <v>24</v>
      </c>
      <c r="G891" s="2" t="s">
        <v>24</v>
      </c>
      <c r="H891" s="2" t="s">
        <v>1529</v>
      </c>
      <c r="I891" s="2" t="s">
        <v>1527</v>
      </c>
      <c r="J891" s="2" t="s">
        <v>26</v>
      </c>
      <c r="K891" s="2" t="s">
        <v>1530</v>
      </c>
      <c r="L891" s="3">
        <v>46088.0</v>
      </c>
      <c r="M891" s="2">
        <v>21.99</v>
      </c>
      <c r="N891" s="2">
        <v>21.99</v>
      </c>
      <c r="O891" s="2">
        <v>24.0</v>
      </c>
      <c r="P891" s="2">
        <v>24.0</v>
      </c>
      <c r="Q891" s="2" t="s">
        <v>1531</v>
      </c>
      <c r="R891" s="2" t="s">
        <v>24</v>
      </c>
      <c r="S891" s="2" t="b">
        <f>COUNTIF('Marcas Target'!A:A,dados!$E891)&gt;0</f>
        <v>0</v>
      </c>
    </row>
    <row r="892" ht="15.75" customHeight="1">
      <c r="A892" s="2" t="s">
        <v>1527</v>
      </c>
      <c r="B892" s="2" t="s">
        <v>1528</v>
      </c>
      <c r="C892" s="2" t="s">
        <v>24</v>
      </c>
      <c r="D892" s="2" t="s">
        <v>24</v>
      </c>
      <c r="E892" s="2" t="s">
        <v>1163</v>
      </c>
      <c r="F892" s="2" t="s">
        <v>24</v>
      </c>
      <c r="G892" s="2" t="s">
        <v>24</v>
      </c>
      <c r="H892" s="2" t="s">
        <v>1529</v>
      </c>
      <c r="I892" s="2" t="s">
        <v>1527</v>
      </c>
      <c r="J892" s="2" t="s">
        <v>26</v>
      </c>
      <c r="K892" s="2" t="s">
        <v>1530</v>
      </c>
      <c r="L892" s="3">
        <v>46087.0</v>
      </c>
      <c r="M892" s="2">
        <v>21.99</v>
      </c>
      <c r="N892" s="2">
        <v>21.99</v>
      </c>
      <c r="O892" s="2">
        <v>3.0</v>
      </c>
      <c r="P892" s="2">
        <v>2.0</v>
      </c>
      <c r="Q892" s="2" t="s">
        <v>1531</v>
      </c>
      <c r="R892" s="2" t="s">
        <v>24</v>
      </c>
      <c r="S892" s="2" t="b">
        <f>COUNTIF('Marcas Target'!A:A,dados!$E892)&gt;0</f>
        <v>0</v>
      </c>
    </row>
    <row r="893" ht="15.75" customHeight="1">
      <c r="A893" s="2" t="s">
        <v>1532</v>
      </c>
      <c r="B893" s="2" t="s">
        <v>1533</v>
      </c>
      <c r="C893" s="2" t="s">
        <v>24</v>
      </c>
      <c r="D893" s="2" t="s">
        <v>24</v>
      </c>
      <c r="E893" s="2" t="s">
        <v>425</v>
      </c>
      <c r="F893" s="2" t="s">
        <v>24</v>
      </c>
      <c r="G893" s="2" t="s">
        <v>24</v>
      </c>
      <c r="H893" s="2" t="s">
        <v>1534</v>
      </c>
      <c r="I893" s="2" t="s">
        <v>1532</v>
      </c>
      <c r="J893" s="2" t="s">
        <v>26</v>
      </c>
      <c r="K893" s="2" t="s">
        <v>1535</v>
      </c>
      <c r="L893" s="3">
        <v>46089.0</v>
      </c>
      <c r="M893" s="2">
        <v>21.99</v>
      </c>
      <c r="N893" s="2">
        <v>21.99</v>
      </c>
      <c r="O893" s="2">
        <v>22.0</v>
      </c>
      <c r="P893" s="2">
        <v>22.0</v>
      </c>
      <c r="Q893" s="2" t="s">
        <v>1536</v>
      </c>
      <c r="R893" s="2" t="s">
        <v>24</v>
      </c>
      <c r="S893" s="2" t="b">
        <f>COUNTIF('Marcas Target'!A:A,dados!$E893)&gt;0</f>
        <v>0</v>
      </c>
    </row>
    <row r="894" ht="15.75" customHeight="1">
      <c r="A894" s="2" t="s">
        <v>1532</v>
      </c>
      <c r="B894" s="2" t="s">
        <v>1533</v>
      </c>
      <c r="C894" s="2" t="s">
        <v>24</v>
      </c>
      <c r="D894" s="2" t="s">
        <v>24</v>
      </c>
      <c r="E894" s="2" t="s">
        <v>425</v>
      </c>
      <c r="F894" s="2" t="s">
        <v>24</v>
      </c>
      <c r="G894" s="2" t="s">
        <v>24</v>
      </c>
      <c r="H894" s="2" t="s">
        <v>1534</v>
      </c>
      <c r="I894" s="2" t="s">
        <v>1532</v>
      </c>
      <c r="J894" s="2" t="s">
        <v>26</v>
      </c>
      <c r="K894" s="2" t="s">
        <v>1535</v>
      </c>
      <c r="L894" s="3">
        <v>46088.0</v>
      </c>
      <c r="M894" s="2">
        <v>21.99</v>
      </c>
      <c r="N894" s="2">
        <v>21.99</v>
      </c>
      <c r="O894" s="2">
        <v>24.0</v>
      </c>
      <c r="P894" s="2">
        <v>14.0</v>
      </c>
      <c r="Q894" s="2" t="s">
        <v>1536</v>
      </c>
      <c r="R894" s="2" t="s">
        <v>24</v>
      </c>
      <c r="S894" s="2" t="b">
        <f>COUNTIF('Marcas Target'!A:A,dados!$E894)&gt;0</f>
        <v>0</v>
      </c>
    </row>
    <row r="895" ht="15.75" customHeight="1">
      <c r="A895" s="2" t="s">
        <v>1532</v>
      </c>
      <c r="B895" s="2" t="s">
        <v>1533</v>
      </c>
      <c r="C895" s="2" t="s">
        <v>24</v>
      </c>
      <c r="D895" s="2" t="s">
        <v>24</v>
      </c>
      <c r="E895" s="2" t="s">
        <v>425</v>
      </c>
      <c r="F895" s="2" t="s">
        <v>24</v>
      </c>
      <c r="G895" s="2" t="s">
        <v>24</v>
      </c>
      <c r="H895" s="2" t="s">
        <v>1534</v>
      </c>
      <c r="I895" s="2" t="s">
        <v>1532</v>
      </c>
      <c r="J895" s="2" t="s">
        <v>26</v>
      </c>
      <c r="K895" s="2" t="s">
        <v>1535</v>
      </c>
      <c r="L895" s="3">
        <v>46087.0</v>
      </c>
      <c r="M895" s="2">
        <v>21.99</v>
      </c>
      <c r="N895" s="2">
        <v>21.99</v>
      </c>
      <c r="O895" s="2">
        <v>3.0</v>
      </c>
      <c r="P895" s="2">
        <v>2.0</v>
      </c>
      <c r="Q895" s="2" t="s">
        <v>1536</v>
      </c>
      <c r="R895" s="2" t="s">
        <v>24</v>
      </c>
      <c r="S895" s="2" t="b">
        <f>COUNTIF('Marcas Target'!A:A,dados!$E895)&gt;0</f>
        <v>0</v>
      </c>
    </row>
    <row r="896" ht="15.75" customHeight="1">
      <c r="A896" s="2" t="s">
        <v>1537</v>
      </c>
      <c r="B896" s="2" t="s">
        <v>1538</v>
      </c>
      <c r="C896" s="2" t="s">
        <v>24</v>
      </c>
      <c r="D896" s="2" t="s">
        <v>24</v>
      </c>
      <c r="E896" s="2" t="s">
        <v>227</v>
      </c>
      <c r="F896" s="2" t="s">
        <v>24</v>
      </c>
      <c r="G896" s="2" t="s">
        <v>24</v>
      </c>
      <c r="H896" s="2" t="s">
        <v>1539</v>
      </c>
      <c r="I896" s="2" t="s">
        <v>1537</v>
      </c>
      <c r="J896" s="2" t="s">
        <v>26</v>
      </c>
      <c r="K896" s="2" t="s">
        <v>1540</v>
      </c>
      <c r="L896" s="3">
        <v>46089.0</v>
      </c>
      <c r="M896" s="2">
        <v>26.99</v>
      </c>
      <c r="N896" s="2">
        <v>26.99</v>
      </c>
      <c r="O896" s="2">
        <v>22.0</v>
      </c>
      <c r="P896" s="2">
        <v>22.0</v>
      </c>
      <c r="Q896" s="2" t="s">
        <v>1541</v>
      </c>
      <c r="R896" s="2" t="s">
        <v>24</v>
      </c>
      <c r="S896" s="2" t="b">
        <f>COUNTIF('Marcas Target'!A:A,dados!$E896)&gt;0</f>
        <v>0</v>
      </c>
    </row>
    <row r="897" ht="15.75" customHeight="1">
      <c r="A897" s="2" t="s">
        <v>1537</v>
      </c>
      <c r="B897" s="2" t="s">
        <v>1538</v>
      </c>
      <c r="C897" s="2" t="s">
        <v>24</v>
      </c>
      <c r="D897" s="2" t="s">
        <v>24</v>
      </c>
      <c r="E897" s="2" t="s">
        <v>227</v>
      </c>
      <c r="F897" s="2" t="s">
        <v>24</v>
      </c>
      <c r="G897" s="2" t="s">
        <v>24</v>
      </c>
      <c r="H897" s="2" t="s">
        <v>1539</v>
      </c>
      <c r="I897" s="2" t="s">
        <v>1537</v>
      </c>
      <c r="J897" s="2" t="s">
        <v>26</v>
      </c>
      <c r="K897" s="2" t="s">
        <v>1540</v>
      </c>
      <c r="L897" s="3">
        <v>46088.0</v>
      </c>
      <c r="M897" s="2">
        <v>26.99</v>
      </c>
      <c r="N897" s="2">
        <v>26.99</v>
      </c>
      <c r="O897" s="2">
        <v>24.0</v>
      </c>
      <c r="P897" s="2">
        <v>23.0</v>
      </c>
      <c r="Q897" s="2" t="s">
        <v>1541</v>
      </c>
      <c r="R897" s="2" t="s">
        <v>24</v>
      </c>
      <c r="S897" s="2" t="b">
        <f>COUNTIF('Marcas Target'!A:A,dados!$E897)&gt;0</f>
        <v>0</v>
      </c>
    </row>
    <row r="898" ht="15.75" customHeight="1">
      <c r="A898" s="2" t="s">
        <v>1537</v>
      </c>
      <c r="B898" s="2" t="s">
        <v>1538</v>
      </c>
      <c r="C898" s="2" t="s">
        <v>24</v>
      </c>
      <c r="D898" s="2" t="s">
        <v>24</v>
      </c>
      <c r="E898" s="2" t="s">
        <v>227</v>
      </c>
      <c r="F898" s="2" t="s">
        <v>24</v>
      </c>
      <c r="G898" s="2" t="s">
        <v>24</v>
      </c>
      <c r="H898" s="2" t="s">
        <v>1539</v>
      </c>
      <c r="I898" s="2" t="s">
        <v>1537</v>
      </c>
      <c r="J898" s="2" t="s">
        <v>26</v>
      </c>
      <c r="K898" s="2" t="s">
        <v>1540</v>
      </c>
      <c r="L898" s="3">
        <v>46087.0</v>
      </c>
      <c r="M898" s="2">
        <v>26.99</v>
      </c>
      <c r="N898" s="2">
        <v>26.99</v>
      </c>
      <c r="O898" s="2">
        <v>3.0</v>
      </c>
      <c r="P898" s="2">
        <v>2.0</v>
      </c>
      <c r="Q898" s="2" t="s">
        <v>1541</v>
      </c>
      <c r="R898" s="2" t="s">
        <v>24</v>
      </c>
      <c r="S898" s="2" t="b">
        <f>COUNTIF('Marcas Target'!A:A,dados!$E898)&gt;0</f>
        <v>0</v>
      </c>
    </row>
    <row r="899" ht="15.75" customHeight="1">
      <c r="A899" s="2" t="s">
        <v>1542</v>
      </c>
      <c r="B899" s="2" t="s">
        <v>1543</v>
      </c>
      <c r="C899" s="2" t="s">
        <v>24</v>
      </c>
      <c r="D899" s="2" t="s">
        <v>24</v>
      </c>
      <c r="E899" s="2" t="s">
        <v>23</v>
      </c>
      <c r="F899" s="2" t="s">
        <v>24</v>
      </c>
      <c r="G899" s="2" t="s">
        <v>24</v>
      </c>
      <c r="H899" s="2" t="s">
        <v>1544</v>
      </c>
      <c r="I899" s="2" t="s">
        <v>1542</v>
      </c>
      <c r="J899" s="2" t="s">
        <v>26</v>
      </c>
      <c r="K899" s="2" t="s">
        <v>1545</v>
      </c>
      <c r="L899" s="3">
        <v>46089.0</v>
      </c>
      <c r="M899" s="2">
        <v>26.99</v>
      </c>
      <c r="N899" s="2">
        <v>26.99</v>
      </c>
      <c r="O899" s="2">
        <v>22.0</v>
      </c>
      <c r="P899" s="2">
        <v>22.0</v>
      </c>
      <c r="Q899" s="2" t="s">
        <v>1546</v>
      </c>
      <c r="R899" s="2" t="s">
        <v>24</v>
      </c>
      <c r="S899" s="2" t="b">
        <f>COUNTIF('Marcas Target'!A:A,dados!$E899)&gt;0</f>
        <v>0</v>
      </c>
    </row>
    <row r="900" ht="15.75" customHeight="1">
      <c r="A900" s="2" t="s">
        <v>1542</v>
      </c>
      <c r="B900" s="2" t="s">
        <v>1543</v>
      </c>
      <c r="C900" s="2" t="s">
        <v>24</v>
      </c>
      <c r="D900" s="2" t="s">
        <v>24</v>
      </c>
      <c r="E900" s="2" t="s">
        <v>23</v>
      </c>
      <c r="F900" s="2" t="s">
        <v>24</v>
      </c>
      <c r="G900" s="2" t="s">
        <v>24</v>
      </c>
      <c r="H900" s="2" t="s">
        <v>1544</v>
      </c>
      <c r="I900" s="2" t="s">
        <v>1542</v>
      </c>
      <c r="J900" s="2" t="s">
        <v>26</v>
      </c>
      <c r="K900" s="2" t="s">
        <v>1545</v>
      </c>
      <c r="L900" s="3">
        <v>46088.0</v>
      </c>
      <c r="M900" s="2">
        <v>26.99</v>
      </c>
      <c r="N900" s="2">
        <v>26.99</v>
      </c>
      <c r="O900" s="2">
        <v>24.0</v>
      </c>
      <c r="P900" s="2">
        <v>12.0</v>
      </c>
      <c r="Q900" s="2" t="s">
        <v>1546</v>
      </c>
      <c r="R900" s="2" t="s">
        <v>24</v>
      </c>
      <c r="S900" s="2" t="b">
        <f>COUNTIF('Marcas Target'!A:A,dados!$E900)&gt;0</f>
        <v>0</v>
      </c>
    </row>
    <row r="901" ht="15.75" customHeight="1">
      <c r="A901" s="2" t="s">
        <v>1542</v>
      </c>
      <c r="B901" s="2" t="s">
        <v>1543</v>
      </c>
      <c r="C901" s="2" t="s">
        <v>24</v>
      </c>
      <c r="D901" s="2" t="s">
        <v>24</v>
      </c>
      <c r="E901" s="2" t="s">
        <v>23</v>
      </c>
      <c r="F901" s="2" t="s">
        <v>24</v>
      </c>
      <c r="G901" s="2" t="s">
        <v>24</v>
      </c>
      <c r="H901" s="2" t="s">
        <v>1544</v>
      </c>
      <c r="I901" s="2" t="s">
        <v>1542</v>
      </c>
      <c r="J901" s="2" t="s">
        <v>26</v>
      </c>
      <c r="K901" s="2" t="s">
        <v>1545</v>
      </c>
      <c r="L901" s="3">
        <v>46087.0</v>
      </c>
      <c r="M901" s="2" t="s">
        <v>24</v>
      </c>
      <c r="N901" s="2" t="s">
        <v>24</v>
      </c>
      <c r="O901" s="2">
        <v>3.0</v>
      </c>
      <c r="P901" s="2">
        <v>0.0</v>
      </c>
      <c r="Q901" s="2" t="s">
        <v>1546</v>
      </c>
      <c r="R901" s="2" t="s">
        <v>24</v>
      </c>
      <c r="S901" s="2" t="b">
        <f>COUNTIF('Marcas Target'!A:A,dados!$E901)&gt;0</f>
        <v>0</v>
      </c>
    </row>
    <row r="902" ht="15.75" customHeight="1">
      <c r="A902" s="2" t="s">
        <v>1547</v>
      </c>
      <c r="B902" s="2" t="s">
        <v>1548</v>
      </c>
      <c r="C902" s="2" t="s">
        <v>24</v>
      </c>
      <c r="D902" s="2" t="s">
        <v>24</v>
      </c>
      <c r="E902" s="2" t="s">
        <v>378</v>
      </c>
      <c r="F902" s="2" t="s">
        <v>24</v>
      </c>
      <c r="G902" s="2" t="s">
        <v>24</v>
      </c>
      <c r="H902" s="2" t="s">
        <v>1549</v>
      </c>
      <c r="I902" s="2" t="s">
        <v>1547</v>
      </c>
      <c r="J902" s="2" t="s">
        <v>26</v>
      </c>
      <c r="K902" s="2" t="s">
        <v>1550</v>
      </c>
      <c r="L902" s="3">
        <v>46089.0</v>
      </c>
      <c r="M902" s="2">
        <v>29.99</v>
      </c>
      <c r="N902" s="2">
        <v>29.99</v>
      </c>
      <c r="O902" s="2">
        <v>22.0</v>
      </c>
      <c r="P902" s="2">
        <v>10.0</v>
      </c>
      <c r="Q902" s="2" t="s">
        <v>1551</v>
      </c>
      <c r="R902" s="2" t="s">
        <v>24</v>
      </c>
      <c r="S902" s="2" t="b">
        <f>COUNTIF('Marcas Target'!A:A,dados!$E902)&gt;0</f>
        <v>0</v>
      </c>
    </row>
    <row r="903" ht="15.75" customHeight="1">
      <c r="A903" s="2" t="s">
        <v>1547</v>
      </c>
      <c r="B903" s="2" t="s">
        <v>1548</v>
      </c>
      <c r="C903" s="2" t="s">
        <v>24</v>
      </c>
      <c r="D903" s="2" t="s">
        <v>24</v>
      </c>
      <c r="E903" s="2" t="s">
        <v>378</v>
      </c>
      <c r="F903" s="2" t="s">
        <v>24</v>
      </c>
      <c r="G903" s="2" t="s">
        <v>24</v>
      </c>
      <c r="H903" s="2" t="s">
        <v>1549</v>
      </c>
      <c r="I903" s="2" t="s">
        <v>1547</v>
      </c>
      <c r="J903" s="2" t="s">
        <v>26</v>
      </c>
      <c r="K903" s="2" t="s">
        <v>1550</v>
      </c>
      <c r="L903" s="3">
        <v>46088.0</v>
      </c>
      <c r="M903" s="2">
        <v>29.99</v>
      </c>
      <c r="N903" s="2">
        <v>29.99</v>
      </c>
      <c r="O903" s="2">
        <v>24.0</v>
      </c>
      <c r="P903" s="2">
        <v>21.0</v>
      </c>
      <c r="Q903" s="2" t="s">
        <v>1551</v>
      </c>
      <c r="R903" s="2" t="s">
        <v>24</v>
      </c>
      <c r="S903" s="2" t="b">
        <f>COUNTIF('Marcas Target'!A:A,dados!$E903)&gt;0</f>
        <v>0</v>
      </c>
    </row>
    <row r="904" ht="15.75" customHeight="1">
      <c r="A904" s="2" t="s">
        <v>1547</v>
      </c>
      <c r="B904" s="2" t="s">
        <v>1548</v>
      </c>
      <c r="C904" s="2" t="s">
        <v>24</v>
      </c>
      <c r="D904" s="2" t="s">
        <v>24</v>
      </c>
      <c r="E904" s="2" t="s">
        <v>378</v>
      </c>
      <c r="F904" s="2" t="s">
        <v>24</v>
      </c>
      <c r="G904" s="2" t="s">
        <v>24</v>
      </c>
      <c r="H904" s="2" t="s">
        <v>1549</v>
      </c>
      <c r="I904" s="2" t="s">
        <v>1547</v>
      </c>
      <c r="J904" s="2" t="s">
        <v>26</v>
      </c>
      <c r="K904" s="2" t="s">
        <v>1550</v>
      </c>
      <c r="L904" s="3">
        <v>46087.0</v>
      </c>
      <c r="M904" s="2">
        <v>29.99</v>
      </c>
      <c r="N904" s="2">
        <v>29.99</v>
      </c>
      <c r="O904" s="2">
        <v>3.0</v>
      </c>
      <c r="P904" s="2">
        <v>1.0</v>
      </c>
      <c r="Q904" s="2" t="s">
        <v>1551</v>
      </c>
      <c r="R904" s="2" t="s">
        <v>24</v>
      </c>
      <c r="S904" s="2" t="b">
        <f>COUNTIF('Marcas Target'!A:A,dados!$E904)&gt;0</f>
        <v>0</v>
      </c>
    </row>
    <row r="905" ht="15.75" customHeight="1">
      <c r="A905" s="2" t="s">
        <v>1552</v>
      </c>
      <c r="B905" s="2" t="s">
        <v>1553</v>
      </c>
      <c r="C905" s="2" t="s">
        <v>24</v>
      </c>
      <c r="D905" s="2" t="s">
        <v>24</v>
      </c>
      <c r="E905" s="2" t="s">
        <v>1554</v>
      </c>
      <c r="F905" s="2" t="s">
        <v>24</v>
      </c>
      <c r="G905" s="2" t="s">
        <v>24</v>
      </c>
      <c r="H905" s="2" t="s">
        <v>1555</v>
      </c>
      <c r="I905" s="2" t="s">
        <v>1552</v>
      </c>
      <c r="J905" s="2" t="s">
        <v>26</v>
      </c>
      <c r="K905" s="2" t="s">
        <v>1556</v>
      </c>
      <c r="L905" s="3">
        <v>46089.0</v>
      </c>
      <c r="M905" s="2">
        <v>33.99</v>
      </c>
      <c r="N905" s="2">
        <v>33.99</v>
      </c>
      <c r="O905" s="2">
        <v>22.0</v>
      </c>
      <c r="P905" s="2">
        <v>21.0</v>
      </c>
      <c r="Q905" s="2" t="s">
        <v>1557</v>
      </c>
      <c r="R905" s="2" t="s">
        <v>24</v>
      </c>
      <c r="S905" s="2" t="b">
        <f>COUNTIF('Marcas Target'!A:A,dados!$E905)&gt;0</f>
        <v>1</v>
      </c>
    </row>
    <row r="906" ht="15.75" customHeight="1">
      <c r="A906" s="2" t="s">
        <v>1552</v>
      </c>
      <c r="B906" s="2" t="s">
        <v>1553</v>
      </c>
      <c r="C906" s="2" t="s">
        <v>24</v>
      </c>
      <c r="D906" s="2" t="s">
        <v>24</v>
      </c>
      <c r="E906" s="2" t="s">
        <v>1554</v>
      </c>
      <c r="F906" s="2" t="s">
        <v>24</v>
      </c>
      <c r="G906" s="2" t="s">
        <v>24</v>
      </c>
      <c r="H906" s="2" t="s">
        <v>1555</v>
      </c>
      <c r="I906" s="2" t="s">
        <v>1552</v>
      </c>
      <c r="J906" s="2" t="s">
        <v>26</v>
      </c>
      <c r="K906" s="2" t="s">
        <v>1556</v>
      </c>
      <c r="L906" s="3">
        <v>46088.0</v>
      </c>
      <c r="M906" s="2">
        <v>33.99</v>
      </c>
      <c r="N906" s="2">
        <v>33.99</v>
      </c>
      <c r="O906" s="2">
        <v>24.0</v>
      </c>
      <c r="P906" s="2">
        <v>24.0</v>
      </c>
      <c r="Q906" s="2" t="s">
        <v>1557</v>
      </c>
      <c r="R906" s="2" t="s">
        <v>24</v>
      </c>
      <c r="S906" s="2" t="b">
        <f>COUNTIF('Marcas Target'!A:A,dados!$E906)&gt;0</f>
        <v>1</v>
      </c>
    </row>
    <row r="907" ht="15.75" customHeight="1">
      <c r="A907" s="2" t="s">
        <v>1552</v>
      </c>
      <c r="B907" s="2" t="s">
        <v>1553</v>
      </c>
      <c r="C907" s="2" t="s">
        <v>24</v>
      </c>
      <c r="D907" s="2" t="s">
        <v>24</v>
      </c>
      <c r="E907" s="2" t="s">
        <v>1554</v>
      </c>
      <c r="F907" s="2" t="s">
        <v>24</v>
      </c>
      <c r="G907" s="2" t="s">
        <v>24</v>
      </c>
      <c r="H907" s="2" t="s">
        <v>1555</v>
      </c>
      <c r="I907" s="2" t="s">
        <v>1552</v>
      </c>
      <c r="J907" s="2" t="s">
        <v>26</v>
      </c>
      <c r="K907" s="2" t="s">
        <v>1556</v>
      </c>
      <c r="L907" s="3">
        <v>46087.0</v>
      </c>
      <c r="M907" s="2">
        <v>33.99</v>
      </c>
      <c r="N907" s="2">
        <v>33.99</v>
      </c>
      <c r="O907" s="2">
        <v>3.0</v>
      </c>
      <c r="P907" s="2">
        <v>2.0</v>
      </c>
      <c r="Q907" s="2" t="s">
        <v>1557</v>
      </c>
      <c r="R907" s="2" t="s">
        <v>24</v>
      </c>
      <c r="S907" s="2" t="b">
        <f>COUNTIF('Marcas Target'!A:A,dados!$E907)&gt;0</f>
        <v>1</v>
      </c>
    </row>
    <row r="908" ht="15.75" customHeight="1">
      <c r="A908" s="2" t="s">
        <v>1558</v>
      </c>
      <c r="B908" s="2" t="s">
        <v>1559</v>
      </c>
      <c r="C908" s="2" t="s">
        <v>24</v>
      </c>
      <c r="D908" s="2" t="s">
        <v>24</v>
      </c>
      <c r="E908" s="2" t="s">
        <v>980</v>
      </c>
      <c r="F908" s="2" t="s">
        <v>24</v>
      </c>
      <c r="G908" s="2" t="s">
        <v>24</v>
      </c>
      <c r="H908" s="2" t="s">
        <v>1560</v>
      </c>
      <c r="I908" s="2" t="s">
        <v>1558</v>
      </c>
      <c r="J908" s="2" t="s">
        <v>26</v>
      </c>
      <c r="K908" s="2" t="s">
        <v>1561</v>
      </c>
      <c r="L908" s="3">
        <v>46089.0</v>
      </c>
      <c r="M908" s="2">
        <v>33.99</v>
      </c>
      <c r="N908" s="2">
        <v>33.99</v>
      </c>
      <c r="O908" s="2">
        <v>23.0</v>
      </c>
      <c r="P908" s="2">
        <v>7.0</v>
      </c>
      <c r="Q908" s="2" t="s">
        <v>1562</v>
      </c>
      <c r="R908" s="2" t="s">
        <v>24</v>
      </c>
      <c r="S908" s="2" t="b">
        <f>COUNTIF('Marcas Target'!A:A,dados!$E908)&gt;0</f>
        <v>1</v>
      </c>
    </row>
    <row r="909" ht="15.75" customHeight="1">
      <c r="A909" s="2" t="s">
        <v>1558</v>
      </c>
      <c r="B909" s="2" t="s">
        <v>1559</v>
      </c>
      <c r="C909" s="2" t="s">
        <v>24</v>
      </c>
      <c r="D909" s="2" t="s">
        <v>24</v>
      </c>
      <c r="E909" s="2" t="s">
        <v>980</v>
      </c>
      <c r="F909" s="2" t="s">
        <v>24</v>
      </c>
      <c r="G909" s="2" t="s">
        <v>24</v>
      </c>
      <c r="H909" s="2" t="s">
        <v>1560</v>
      </c>
      <c r="I909" s="2" t="s">
        <v>1558</v>
      </c>
      <c r="J909" s="2" t="s">
        <v>26</v>
      </c>
      <c r="K909" s="2" t="s">
        <v>1561</v>
      </c>
      <c r="L909" s="3">
        <v>46088.0</v>
      </c>
      <c r="M909" s="2">
        <v>33.99</v>
      </c>
      <c r="N909" s="2">
        <v>33.99</v>
      </c>
      <c r="O909" s="2">
        <v>23.0</v>
      </c>
      <c r="P909" s="2">
        <v>9.0</v>
      </c>
      <c r="Q909" s="2" t="s">
        <v>1562</v>
      </c>
      <c r="R909" s="2" t="s">
        <v>24</v>
      </c>
      <c r="S909" s="2" t="b">
        <f>COUNTIF('Marcas Target'!A:A,dados!$E909)&gt;0</f>
        <v>1</v>
      </c>
    </row>
    <row r="910" ht="15.75" customHeight="1">
      <c r="A910" s="2" t="s">
        <v>1558</v>
      </c>
      <c r="B910" s="2" t="s">
        <v>1559</v>
      </c>
      <c r="C910" s="2" t="s">
        <v>24</v>
      </c>
      <c r="D910" s="2" t="s">
        <v>24</v>
      </c>
      <c r="E910" s="2" t="s">
        <v>980</v>
      </c>
      <c r="F910" s="2" t="s">
        <v>24</v>
      </c>
      <c r="G910" s="2" t="s">
        <v>24</v>
      </c>
      <c r="H910" s="2" t="s">
        <v>1560</v>
      </c>
      <c r="I910" s="2" t="s">
        <v>1558</v>
      </c>
      <c r="J910" s="2" t="s">
        <v>26</v>
      </c>
      <c r="K910" s="2" t="s">
        <v>1561</v>
      </c>
      <c r="L910" s="3">
        <v>46087.0</v>
      </c>
      <c r="M910" s="2">
        <v>33.99</v>
      </c>
      <c r="N910" s="2">
        <v>33.99</v>
      </c>
      <c r="O910" s="2">
        <v>3.0</v>
      </c>
      <c r="P910" s="2">
        <v>1.0</v>
      </c>
      <c r="Q910" s="2" t="s">
        <v>1562</v>
      </c>
      <c r="R910" s="2" t="s">
        <v>24</v>
      </c>
      <c r="S910" s="2" t="b">
        <f>COUNTIF('Marcas Target'!A:A,dados!$E910)&gt;0</f>
        <v>1</v>
      </c>
    </row>
    <row r="911" ht="15.75" customHeight="1">
      <c r="A911" s="2" t="s">
        <v>1563</v>
      </c>
      <c r="B911" s="2" t="s">
        <v>1564</v>
      </c>
      <c r="C911" s="2" t="s">
        <v>24</v>
      </c>
      <c r="D911" s="2" t="s">
        <v>24</v>
      </c>
      <c r="E911" s="2" t="s">
        <v>145</v>
      </c>
      <c r="F911" s="2" t="s">
        <v>24</v>
      </c>
      <c r="G911" s="2" t="s">
        <v>24</v>
      </c>
      <c r="H911" s="2" t="s">
        <v>1565</v>
      </c>
      <c r="I911" s="2" t="s">
        <v>1563</v>
      </c>
      <c r="J911" s="2" t="s">
        <v>26</v>
      </c>
      <c r="K911" s="2" t="s">
        <v>1566</v>
      </c>
      <c r="L911" s="3">
        <v>46089.0</v>
      </c>
      <c r="M911" s="2">
        <v>33.99</v>
      </c>
      <c r="N911" s="2">
        <v>33.99</v>
      </c>
      <c r="O911" s="2">
        <v>22.0</v>
      </c>
      <c r="P911" s="2">
        <v>22.0</v>
      </c>
      <c r="Q911" s="2" t="s">
        <v>1567</v>
      </c>
      <c r="R911" s="2" t="s">
        <v>24</v>
      </c>
      <c r="S911" s="2" t="b">
        <f>COUNTIF('Marcas Target'!A:A,dados!$E911)&gt;0</f>
        <v>1</v>
      </c>
    </row>
    <row r="912" ht="15.75" customHeight="1">
      <c r="A912" s="2" t="s">
        <v>1563</v>
      </c>
      <c r="B912" s="2" t="s">
        <v>1564</v>
      </c>
      <c r="C912" s="2" t="s">
        <v>24</v>
      </c>
      <c r="D912" s="2" t="s">
        <v>24</v>
      </c>
      <c r="E912" s="2" t="s">
        <v>145</v>
      </c>
      <c r="F912" s="2" t="s">
        <v>24</v>
      </c>
      <c r="G912" s="2" t="s">
        <v>24</v>
      </c>
      <c r="H912" s="2" t="s">
        <v>1565</v>
      </c>
      <c r="I912" s="2" t="s">
        <v>1563</v>
      </c>
      <c r="J912" s="2" t="s">
        <v>26</v>
      </c>
      <c r="K912" s="2" t="s">
        <v>1566</v>
      </c>
      <c r="L912" s="3">
        <v>46088.0</v>
      </c>
      <c r="M912" s="2">
        <v>33.99</v>
      </c>
      <c r="N912" s="2">
        <v>33.99</v>
      </c>
      <c r="O912" s="2">
        <v>24.0</v>
      </c>
      <c r="P912" s="2">
        <v>24.0</v>
      </c>
      <c r="Q912" s="2" t="s">
        <v>1567</v>
      </c>
      <c r="R912" s="2" t="s">
        <v>24</v>
      </c>
      <c r="S912" s="2" t="b">
        <f>COUNTIF('Marcas Target'!A:A,dados!$E912)&gt;0</f>
        <v>1</v>
      </c>
    </row>
    <row r="913" ht="15.75" customHeight="1">
      <c r="A913" s="2" t="s">
        <v>1563</v>
      </c>
      <c r="B913" s="2" t="s">
        <v>1564</v>
      </c>
      <c r="C913" s="2" t="s">
        <v>24</v>
      </c>
      <c r="D913" s="2" t="s">
        <v>24</v>
      </c>
      <c r="E913" s="2" t="s">
        <v>145</v>
      </c>
      <c r="F913" s="2" t="s">
        <v>24</v>
      </c>
      <c r="G913" s="2" t="s">
        <v>24</v>
      </c>
      <c r="H913" s="2" t="s">
        <v>1565</v>
      </c>
      <c r="I913" s="2" t="s">
        <v>1563</v>
      </c>
      <c r="J913" s="2" t="s">
        <v>26</v>
      </c>
      <c r="K913" s="2" t="s">
        <v>1566</v>
      </c>
      <c r="L913" s="3">
        <v>46087.0</v>
      </c>
      <c r="M913" s="2">
        <v>33.99</v>
      </c>
      <c r="N913" s="2">
        <v>33.99</v>
      </c>
      <c r="O913" s="2">
        <v>3.0</v>
      </c>
      <c r="P913" s="2">
        <v>2.0</v>
      </c>
      <c r="Q913" s="2" t="s">
        <v>1567</v>
      </c>
      <c r="R913" s="2" t="s">
        <v>24</v>
      </c>
      <c r="S913" s="2" t="b">
        <f>COUNTIF('Marcas Target'!A:A,dados!$E913)&gt;0</f>
        <v>1</v>
      </c>
    </row>
    <row r="914" ht="15.75" customHeight="1">
      <c r="A914" s="2" t="s">
        <v>1568</v>
      </c>
      <c r="B914" s="2" t="s">
        <v>1569</v>
      </c>
      <c r="C914" s="2" t="s">
        <v>24</v>
      </c>
      <c r="D914" s="2" t="s">
        <v>24</v>
      </c>
      <c r="E914" s="2" t="s">
        <v>1570</v>
      </c>
      <c r="F914" s="2" t="s">
        <v>24</v>
      </c>
      <c r="G914" s="2" t="s">
        <v>24</v>
      </c>
      <c r="H914" s="2" t="s">
        <v>1571</v>
      </c>
      <c r="I914" s="2" t="s">
        <v>1568</v>
      </c>
      <c r="J914" s="2" t="s">
        <v>26</v>
      </c>
      <c r="K914" s="2" t="s">
        <v>1572</v>
      </c>
      <c r="L914" s="3">
        <v>46089.0</v>
      </c>
      <c r="M914" s="2">
        <v>38.99</v>
      </c>
      <c r="N914" s="2">
        <v>38.99</v>
      </c>
      <c r="O914" s="2">
        <v>23.0</v>
      </c>
      <c r="P914" s="2">
        <v>23.0</v>
      </c>
      <c r="Q914" s="2" t="s">
        <v>1573</v>
      </c>
      <c r="R914" s="2" t="s">
        <v>24</v>
      </c>
      <c r="S914" s="2" t="b">
        <f>COUNTIF('Marcas Target'!A:A,dados!$E914)&gt;0</f>
        <v>1</v>
      </c>
    </row>
    <row r="915" ht="15.75" customHeight="1">
      <c r="A915" s="2" t="s">
        <v>1568</v>
      </c>
      <c r="B915" s="2" t="s">
        <v>1569</v>
      </c>
      <c r="C915" s="2" t="s">
        <v>24</v>
      </c>
      <c r="D915" s="2" t="s">
        <v>24</v>
      </c>
      <c r="E915" s="2" t="s">
        <v>1570</v>
      </c>
      <c r="F915" s="2" t="s">
        <v>24</v>
      </c>
      <c r="G915" s="2" t="s">
        <v>24</v>
      </c>
      <c r="H915" s="2" t="s">
        <v>1571</v>
      </c>
      <c r="I915" s="2" t="s">
        <v>1568</v>
      </c>
      <c r="J915" s="2" t="s">
        <v>26</v>
      </c>
      <c r="K915" s="2" t="s">
        <v>1572</v>
      </c>
      <c r="L915" s="3">
        <v>46088.0</v>
      </c>
      <c r="M915" s="2">
        <v>38.99</v>
      </c>
      <c r="N915" s="2">
        <v>38.99</v>
      </c>
      <c r="O915" s="2">
        <v>23.0</v>
      </c>
      <c r="P915" s="2">
        <v>23.0</v>
      </c>
      <c r="Q915" s="2" t="s">
        <v>1573</v>
      </c>
      <c r="R915" s="2" t="s">
        <v>24</v>
      </c>
      <c r="S915" s="2" t="b">
        <f>COUNTIF('Marcas Target'!A:A,dados!$E915)&gt;0</f>
        <v>1</v>
      </c>
    </row>
    <row r="916" ht="15.75" customHeight="1">
      <c r="A916" s="2" t="s">
        <v>1568</v>
      </c>
      <c r="B916" s="2" t="s">
        <v>1569</v>
      </c>
      <c r="C916" s="2" t="s">
        <v>24</v>
      </c>
      <c r="D916" s="2" t="s">
        <v>24</v>
      </c>
      <c r="E916" s="2" t="s">
        <v>1570</v>
      </c>
      <c r="F916" s="2" t="s">
        <v>24</v>
      </c>
      <c r="G916" s="2" t="s">
        <v>24</v>
      </c>
      <c r="H916" s="2" t="s">
        <v>1571</v>
      </c>
      <c r="I916" s="2" t="s">
        <v>1568</v>
      </c>
      <c r="J916" s="2" t="s">
        <v>26</v>
      </c>
      <c r="K916" s="2" t="s">
        <v>1572</v>
      </c>
      <c r="L916" s="3">
        <v>46087.0</v>
      </c>
      <c r="M916" s="2">
        <v>38.99</v>
      </c>
      <c r="N916" s="2">
        <v>38.99</v>
      </c>
      <c r="O916" s="2">
        <v>3.0</v>
      </c>
      <c r="P916" s="2">
        <v>3.0</v>
      </c>
      <c r="Q916" s="2" t="s">
        <v>1573</v>
      </c>
      <c r="R916" s="2" t="s">
        <v>24</v>
      </c>
      <c r="S916" s="2" t="b">
        <f>COUNTIF('Marcas Target'!A:A,dados!$E916)&gt;0</f>
        <v>1</v>
      </c>
    </row>
    <row r="917" ht="15.75" customHeight="1">
      <c r="A917" s="2" t="s">
        <v>1574</v>
      </c>
      <c r="B917" s="2" t="s">
        <v>1575</v>
      </c>
      <c r="C917" s="2" t="s">
        <v>24</v>
      </c>
      <c r="D917" s="2" t="s">
        <v>24</v>
      </c>
      <c r="E917" s="2" t="s">
        <v>666</v>
      </c>
      <c r="F917" s="2" t="s">
        <v>24</v>
      </c>
      <c r="G917" s="2" t="s">
        <v>24</v>
      </c>
      <c r="H917" s="2" t="s">
        <v>1576</v>
      </c>
      <c r="I917" s="2" t="s">
        <v>1574</v>
      </c>
      <c r="J917" s="2" t="s">
        <v>26</v>
      </c>
      <c r="K917" s="2" t="s">
        <v>1577</v>
      </c>
      <c r="L917" s="3">
        <v>46089.0</v>
      </c>
      <c r="M917" s="2">
        <v>46.99</v>
      </c>
      <c r="N917" s="2">
        <v>46.99</v>
      </c>
      <c r="O917" s="2">
        <v>22.0</v>
      </c>
      <c r="P917" s="2">
        <v>17.0</v>
      </c>
      <c r="Q917" s="2" t="s">
        <v>1578</v>
      </c>
      <c r="R917" s="2" t="s">
        <v>24</v>
      </c>
      <c r="S917" s="2" t="b">
        <f>COUNTIF('Marcas Target'!A:A,dados!$E917)&gt;0</f>
        <v>1</v>
      </c>
    </row>
    <row r="918" ht="15.75" customHeight="1">
      <c r="A918" s="2" t="s">
        <v>1574</v>
      </c>
      <c r="B918" s="2" t="s">
        <v>1575</v>
      </c>
      <c r="C918" s="2" t="s">
        <v>24</v>
      </c>
      <c r="D918" s="2" t="s">
        <v>24</v>
      </c>
      <c r="E918" s="2" t="s">
        <v>666</v>
      </c>
      <c r="F918" s="2" t="s">
        <v>24</v>
      </c>
      <c r="G918" s="2" t="s">
        <v>24</v>
      </c>
      <c r="H918" s="2" t="s">
        <v>1576</v>
      </c>
      <c r="I918" s="2" t="s">
        <v>1574</v>
      </c>
      <c r="J918" s="2" t="s">
        <v>26</v>
      </c>
      <c r="K918" s="2" t="s">
        <v>1577</v>
      </c>
      <c r="L918" s="3">
        <v>46088.0</v>
      </c>
      <c r="M918" s="2">
        <v>46.99</v>
      </c>
      <c r="N918" s="2">
        <v>46.99</v>
      </c>
      <c r="O918" s="2">
        <v>24.0</v>
      </c>
      <c r="P918" s="2">
        <v>11.0</v>
      </c>
      <c r="Q918" s="2" t="s">
        <v>1578</v>
      </c>
      <c r="R918" s="2" t="s">
        <v>24</v>
      </c>
      <c r="S918" s="2" t="b">
        <f>COUNTIF('Marcas Target'!A:A,dados!$E918)&gt;0</f>
        <v>1</v>
      </c>
    </row>
    <row r="919" ht="15.75" customHeight="1">
      <c r="A919" s="2" t="s">
        <v>1574</v>
      </c>
      <c r="B919" s="2" t="s">
        <v>1575</v>
      </c>
      <c r="C919" s="2" t="s">
        <v>24</v>
      </c>
      <c r="D919" s="2" t="s">
        <v>24</v>
      </c>
      <c r="E919" s="2" t="s">
        <v>666</v>
      </c>
      <c r="F919" s="2" t="s">
        <v>24</v>
      </c>
      <c r="G919" s="2" t="s">
        <v>24</v>
      </c>
      <c r="H919" s="2" t="s">
        <v>1576</v>
      </c>
      <c r="I919" s="2" t="s">
        <v>1574</v>
      </c>
      <c r="J919" s="2" t="s">
        <v>26</v>
      </c>
      <c r="K919" s="2" t="s">
        <v>1577</v>
      </c>
      <c r="L919" s="3">
        <v>46087.0</v>
      </c>
      <c r="M919" s="2">
        <v>46.99</v>
      </c>
      <c r="N919" s="2">
        <v>46.99</v>
      </c>
      <c r="O919" s="2">
        <v>3.0</v>
      </c>
      <c r="P919" s="2">
        <v>3.0</v>
      </c>
      <c r="Q919" s="2" t="s">
        <v>1578</v>
      </c>
      <c r="R919" s="2" t="s">
        <v>24</v>
      </c>
      <c r="S919" s="2" t="b">
        <f>COUNTIF('Marcas Target'!A:A,dados!$E919)&gt;0</f>
        <v>1</v>
      </c>
    </row>
    <row r="920" ht="15.75" customHeight="1">
      <c r="A920" s="2" t="s">
        <v>1579</v>
      </c>
      <c r="B920" s="2" t="s">
        <v>1580</v>
      </c>
      <c r="C920" s="2" t="s">
        <v>24</v>
      </c>
      <c r="D920" s="2" t="s">
        <v>24</v>
      </c>
      <c r="E920" s="2" t="s">
        <v>145</v>
      </c>
      <c r="F920" s="2" t="s">
        <v>24</v>
      </c>
      <c r="G920" s="2" t="s">
        <v>24</v>
      </c>
      <c r="H920" s="2" t="s">
        <v>1581</v>
      </c>
      <c r="I920" s="2" t="s">
        <v>1579</v>
      </c>
      <c r="J920" s="2" t="s">
        <v>26</v>
      </c>
      <c r="K920" s="2" t="s">
        <v>1582</v>
      </c>
      <c r="L920" s="3">
        <v>46089.0</v>
      </c>
      <c r="M920" s="2">
        <v>46.99</v>
      </c>
      <c r="N920" s="2">
        <v>46.99</v>
      </c>
      <c r="O920" s="2">
        <v>22.0</v>
      </c>
      <c r="P920" s="2">
        <v>22.0</v>
      </c>
      <c r="Q920" s="2" t="s">
        <v>1583</v>
      </c>
      <c r="R920" s="2" t="s">
        <v>24</v>
      </c>
      <c r="S920" s="2" t="b">
        <f>COUNTIF('Marcas Target'!A:A,dados!$E920)&gt;0</f>
        <v>1</v>
      </c>
    </row>
    <row r="921" ht="15.75" customHeight="1">
      <c r="A921" s="2" t="s">
        <v>1579</v>
      </c>
      <c r="B921" s="2" t="s">
        <v>1580</v>
      </c>
      <c r="C921" s="2" t="s">
        <v>24</v>
      </c>
      <c r="D921" s="2" t="s">
        <v>24</v>
      </c>
      <c r="E921" s="2" t="s">
        <v>145</v>
      </c>
      <c r="F921" s="2" t="s">
        <v>24</v>
      </c>
      <c r="G921" s="2" t="s">
        <v>24</v>
      </c>
      <c r="H921" s="2" t="s">
        <v>1581</v>
      </c>
      <c r="I921" s="2" t="s">
        <v>1579</v>
      </c>
      <c r="J921" s="2" t="s">
        <v>26</v>
      </c>
      <c r="K921" s="2" t="s">
        <v>1582</v>
      </c>
      <c r="L921" s="3">
        <v>46088.0</v>
      </c>
      <c r="M921" s="2">
        <v>46.99</v>
      </c>
      <c r="N921" s="2">
        <v>46.99</v>
      </c>
      <c r="O921" s="2">
        <v>24.0</v>
      </c>
      <c r="P921" s="2">
        <v>24.0</v>
      </c>
      <c r="Q921" s="2" t="s">
        <v>1583</v>
      </c>
      <c r="R921" s="2" t="s">
        <v>24</v>
      </c>
      <c r="S921" s="2" t="b">
        <f>COUNTIF('Marcas Target'!A:A,dados!$E921)&gt;0</f>
        <v>1</v>
      </c>
    </row>
    <row r="922" ht="15.75" customHeight="1">
      <c r="A922" s="2" t="s">
        <v>1579</v>
      </c>
      <c r="B922" s="2" t="s">
        <v>1580</v>
      </c>
      <c r="C922" s="2" t="s">
        <v>24</v>
      </c>
      <c r="D922" s="2" t="s">
        <v>24</v>
      </c>
      <c r="E922" s="2" t="s">
        <v>145</v>
      </c>
      <c r="F922" s="2" t="s">
        <v>24</v>
      </c>
      <c r="G922" s="2" t="s">
        <v>24</v>
      </c>
      <c r="H922" s="2" t="s">
        <v>1581</v>
      </c>
      <c r="I922" s="2" t="s">
        <v>1579</v>
      </c>
      <c r="J922" s="2" t="s">
        <v>26</v>
      </c>
      <c r="K922" s="2" t="s">
        <v>1582</v>
      </c>
      <c r="L922" s="3">
        <v>46087.0</v>
      </c>
      <c r="M922" s="2">
        <v>46.99</v>
      </c>
      <c r="N922" s="2">
        <v>46.99</v>
      </c>
      <c r="O922" s="2">
        <v>3.0</v>
      </c>
      <c r="P922" s="2">
        <v>3.0</v>
      </c>
      <c r="Q922" s="2" t="s">
        <v>1583</v>
      </c>
      <c r="R922" s="2" t="s">
        <v>24</v>
      </c>
      <c r="S922" s="2" t="b">
        <f>COUNTIF('Marcas Target'!A:A,dados!$E922)&gt;0</f>
        <v>1</v>
      </c>
    </row>
    <row r="923" ht="15.75" customHeight="1">
      <c r="A923" s="2" t="s">
        <v>1584</v>
      </c>
      <c r="B923" s="2" t="s">
        <v>1585</v>
      </c>
      <c r="C923" s="2" t="s">
        <v>24</v>
      </c>
      <c r="D923" s="2" t="s">
        <v>24</v>
      </c>
      <c r="E923" s="2" t="s">
        <v>139</v>
      </c>
      <c r="F923" s="2" t="s">
        <v>24</v>
      </c>
      <c r="G923" s="2" t="s">
        <v>24</v>
      </c>
      <c r="H923" s="2" t="s">
        <v>1586</v>
      </c>
      <c r="I923" s="2" t="s">
        <v>1584</v>
      </c>
      <c r="J923" s="2" t="s">
        <v>26</v>
      </c>
      <c r="K923" s="2" t="s">
        <v>1587</v>
      </c>
      <c r="L923" s="3">
        <v>46089.0</v>
      </c>
      <c r="M923" s="2">
        <v>41.52</v>
      </c>
      <c r="N923" s="2">
        <v>41.52</v>
      </c>
      <c r="O923" s="2">
        <v>22.0</v>
      </c>
      <c r="P923" s="2">
        <v>22.0</v>
      </c>
      <c r="Q923" s="2" t="s">
        <v>1588</v>
      </c>
      <c r="R923" s="2" t="s">
        <v>24</v>
      </c>
      <c r="S923" s="2" t="b">
        <f>COUNTIF('Marcas Target'!A:A,dados!$E923)&gt;0</f>
        <v>0</v>
      </c>
    </row>
    <row r="924" ht="15.75" customHeight="1">
      <c r="A924" s="2" t="s">
        <v>1584</v>
      </c>
      <c r="B924" s="2" t="s">
        <v>1585</v>
      </c>
      <c r="C924" s="2" t="s">
        <v>24</v>
      </c>
      <c r="D924" s="2" t="s">
        <v>24</v>
      </c>
      <c r="E924" s="2" t="s">
        <v>139</v>
      </c>
      <c r="F924" s="2" t="s">
        <v>24</v>
      </c>
      <c r="G924" s="2" t="s">
        <v>24</v>
      </c>
      <c r="H924" s="2" t="s">
        <v>1586</v>
      </c>
      <c r="I924" s="2" t="s">
        <v>1584</v>
      </c>
      <c r="J924" s="2" t="s">
        <v>26</v>
      </c>
      <c r="K924" s="2" t="s">
        <v>1587</v>
      </c>
      <c r="L924" s="3">
        <v>46088.0</v>
      </c>
      <c r="M924" s="2">
        <v>47.58</v>
      </c>
      <c r="N924" s="2">
        <v>47.58</v>
      </c>
      <c r="O924" s="2">
        <v>24.0</v>
      </c>
      <c r="P924" s="2">
        <v>24.0</v>
      </c>
      <c r="Q924" s="2" t="s">
        <v>1588</v>
      </c>
      <c r="R924" s="2" t="s">
        <v>24</v>
      </c>
      <c r="S924" s="2" t="b">
        <f>COUNTIF('Marcas Target'!A:A,dados!$E924)&gt;0</f>
        <v>0</v>
      </c>
    </row>
    <row r="925" ht="15.75" customHeight="1">
      <c r="A925" s="2" t="s">
        <v>1584</v>
      </c>
      <c r="B925" s="2" t="s">
        <v>1585</v>
      </c>
      <c r="C925" s="2" t="s">
        <v>24</v>
      </c>
      <c r="D925" s="2" t="s">
        <v>24</v>
      </c>
      <c r="E925" s="2" t="s">
        <v>139</v>
      </c>
      <c r="F925" s="2" t="s">
        <v>24</v>
      </c>
      <c r="G925" s="2" t="s">
        <v>24</v>
      </c>
      <c r="H925" s="2" t="s">
        <v>1586</v>
      </c>
      <c r="I925" s="2" t="s">
        <v>1584</v>
      </c>
      <c r="J925" s="2" t="s">
        <v>26</v>
      </c>
      <c r="K925" s="2" t="s">
        <v>1587</v>
      </c>
      <c r="L925" s="3">
        <v>46087.0</v>
      </c>
      <c r="M925" s="2">
        <v>41.52</v>
      </c>
      <c r="N925" s="2">
        <v>41.52</v>
      </c>
      <c r="O925" s="2">
        <v>3.0</v>
      </c>
      <c r="P925" s="2">
        <v>2.0</v>
      </c>
      <c r="Q925" s="2" t="s">
        <v>1588</v>
      </c>
      <c r="R925" s="2" t="s">
        <v>24</v>
      </c>
      <c r="S925" s="2" t="b">
        <f>COUNTIF('Marcas Target'!A:A,dados!$E925)&gt;0</f>
        <v>0</v>
      </c>
    </row>
    <row r="926" ht="15.75" customHeight="1">
      <c r="A926" s="2" t="s">
        <v>1589</v>
      </c>
      <c r="B926" s="2" t="s">
        <v>1590</v>
      </c>
      <c r="C926" s="2" t="s">
        <v>24</v>
      </c>
      <c r="D926" s="2" t="s">
        <v>24</v>
      </c>
      <c r="E926" s="2" t="s">
        <v>227</v>
      </c>
      <c r="F926" s="2" t="s">
        <v>24</v>
      </c>
      <c r="G926" s="2" t="s">
        <v>24</v>
      </c>
      <c r="H926" s="2" t="s">
        <v>1591</v>
      </c>
      <c r="I926" s="2" t="s">
        <v>1589</v>
      </c>
      <c r="J926" s="2" t="s">
        <v>26</v>
      </c>
      <c r="K926" s="2" t="s">
        <v>1592</v>
      </c>
      <c r="L926" s="3">
        <v>46089.0</v>
      </c>
      <c r="M926" s="2">
        <v>27.49</v>
      </c>
      <c r="N926" s="2">
        <v>27.49</v>
      </c>
      <c r="O926" s="2">
        <v>23.0</v>
      </c>
      <c r="P926" s="2">
        <v>1.0</v>
      </c>
      <c r="Q926" s="2" t="s">
        <v>1593</v>
      </c>
      <c r="R926" s="2" t="s">
        <v>24</v>
      </c>
      <c r="S926" s="2" t="b">
        <f>COUNTIF('Marcas Target'!A:A,dados!$E926)&gt;0</f>
        <v>0</v>
      </c>
    </row>
    <row r="927" ht="15.75" customHeight="1">
      <c r="A927" s="2" t="s">
        <v>1589</v>
      </c>
      <c r="B927" s="2" t="s">
        <v>1590</v>
      </c>
      <c r="C927" s="2" t="s">
        <v>24</v>
      </c>
      <c r="D927" s="2" t="s">
        <v>24</v>
      </c>
      <c r="E927" s="2" t="s">
        <v>227</v>
      </c>
      <c r="F927" s="2" t="s">
        <v>24</v>
      </c>
      <c r="G927" s="2" t="s">
        <v>24</v>
      </c>
      <c r="H927" s="2" t="s">
        <v>1591</v>
      </c>
      <c r="I927" s="2" t="s">
        <v>1589</v>
      </c>
      <c r="J927" s="2" t="s">
        <v>26</v>
      </c>
      <c r="K927" s="2" t="s">
        <v>1592</v>
      </c>
      <c r="L927" s="3">
        <v>46088.0</v>
      </c>
      <c r="M927" s="2" t="s">
        <v>24</v>
      </c>
      <c r="N927" s="2" t="s">
        <v>24</v>
      </c>
      <c r="O927" s="2">
        <v>24.0</v>
      </c>
      <c r="P927" s="2">
        <v>0.0</v>
      </c>
      <c r="Q927" s="2" t="s">
        <v>1593</v>
      </c>
      <c r="R927" s="2" t="s">
        <v>24</v>
      </c>
      <c r="S927" s="2" t="b">
        <f>COUNTIF('Marcas Target'!A:A,dados!$E927)&gt;0</f>
        <v>0</v>
      </c>
    </row>
    <row r="928" ht="15.75" customHeight="1">
      <c r="A928" s="2" t="s">
        <v>1589</v>
      </c>
      <c r="B928" s="2" t="s">
        <v>1590</v>
      </c>
      <c r="C928" s="2" t="s">
        <v>24</v>
      </c>
      <c r="D928" s="2" t="s">
        <v>24</v>
      </c>
      <c r="E928" s="2" t="s">
        <v>227</v>
      </c>
      <c r="F928" s="2" t="s">
        <v>24</v>
      </c>
      <c r="G928" s="2" t="s">
        <v>24</v>
      </c>
      <c r="H928" s="2" t="s">
        <v>1591</v>
      </c>
      <c r="I928" s="2" t="s">
        <v>1589</v>
      </c>
      <c r="J928" s="2" t="s">
        <v>26</v>
      </c>
      <c r="K928" s="2" t="s">
        <v>1592</v>
      </c>
      <c r="L928" s="3">
        <v>46087.0</v>
      </c>
      <c r="M928" s="2" t="s">
        <v>24</v>
      </c>
      <c r="N928" s="2" t="s">
        <v>24</v>
      </c>
      <c r="O928" s="2">
        <v>3.0</v>
      </c>
      <c r="P928" s="2">
        <v>0.0</v>
      </c>
      <c r="Q928" s="2" t="s">
        <v>1593</v>
      </c>
      <c r="R928" s="2" t="s">
        <v>24</v>
      </c>
      <c r="S928" s="2" t="b">
        <f>COUNTIF('Marcas Target'!A:A,dados!$E928)&gt;0</f>
        <v>0</v>
      </c>
    </row>
    <row r="929" ht="15.75" customHeight="1">
      <c r="A929" s="2" t="s">
        <v>1594</v>
      </c>
      <c r="B929" s="2" t="s">
        <v>1595</v>
      </c>
      <c r="C929" s="2" t="s">
        <v>24</v>
      </c>
      <c r="D929" s="2" t="s">
        <v>24</v>
      </c>
      <c r="E929" s="2" t="s">
        <v>227</v>
      </c>
      <c r="F929" s="2" t="s">
        <v>24</v>
      </c>
      <c r="G929" s="2" t="s">
        <v>24</v>
      </c>
      <c r="H929" s="2" t="s">
        <v>1596</v>
      </c>
      <c r="I929" s="2" t="s">
        <v>1594</v>
      </c>
      <c r="J929" s="2" t="s">
        <v>26</v>
      </c>
      <c r="K929" s="2" t="s">
        <v>1597</v>
      </c>
      <c r="L929" s="3">
        <v>46089.0</v>
      </c>
      <c r="M929" s="2">
        <v>15.49</v>
      </c>
      <c r="N929" s="2">
        <v>15.49</v>
      </c>
      <c r="O929" s="2">
        <v>22.0</v>
      </c>
      <c r="P929" s="2">
        <v>6.0</v>
      </c>
      <c r="Q929" s="2" t="s">
        <v>1598</v>
      </c>
      <c r="R929" s="2" t="s">
        <v>24</v>
      </c>
      <c r="S929" s="2" t="b">
        <f>COUNTIF('Marcas Target'!A:A,dados!$E929)&gt;0</f>
        <v>0</v>
      </c>
    </row>
    <row r="930" ht="15.75" customHeight="1">
      <c r="A930" s="2" t="s">
        <v>1594</v>
      </c>
      <c r="B930" s="2" t="s">
        <v>1595</v>
      </c>
      <c r="C930" s="2" t="s">
        <v>24</v>
      </c>
      <c r="D930" s="2" t="s">
        <v>24</v>
      </c>
      <c r="E930" s="2" t="s">
        <v>227</v>
      </c>
      <c r="F930" s="2" t="s">
        <v>24</v>
      </c>
      <c r="G930" s="2" t="s">
        <v>24</v>
      </c>
      <c r="H930" s="2" t="s">
        <v>1596</v>
      </c>
      <c r="I930" s="2" t="s">
        <v>1594</v>
      </c>
      <c r="J930" s="2" t="s">
        <v>26</v>
      </c>
      <c r="K930" s="2" t="s">
        <v>1597</v>
      </c>
      <c r="L930" s="3">
        <v>46088.0</v>
      </c>
      <c r="M930" s="2">
        <v>15.49</v>
      </c>
      <c r="N930" s="2">
        <v>15.49</v>
      </c>
      <c r="O930" s="2">
        <v>24.0</v>
      </c>
      <c r="P930" s="2">
        <v>17.0</v>
      </c>
      <c r="Q930" s="2" t="s">
        <v>1598</v>
      </c>
      <c r="R930" s="2" t="s">
        <v>24</v>
      </c>
      <c r="S930" s="2" t="b">
        <f>COUNTIF('Marcas Target'!A:A,dados!$E930)&gt;0</f>
        <v>0</v>
      </c>
    </row>
    <row r="931" ht="15.75" customHeight="1">
      <c r="A931" s="2" t="s">
        <v>1594</v>
      </c>
      <c r="B931" s="2" t="s">
        <v>1595</v>
      </c>
      <c r="C931" s="2" t="s">
        <v>24</v>
      </c>
      <c r="D931" s="2" t="s">
        <v>24</v>
      </c>
      <c r="E931" s="2" t="s">
        <v>227</v>
      </c>
      <c r="F931" s="2" t="s">
        <v>24</v>
      </c>
      <c r="G931" s="2" t="s">
        <v>24</v>
      </c>
      <c r="H931" s="2" t="s">
        <v>1596</v>
      </c>
      <c r="I931" s="2" t="s">
        <v>1594</v>
      </c>
      <c r="J931" s="2" t="s">
        <v>26</v>
      </c>
      <c r="K931" s="2" t="s">
        <v>1597</v>
      </c>
      <c r="L931" s="3">
        <v>46087.0</v>
      </c>
      <c r="M931" s="2">
        <v>15.49</v>
      </c>
      <c r="N931" s="2">
        <v>15.49</v>
      </c>
      <c r="O931" s="2">
        <v>3.0</v>
      </c>
      <c r="P931" s="2">
        <v>1.0</v>
      </c>
      <c r="Q931" s="2" t="s">
        <v>1598</v>
      </c>
      <c r="R931" s="2" t="s">
        <v>24</v>
      </c>
      <c r="S931" s="2" t="b">
        <f>COUNTIF('Marcas Target'!A:A,dados!$E931)&gt;0</f>
        <v>0</v>
      </c>
    </row>
    <row r="932" ht="15.75" customHeight="1">
      <c r="A932" s="2" t="s">
        <v>1599</v>
      </c>
      <c r="B932" s="2" t="s">
        <v>1600</v>
      </c>
      <c r="C932" s="2" t="s">
        <v>24</v>
      </c>
      <c r="D932" s="2" t="s">
        <v>24</v>
      </c>
      <c r="E932" s="2" t="s">
        <v>1601</v>
      </c>
      <c r="F932" s="2" t="s">
        <v>24</v>
      </c>
      <c r="G932" s="2" t="s">
        <v>24</v>
      </c>
      <c r="H932" s="2" t="s">
        <v>1602</v>
      </c>
      <c r="I932" s="2" t="s">
        <v>1599</v>
      </c>
      <c r="J932" s="2" t="s">
        <v>26</v>
      </c>
      <c r="K932" s="2" t="s">
        <v>1603</v>
      </c>
      <c r="L932" s="3">
        <v>46089.0</v>
      </c>
      <c r="M932" s="2">
        <v>39.99</v>
      </c>
      <c r="N932" s="2">
        <v>39.99</v>
      </c>
      <c r="O932" s="2">
        <v>22.0</v>
      </c>
      <c r="P932" s="2">
        <v>22.0</v>
      </c>
      <c r="Q932" s="2" t="s">
        <v>1604</v>
      </c>
      <c r="R932" s="2" t="s">
        <v>24</v>
      </c>
      <c r="S932" s="2" t="b">
        <f>COUNTIF('Marcas Target'!A:A,dados!$E932)&gt;0</f>
        <v>0</v>
      </c>
    </row>
    <row r="933" ht="15.75" customHeight="1">
      <c r="A933" s="2" t="s">
        <v>1599</v>
      </c>
      <c r="B933" s="2" t="s">
        <v>1600</v>
      </c>
      <c r="C933" s="2" t="s">
        <v>24</v>
      </c>
      <c r="D933" s="2" t="s">
        <v>24</v>
      </c>
      <c r="E933" s="2" t="s">
        <v>1601</v>
      </c>
      <c r="F933" s="2" t="s">
        <v>24</v>
      </c>
      <c r="G933" s="2" t="s">
        <v>24</v>
      </c>
      <c r="H933" s="2" t="s">
        <v>1602</v>
      </c>
      <c r="I933" s="2" t="s">
        <v>1599</v>
      </c>
      <c r="J933" s="2" t="s">
        <v>26</v>
      </c>
      <c r="K933" s="2" t="s">
        <v>1603</v>
      </c>
      <c r="L933" s="3">
        <v>46088.0</v>
      </c>
      <c r="M933" s="2">
        <v>39.99</v>
      </c>
      <c r="N933" s="2">
        <v>39.99</v>
      </c>
      <c r="O933" s="2">
        <v>24.0</v>
      </c>
      <c r="P933" s="2">
        <v>24.0</v>
      </c>
      <c r="Q933" s="2" t="s">
        <v>1604</v>
      </c>
      <c r="R933" s="2" t="s">
        <v>24</v>
      </c>
      <c r="S933" s="2" t="b">
        <f>COUNTIF('Marcas Target'!A:A,dados!$E933)&gt;0</f>
        <v>0</v>
      </c>
    </row>
    <row r="934" ht="15.75" customHeight="1">
      <c r="A934" s="2" t="s">
        <v>1599</v>
      </c>
      <c r="B934" s="2" t="s">
        <v>1600</v>
      </c>
      <c r="C934" s="2" t="s">
        <v>24</v>
      </c>
      <c r="D934" s="2" t="s">
        <v>24</v>
      </c>
      <c r="E934" s="2" t="s">
        <v>1601</v>
      </c>
      <c r="F934" s="2" t="s">
        <v>24</v>
      </c>
      <c r="G934" s="2" t="s">
        <v>24</v>
      </c>
      <c r="H934" s="2" t="s">
        <v>1602</v>
      </c>
      <c r="I934" s="2" t="s">
        <v>1599</v>
      </c>
      <c r="J934" s="2" t="s">
        <v>26</v>
      </c>
      <c r="K934" s="2" t="s">
        <v>1603</v>
      </c>
      <c r="L934" s="3">
        <v>46087.0</v>
      </c>
      <c r="M934" s="2">
        <v>39.99</v>
      </c>
      <c r="N934" s="2">
        <v>39.99</v>
      </c>
      <c r="O934" s="2">
        <v>3.0</v>
      </c>
      <c r="P934" s="2">
        <v>3.0</v>
      </c>
      <c r="Q934" s="2" t="s">
        <v>1604</v>
      </c>
      <c r="R934" s="2" t="s">
        <v>24</v>
      </c>
      <c r="S934" s="2" t="b">
        <f>COUNTIF('Marcas Target'!A:A,dados!$E934)&gt;0</f>
        <v>0</v>
      </c>
    </row>
    <row r="935" ht="15.75" customHeight="1">
      <c r="A935" s="2" t="s">
        <v>1605</v>
      </c>
      <c r="B935" s="2" t="s">
        <v>1606</v>
      </c>
      <c r="C935" s="2" t="s">
        <v>24</v>
      </c>
      <c r="D935" s="2" t="s">
        <v>24</v>
      </c>
      <c r="E935" s="2" t="s">
        <v>843</v>
      </c>
      <c r="F935" s="2" t="s">
        <v>24</v>
      </c>
      <c r="G935" s="2" t="s">
        <v>24</v>
      </c>
      <c r="H935" s="2" t="s">
        <v>1607</v>
      </c>
      <c r="I935" s="2" t="s">
        <v>1605</v>
      </c>
      <c r="J935" s="2" t="s">
        <v>26</v>
      </c>
      <c r="K935" s="2" t="s">
        <v>1608</v>
      </c>
      <c r="L935" s="3">
        <v>46089.0</v>
      </c>
      <c r="M935" s="2" t="s">
        <v>24</v>
      </c>
      <c r="N935" s="2" t="s">
        <v>24</v>
      </c>
      <c r="O935" s="2">
        <v>22.0</v>
      </c>
      <c r="P935" s="2">
        <v>0.0</v>
      </c>
      <c r="Q935" s="2" t="s">
        <v>1609</v>
      </c>
      <c r="R935" s="2" t="s">
        <v>24</v>
      </c>
      <c r="S935" s="2" t="b">
        <f>COUNTIF('Marcas Target'!A:A,dados!$E935)&gt;0</f>
        <v>1</v>
      </c>
    </row>
    <row r="936" ht="15.75" customHeight="1">
      <c r="A936" s="2" t="s">
        <v>1605</v>
      </c>
      <c r="B936" s="2" t="s">
        <v>1606</v>
      </c>
      <c r="C936" s="2" t="s">
        <v>24</v>
      </c>
      <c r="D936" s="2" t="s">
        <v>24</v>
      </c>
      <c r="E936" s="2" t="s">
        <v>843</v>
      </c>
      <c r="F936" s="2" t="s">
        <v>24</v>
      </c>
      <c r="G936" s="2" t="s">
        <v>24</v>
      </c>
      <c r="H936" s="2" t="s">
        <v>1607</v>
      </c>
      <c r="I936" s="2" t="s">
        <v>1605</v>
      </c>
      <c r="J936" s="2" t="s">
        <v>26</v>
      </c>
      <c r="K936" s="2" t="s">
        <v>1608</v>
      </c>
      <c r="L936" s="3">
        <v>46088.0</v>
      </c>
      <c r="M936" s="2">
        <v>38.99</v>
      </c>
      <c r="N936" s="2">
        <v>38.99</v>
      </c>
      <c r="O936" s="2">
        <v>24.0</v>
      </c>
      <c r="P936" s="2">
        <v>14.0</v>
      </c>
      <c r="Q936" s="2" t="s">
        <v>1609</v>
      </c>
      <c r="R936" s="2" t="s">
        <v>24</v>
      </c>
      <c r="S936" s="2" t="b">
        <f>COUNTIF('Marcas Target'!A:A,dados!$E936)&gt;0</f>
        <v>1</v>
      </c>
    </row>
    <row r="937" ht="15.75" customHeight="1">
      <c r="A937" s="2" t="s">
        <v>1605</v>
      </c>
      <c r="B937" s="2" t="s">
        <v>1606</v>
      </c>
      <c r="C937" s="2" t="s">
        <v>24</v>
      </c>
      <c r="D937" s="2" t="s">
        <v>24</v>
      </c>
      <c r="E937" s="2" t="s">
        <v>843</v>
      </c>
      <c r="F937" s="2" t="s">
        <v>24</v>
      </c>
      <c r="G937" s="2" t="s">
        <v>24</v>
      </c>
      <c r="H937" s="2" t="s">
        <v>1607</v>
      </c>
      <c r="I937" s="2" t="s">
        <v>1605</v>
      </c>
      <c r="J937" s="2" t="s">
        <v>26</v>
      </c>
      <c r="K937" s="2" t="s">
        <v>1608</v>
      </c>
      <c r="L937" s="3">
        <v>46087.0</v>
      </c>
      <c r="M937" s="2" t="s">
        <v>24</v>
      </c>
      <c r="N937" s="2" t="s">
        <v>24</v>
      </c>
      <c r="O937" s="2">
        <v>3.0</v>
      </c>
      <c r="P937" s="2">
        <v>0.0</v>
      </c>
      <c r="Q937" s="2" t="s">
        <v>1609</v>
      </c>
      <c r="R937" s="2" t="s">
        <v>24</v>
      </c>
      <c r="S937" s="2" t="b">
        <f>COUNTIF('Marcas Target'!A:A,dados!$E937)&gt;0</f>
        <v>1</v>
      </c>
    </row>
    <row r="938" ht="15.75" customHeight="1">
      <c r="A938" s="2" t="s">
        <v>1610</v>
      </c>
      <c r="B938" s="2" t="s">
        <v>1611</v>
      </c>
      <c r="C938" s="2" t="s">
        <v>24</v>
      </c>
      <c r="D938" s="2" t="s">
        <v>24</v>
      </c>
      <c r="E938" s="2" t="s">
        <v>268</v>
      </c>
      <c r="F938" s="2" t="s">
        <v>24</v>
      </c>
      <c r="G938" s="2" t="s">
        <v>24</v>
      </c>
      <c r="H938" s="2" t="s">
        <v>1612</v>
      </c>
      <c r="I938" s="2" t="s">
        <v>1610</v>
      </c>
      <c r="J938" s="2" t="s">
        <v>26</v>
      </c>
      <c r="K938" s="2" t="s">
        <v>1613</v>
      </c>
      <c r="L938" s="3">
        <v>46089.0</v>
      </c>
      <c r="M938" s="2">
        <v>26.99</v>
      </c>
      <c r="N938" s="2">
        <v>26.99</v>
      </c>
      <c r="O938" s="2">
        <v>22.0</v>
      </c>
      <c r="P938" s="2">
        <v>9.0</v>
      </c>
      <c r="Q938" s="2" t="s">
        <v>1614</v>
      </c>
      <c r="R938" s="2" t="s">
        <v>24</v>
      </c>
      <c r="S938" s="2" t="b">
        <f>COUNTIF('Marcas Target'!A:A,dados!$E938)&gt;0</f>
        <v>0</v>
      </c>
    </row>
    <row r="939" ht="15.75" customHeight="1">
      <c r="A939" s="2" t="s">
        <v>1610</v>
      </c>
      <c r="B939" s="2" t="s">
        <v>1611</v>
      </c>
      <c r="C939" s="2" t="s">
        <v>24</v>
      </c>
      <c r="D939" s="2" t="s">
        <v>24</v>
      </c>
      <c r="E939" s="2" t="s">
        <v>268</v>
      </c>
      <c r="F939" s="2" t="s">
        <v>24</v>
      </c>
      <c r="G939" s="2" t="s">
        <v>24</v>
      </c>
      <c r="H939" s="2" t="s">
        <v>1612</v>
      </c>
      <c r="I939" s="2" t="s">
        <v>1610</v>
      </c>
      <c r="J939" s="2" t="s">
        <v>26</v>
      </c>
      <c r="K939" s="2" t="s">
        <v>1613</v>
      </c>
      <c r="L939" s="3">
        <v>46088.0</v>
      </c>
      <c r="M939" s="2">
        <v>26.99</v>
      </c>
      <c r="N939" s="2">
        <v>26.99</v>
      </c>
      <c r="O939" s="2">
        <v>24.0</v>
      </c>
      <c r="P939" s="2">
        <v>23.0</v>
      </c>
      <c r="Q939" s="2" t="s">
        <v>1614</v>
      </c>
      <c r="R939" s="2" t="s">
        <v>24</v>
      </c>
      <c r="S939" s="2" t="b">
        <f>COUNTIF('Marcas Target'!A:A,dados!$E939)&gt;0</f>
        <v>0</v>
      </c>
    </row>
    <row r="940" ht="15.75" customHeight="1">
      <c r="A940" s="2" t="s">
        <v>1610</v>
      </c>
      <c r="B940" s="2" t="s">
        <v>1611</v>
      </c>
      <c r="C940" s="2" t="s">
        <v>24</v>
      </c>
      <c r="D940" s="2" t="s">
        <v>24</v>
      </c>
      <c r="E940" s="2" t="s">
        <v>268</v>
      </c>
      <c r="F940" s="2" t="s">
        <v>24</v>
      </c>
      <c r="G940" s="2" t="s">
        <v>24</v>
      </c>
      <c r="H940" s="2" t="s">
        <v>1612</v>
      </c>
      <c r="I940" s="2" t="s">
        <v>1610</v>
      </c>
      <c r="J940" s="2" t="s">
        <v>26</v>
      </c>
      <c r="K940" s="2" t="s">
        <v>1613</v>
      </c>
      <c r="L940" s="3">
        <v>46087.0</v>
      </c>
      <c r="M940" s="2">
        <v>26.99</v>
      </c>
      <c r="N940" s="2">
        <v>26.99</v>
      </c>
      <c r="O940" s="2">
        <v>3.0</v>
      </c>
      <c r="P940" s="2">
        <v>1.0</v>
      </c>
      <c r="Q940" s="2" t="s">
        <v>1614</v>
      </c>
      <c r="R940" s="2" t="s">
        <v>24</v>
      </c>
      <c r="S940" s="2" t="b">
        <f>COUNTIF('Marcas Target'!A:A,dados!$E940)&gt;0</f>
        <v>0</v>
      </c>
    </row>
    <row r="941" ht="15.75" customHeight="1">
      <c r="A941" s="2" t="s">
        <v>1615</v>
      </c>
      <c r="B941" s="2" t="s">
        <v>1616</v>
      </c>
      <c r="C941" s="2" t="s">
        <v>24</v>
      </c>
      <c r="D941" s="2" t="s">
        <v>24</v>
      </c>
      <c r="E941" s="2" t="s">
        <v>1245</v>
      </c>
      <c r="F941" s="2" t="s">
        <v>24</v>
      </c>
      <c r="G941" s="2" t="s">
        <v>24</v>
      </c>
      <c r="H941" s="2" t="s">
        <v>1617</v>
      </c>
      <c r="I941" s="2" t="s">
        <v>1615</v>
      </c>
      <c r="J941" s="2" t="s">
        <v>26</v>
      </c>
      <c r="K941" s="2" t="s">
        <v>1618</v>
      </c>
      <c r="L941" s="3">
        <v>46089.0</v>
      </c>
      <c r="M941" s="2">
        <v>59.9</v>
      </c>
      <c r="N941" s="2">
        <v>59.9</v>
      </c>
      <c r="O941" s="2">
        <v>22.0</v>
      </c>
      <c r="P941" s="2">
        <v>9.0</v>
      </c>
      <c r="Q941" s="2" t="s">
        <v>1619</v>
      </c>
      <c r="R941" s="2" t="s">
        <v>24</v>
      </c>
      <c r="S941" s="2" t="b">
        <f>COUNTIF('Marcas Target'!A:A,dados!$E941)&gt;0</f>
        <v>1</v>
      </c>
    </row>
    <row r="942" ht="15.75" customHeight="1">
      <c r="A942" s="2" t="s">
        <v>1615</v>
      </c>
      <c r="B942" s="2" t="s">
        <v>1616</v>
      </c>
      <c r="C942" s="2" t="s">
        <v>24</v>
      </c>
      <c r="D942" s="2" t="s">
        <v>24</v>
      </c>
      <c r="E942" s="2" t="s">
        <v>1245</v>
      </c>
      <c r="F942" s="2" t="s">
        <v>24</v>
      </c>
      <c r="G942" s="2" t="s">
        <v>24</v>
      </c>
      <c r="H942" s="2" t="s">
        <v>1617</v>
      </c>
      <c r="I942" s="2" t="s">
        <v>1615</v>
      </c>
      <c r="J942" s="2" t="s">
        <v>26</v>
      </c>
      <c r="K942" s="2" t="s">
        <v>1618</v>
      </c>
      <c r="L942" s="3">
        <v>46088.0</v>
      </c>
      <c r="M942" s="2">
        <v>54.71</v>
      </c>
      <c r="N942" s="2">
        <v>54.71</v>
      </c>
      <c r="O942" s="2">
        <v>24.0</v>
      </c>
      <c r="P942" s="2">
        <v>10.0</v>
      </c>
      <c r="Q942" s="2" t="s">
        <v>1619</v>
      </c>
      <c r="R942" s="2" t="s">
        <v>24</v>
      </c>
      <c r="S942" s="2" t="b">
        <f>COUNTIF('Marcas Target'!A:A,dados!$E942)&gt;0</f>
        <v>1</v>
      </c>
    </row>
    <row r="943" ht="15.75" customHeight="1">
      <c r="A943" s="2" t="s">
        <v>1615</v>
      </c>
      <c r="B943" s="2" t="s">
        <v>1616</v>
      </c>
      <c r="C943" s="2" t="s">
        <v>24</v>
      </c>
      <c r="D943" s="2" t="s">
        <v>24</v>
      </c>
      <c r="E943" s="2" t="s">
        <v>1245</v>
      </c>
      <c r="F943" s="2" t="s">
        <v>24</v>
      </c>
      <c r="G943" s="2" t="s">
        <v>24</v>
      </c>
      <c r="H943" s="2" t="s">
        <v>1617</v>
      </c>
      <c r="I943" s="2" t="s">
        <v>1615</v>
      </c>
      <c r="J943" s="2" t="s">
        <v>26</v>
      </c>
      <c r="K943" s="2" t="s">
        <v>1618</v>
      </c>
      <c r="L943" s="3">
        <v>46087.0</v>
      </c>
      <c r="M943" s="2" t="s">
        <v>24</v>
      </c>
      <c r="N943" s="2" t="s">
        <v>24</v>
      </c>
      <c r="O943" s="2">
        <v>3.0</v>
      </c>
      <c r="P943" s="2">
        <v>0.0</v>
      </c>
      <c r="Q943" s="2" t="s">
        <v>1619</v>
      </c>
      <c r="R943" s="2" t="s">
        <v>24</v>
      </c>
      <c r="S943" s="2" t="b">
        <f>COUNTIF('Marcas Target'!A:A,dados!$E943)&gt;0</f>
        <v>1</v>
      </c>
    </row>
    <row r="944" ht="15.75" customHeight="1">
      <c r="A944" s="2" t="s">
        <v>1620</v>
      </c>
      <c r="B944" s="2" t="s">
        <v>1621</v>
      </c>
      <c r="C944" s="2" t="s">
        <v>24</v>
      </c>
      <c r="D944" s="2" t="s">
        <v>24</v>
      </c>
      <c r="E944" s="2" t="s">
        <v>425</v>
      </c>
      <c r="F944" s="2" t="s">
        <v>24</v>
      </c>
      <c r="G944" s="2" t="s">
        <v>24</v>
      </c>
      <c r="H944" s="2" t="s">
        <v>1622</v>
      </c>
      <c r="I944" s="2" t="s">
        <v>1620</v>
      </c>
      <c r="J944" s="2" t="s">
        <v>26</v>
      </c>
      <c r="K944" s="2" t="s">
        <v>1623</v>
      </c>
      <c r="L944" s="3">
        <v>46089.0</v>
      </c>
      <c r="M944" s="2">
        <v>18.49</v>
      </c>
      <c r="N944" s="2">
        <v>18.49</v>
      </c>
      <c r="O944" s="2">
        <v>22.0</v>
      </c>
      <c r="P944" s="2">
        <v>7.0</v>
      </c>
      <c r="Q944" s="2" t="s">
        <v>1624</v>
      </c>
      <c r="R944" s="2" t="s">
        <v>24</v>
      </c>
      <c r="S944" s="2" t="b">
        <f>COUNTIF('Marcas Target'!A:A,dados!$E944)&gt;0</f>
        <v>0</v>
      </c>
    </row>
    <row r="945" ht="15.75" customHeight="1">
      <c r="A945" s="2" t="s">
        <v>1620</v>
      </c>
      <c r="B945" s="2" t="s">
        <v>1621</v>
      </c>
      <c r="C945" s="2" t="s">
        <v>24</v>
      </c>
      <c r="D945" s="2" t="s">
        <v>24</v>
      </c>
      <c r="E945" s="2" t="s">
        <v>425</v>
      </c>
      <c r="F945" s="2" t="s">
        <v>24</v>
      </c>
      <c r="G945" s="2" t="s">
        <v>24</v>
      </c>
      <c r="H945" s="2" t="s">
        <v>1622</v>
      </c>
      <c r="I945" s="2" t="s">
        <v>1620</v>
      </c>
      <c r="J945" s="2" t="s">
        <v>26</v>
      </c>
      <c r="K945" s="2" t="s">
        <v>1623</v>
      </c>
      <c r="L945" s="3">
        <v>46088.0</v>
      </c>
      <c r="M945" s="2">
        <v>18.49</v>
      </c>
      <c r="N945" s="2">
        <v>18.49</v>
      </c>
      <c r="O945" s="2">
        <v>24.0</v>
      </c>
      <c r="P945" s="2">
        <v>13.0</v>
      </c>
      <c r="Q945" s="2" t="s">
        <v>1624</v>
      </c>
      <c r="R945" s="2" t="s">
        <v>24</v>
      </c>
      <c r="S945" s="2" t="b">
        <f>COUNTIF('Marcas Target'!A:A,dados!$E945)&gt;0</f>
        <v>0</v>
      </c>
    </row>
    <row r="946" ht="15.75" customHeight="1">
      <c r="A946" s="2" t="s">
        <v>1620</v>
      </c>
      <c r="B946" s="2" t="s">
        <v>1621</v>
      </c>
      <c r="C946" s="2" t="s">
        <v>24</v>
      </c>
      <c r="D946" s="2" t="s">
        <v>24</v>
      </c>
      <c r="E946" s="2" t="s">
        <v>425</v>
      </c>
      <c r="F946" s="2" t="s">
        <v>24</v>
      </c>
      <c r="G946" s="2" t="s">
        <v>24</v>
      </c>
      <c r="H946" s="2" t="s">
        <v>1622</v>
      </c>
      <c r="I946" s="2" t="s">
        <v>1620</v>
      </c>
      <c r="J946" s="2" t="s">
        <v>26</v>
      </c>
      <c r="K946" s="2" t="s">
        <v>1623</v>
      </c>
      <c r="L946" s="3">
        <v>46087.0</v>
      </c>
      <c r="M946" s="2" t="s">
        <v>24</v>
      </c>
      <c r="N946" s="2" t="s">
        <v>24</v>
      </c>
      <c r="O946" s="2">
        <v>3.0</v>
      </c>
      <c r="P946" s="2">
        <v>0.0</v>
      </c>
      <c r="Q946" s="2" t="s">
        <v>1624</v>
      </c>
      <c r="R946" s="2" t="s">
        <v>24</v>
      </c>
      <c r="S946" s="2" t="b">
        <f>COUNTIF('Marcas Target'!A:A,dados!$E946)&gt;0</f>
        <v>0</v>
      </c>
    </row>
    <row r="947" ht="15.75" customHeight="1">
      <c r="A947" s="2" t="s">
        <v>1625</v>
      </c>
      <c r="B947" s="2" t="s">
        <v>1626</v>
      </c>
      <c r="C947" s="2" t="s">
        <v>24</v>
      </c>
      <c r="D947" s="2" t="s">
        <v>24</v>
      </c>
      <c r="E947" s="2" t="s">
        <v>106</v>
      </c>
      <c r="F947" s="2" t="s">
        <v>24</v>
      </c>
      <c r="G947" s="2" t="s">
        <v>24</v>
      </c>
      <c r="H947" s="2" t="s">
        <v>1627</v>
      </c>
      <c r="I947" s="2" t="s">
        <v>1625</v>
      </c>
      <c r="J947" s="2" t="s">
        <v>26</v>
      </c>
      <c r="K947" s="2" t="s">
        <v>1628</v>
      </c>
      <c r="L947" s="3">
        <v>46089.0</v>
      </c>
      <c r="M947" s="2" t="s">
        <v>24</v>
      </c>
      <c r="N947" s="2" t="s">
        <v>24</v>
      </c>
      <c r="O947" s="2">
        <v>22.0</v>
      </c>
      <c r="P947" s="2">
        <v>0.0</v>
      </c>
      <c r="Q947" s="2" t="s">
        <v>1629</v>
      </c>
      <c r="R947" s="2" t="s">
        <v>24</v>
      </c>
      <c r="S947" s="2" t="b">
        <f>COUNTIF('Marcas Target'!A:A,dados!$E947)&gt;0</f>
        <v>0</v>
      </c>
    </row>
    <row r="948" ht="15.75" customHeight="1">
      <c r="A948" s="2" t="s">
        <v>1625</v>
      </c>
      <c r="B948" s="2" t="s">
        <v>1626</v>
      </c>
      <c r="C948" s="2" t="s">
        <v>24</v>
      </c>
      <c r="D948" s="2" t="s">
        <v>24</v>
      </c>
      <c r="E948" s="2" t="s">
        <v>106</v>
      </c>
      <c r="F948" s="2" t="s">
        <v>24</v>
      </c>
      <c r="G948" s="2" t="s">
        <v>24</v>
      </c>
      <c r="H948" s="2" t="s">
        <v>1627</v>
      </c>
      <c r="I948" s="2" t="s">
        <v>1625</v>
      </c>
      <c r="J948" s="2" t="s">
        <v>26</v>
      </c>
      <c r="K948" s="2" t="s">
        <v>1628</v>
      </c>
      <c r="L948" s="3">
        <v>46088.0</v>
      </c>
      <c r="M948" s="2" t="s">
        <v>24</v>
      </c>
      <c r="N948" s="2" t="s">
        <v>24</v>
      </c>
      <c r="O948" s="2">
        <v>24.0</v>
      </c>
      <c r="P948" s="2">
        <v>0.0</v>
      </c>
      <c r="Q948" s="2" t="s">
        <v>1629</v>
      </c>
      <c r="R948" s="2" t="s">
        <v>24</v>
      </c>
      <c r="S948" s="2" t="b">
        <f>COUNTIF('Marcas Target'!A:A,dados!$E948)&gt;0</f>
        <v>0</v>
      </c>
    </row>
    <row r="949" ht="15.75" customHeight="1">
      <c r="A949" s="2" t="s">
        <v>1625</v>
      </c>
      <c r="B949" s="2" t="s">
        <v>1626</v>
      </c>
      <c r="C949" s="2" t="s">
        <v>24</v>
      </c>
      <c r="D949" s="2" t="s">
        <v>24</v>
      </c>
      <c r="E949" s="2" t="s">
        <v>106</v>
      </c>
      <c r="F949" s="2" t="s">
        <v>24</v>
      </c>
      <c r="G949" s="2" t="s">
        <v>24</v>
      </c>
      <c r="H949" s="2" t="s">
        <v>1627</v>
      </c>
      <c r="I949" s="2" t="s">
        <v>1625</v>
      </c>
      <c r="J949" s="2" t="s">
        <v>26</v>
      </c>
      <c r="K949" s="2" t="s">
        <v>1628</v>
      </c>
      <c r="L949" s="3">
        <v>46087.0</v>
      </c>
      <c r="M949" s="2" t="s">
        <v>24</v>
      </c>
      <c r="N949" s="2" t="s">
        <v>24</v>
      </c>
      <c r="O949" s="2">
        <v>3.0</v>
      </c>
      <c r="P949" s="2">
        <v>0.0</v>
      </c>
      <c r="Q949" s="2" t="s">
        <v>1629</v>
      </c>
      <c r="R949" s="2" t="s">
        <v>24</v>
      </c>
      <c r="S949" s="2" t="b">
        <f>COUNTIF('Marcas Target'!A:A,dados!$E949)&gt;0</f>
        <v>0</v>
      </c>
    </row>
    <row r="950" ht="15.75" customHeight="1">
      <c r="A950" s="2" t="s">
        <v>1630</v>
      </c>
      <c r="B950" s="2" t="s">
        <v>1631</v>
      </c>
      <c r="C950" s="2" t="s">
        <v>24</v>
      </c>
      <c r="D950" s="2" t="s">
        <v>24</v>
      </c>
      <c r="E950" s="2" t="s">
        <v>106</v>
      </c>
      <c r="F950" s="2" t="s">
        <v>24</v>
      </c>
      <c r="G950" s="2" t="s">
        <v>24</v>
      </c>
      <c r="H950" s="2" t="s">
        <v>1632</v>
      </c>
      <c r="I950" s="2" t="s">
        <v>1630</v>
      </c>
      <c r="J950" s="2" t="s">
        <v>26</v>
      </c>
      <c r="K950" s="2" t="s">
        <v>1633</v>
      </c>
      <c r="L950" s="3">
        <v>46089.0</v>
      </c>
      <c r="M950" s="2">
        <v>36.99</v>
      </c>
      <c r="N950" s="2">
        <v>36.99</v>
      </c>
      <c r="O950" s="2">
        <v>22.0</v>
      </c>
      <c r="P950" s="2">
        <v>22.0</v>
      </c>
      <c r="Q950" s="2" t="s">
        <v>1634</v>
      </c>
      <c r="R950" s="2" t="s">
        <v>24</v>
      </c>
      <c r="S950" s="2" t="b">
        <f>COUNTIF('Marcas Target'!A:A,dados!$E950)&gt;0</f>
        <v>0</v>
      </c>
    </row>
    <row r="951" ht="15.75" customHeight="1">
      <c r="A951" s="2" t="s">
        <v>1630</v>
      </c>
      <c r="B951" s="2" t="s">
        <v>1631</v>
      </c>
      <c r="C951" s="2" t="s">
        <v>24</v>
      </c>
      <c r="D951" s="2" t="s">
        <v>24</v>
      </c>
      <c r="E951" s="2" t="s">
        <v>106</v>
      </c>
      <c r="F951" s="2" t="s">
        <v>24</v>
      </c>
      <c r="G951" s="2" t="s">
        <v>24</v>
      </c>
      <c r="H951" s="2" t="s">
        <v>1632</v>
      </c>
      <c r="I951" s="2" t="s">
        <v>1630</v>
      </c>
      <c r="J951" s="2" t="s">
        <v>26</v>
      </c>
      <c r="K951" s="2" t="s">
        <v>1633</v>
      </c>
      <c r="L951" s="3">
        <v>46088.0</v>
      </c>
      <c r="M951" s="2">
        <v>36.99</v>
      </c>
      <c r="N951" s="2">
        <v>36.99</v>
      </c>
      <c r="O951" s="2">
        <v>24.0</v>
      </c>
      <c r="P951" s="2">
        <v>24.0</v>
      </c>
      <c r="Q951" s="2" t="s">
        <v>1634</v>
      </c>
      <c r="R951" s="2" t="s">
        <v>24</v>
      </c>
      <c r="S951" s="2" t="b">
        <f>COUNTIF('Marcas Target'!A:A,dados!$E951)&gt;0</f>
        <v>0</v>
      </c>
    </row>
    <row r="952" ht="15.75" customHeight="1">
      <c r="A952" s="2" t="s">
        <v>1630</v>
      </c>
      <c r="B952" s="2" t="s">
        <v>1631</v>
      </c>
      <c r="C952" s="2" t="s">
        <v>24</v>
      </c>
      <c r="D952" s="2" t="s">
        <v>24</v>
      </c>
      <c r="E952" s="2" t="s">
        <v>106</v>
      </c>
      <c r="F952" s="2" t="s">
        <v>24</v>
      </c>
      <c r="G952" s="2" t="s">
        <v>24</v>
      </c>
      <c r="H952" s="2" t="s">
        <v>1632</v>
      </c>
      <c r="I952" s="2" t="s">
        <v>1630</v>
      </c>
      <c r="J952" s="2" t="s">
        <v>26</v>
      </c>
      <c r="K952" s="2" t="s">
        <v>1633</v>
      </c>
      <c r="L952" s="3">
        <v>46087.0</v>
      </c>
      <c r="M952" s="2">
        <v>36.99</v>
      </c>
      <c r="N952" s="2">
        <v>36.99</v>
      </c>
      <c r="O952" s="2">
        <v>3.0</v>
      </c>
      <c r="P952" s="2">
        <v>2.0</v>
      </c>
      <c r="Q952" s="2" t="s">
        <v>1634</v>
      </c>
      <c r="R952" s="2" t="s">
        <v>24</v>
      </c>
      <c r="S952" s="2" t="b">
        <f>COUNTIF('Marcas Target'!A:A,dados!$E952)&gt;0</f>
        <v>0</v>
      </c>
    </row>
    <row r="953" ht="15.75" customHeight="1">
      <c r="A953" s="2" t="s">
        <v>1635</v>
      </c>
      <c r="B953" s="2" t="s">
        <v>1636</v>
      </c>
      <c r="C953" s="2" t="s">
        <v>24</v>
      </c>
      <c r="D953" s="2" t="s">
        <v>24</v>
      </c>
      <c r="E953" s="2" t="s">
        <v>425</v>
      </c>
      <c r="F953" s="2" t="s">
        <v>24</v>
      </c>
      <c r="G953" s="2" t="s">
        <v>24</v>
      </c>
      <c r="H953" s="2" t="s">
        <v>1637</v>
      </c>
      <c r="I953" s="2" t="s">
        <v>1635</v>
      </c>
      <c r="J953" s="2" t="s">
        <v>26</v>
      </c>
      <c r="K953" s="2" t="s">
        <v>1638</v>
      </c>
      <c r="L953" s="3">
        <v>46089.0</v>
      </c>
      <c r="M953" s="2">
        <v>38.99</v>
      </c>
      <c r="N953" s="2">
        <v>38.99</v>
      </c>
      <c r="O953" s="2">
        <v>22.0</v>
      </c>
      <c r="P953" s="2">
        <v>21.0</v>
      </c>
      <c r="Q953" s="2" t="s">
        <v>1639</v>
      </c>
      <c r="R953" s="2" t="s">
        <v>24</v>
      </c>
      <c r="S953" s="2" t="b">
        <f>COUNTIF('Marcas Target'!A:A,dados!$E953)&gt;0</f>
        <v>0</v>
      </c>
    </row>
    <row r="954" ht="15.75" customHeight="1">
      <c r="A954" s="2" t="s">
        <v>1635</v>
      </c>
      <c r="B954" s="2" t="s">
        <v>1636</v>
      </c>
      <c r="C954" s="2" t="s">
        <v>24</v>
      </c>
      <c r="D954" s="2" t="s">
        <v>24</v>
      </c>
      <c r="E954" s="2" t="s">
        <v>425</v>
      </c>
      <c r="F954" s="2" t="s">
        <v>24</v>
      </c>
      <c r="G954" s="2" t="s">
        <v>24</v>
      </c>
      <c r="H954" s="2" t="s">
        <v>1637</v>
      </c>
      <c r="I954" s="2" t="s">
        <v>1635</v>
      </c>
      <c r="J954" s="2" t="s">
        <v>26</v>
      </c>
      <c r="K954" s="2" t="s">
        <v>1638</v>
      </c>
      <c r="L954" s="3">
        <v>46088.0</v>
      </c>
      <c r="M954" s="2">
        <v>38.99</v>
      </c>
      <c r="N954" s="2">
        <v>38.99</v>
      </c>
      <c r="O954" s="2">
        <v>24.0</v>
      </c>
      <c r="P954" s="2">
        <v>24.0</v>
      </c>
      <c r="Q954" s="2" t="s">
        <v>1639</v>
      </c>
      <c r="R954" s="2" t="s">
        <v>24</v>
      </c>
      <c r="S954" s="2" t="b">
        <f>COUNTIF('Marcas Target'!A:A,dados!$E954)&gt;0</f>
        <v>0</v>
      </c>
    </row>
    <row r="955" ht="15.75" customHeight="1">
      <c r="A955" s="2" t="s">
        <v>1635</v>
      </c>
      <c r="B955" s="2" t="s">
        <v>1636</v>
      </c>
      <c r="C955" s="2" t="s">
        <v>24</v>
      </c>
      <c r="D955" s="2" t="s">
        <v>24</v>
      </c>
      <c r="E955" s="2" t="s">
        <v>425</v>
      </c>
      <c r="F955" s="2" t="s">
        <v>24</v>
      </c>
      <c r="G955" s="2" t="s">
        <v>24</v>
      </c>
      <c r="H955" s="2" t="s">
        <v>1637</v>
      </c>
      <c r="I955" s="2" t="s">
        <v>1635</v>
      </c>
      <c r="J955" s="2" t="s">
        <v>26</v>
      </c>
      <c r="K955" s="2" t="s">
        <v>1638</v>
      </c>
      <c r="L955" s="3">
        <v>46087.0</v>
      </c>
      <c r="M955" s="2">
        <v>38.99</v>
      </c>
      <c r="N955" s="2">
        <v>38.99</v>
      </c>
      <c r="O955" s="2">
        <v>3.0</v>
      </c>
      <c r="P955" s="2">
        <v>2.0</v>
      </c>
      <c r="Q955" s="2" t="s">
        <v>1639</v>
      </c>
      <c r="R955" s="2" t="s">
        <v>24</v>
      </c>
      <c r="S955" s="2" t="b">
        <f>COUNTIF('Marcas Target'!A:A,dados!$E955)&gt;0</f>
        <v>0</v>
      </c>
    </row>
    <row r="956" ht="15.75" customHeight="1">
      <c r="A956" s="2" t="s">
        <v>1640</v>
      </c>
      <c r="B956" s="2" t="s">
        <v>1641</v>
      </c>
      <c r="C956" s="2" t="s">
        <v>24</v>
      </c>
      <c r="D956" s="2" t="s">
        <v>24</v>
      </c>
      <c r="E956" s="2" t="s">
        <v>336</v>
      </c>
      <c r="F956" s="2" t="s">
        <v>24</v>
      </c>
      <c r="G956" s="2" t="s">
        <v>24</v>
      </c>
      <c r="H956" s="2" t="s">
        <v>1642</v>
      </c>
      <c r="I956" s="2" t="s">
        <v>1640</v>
      </c>
      <c r="J956" s="2" t="s">
        <v>26</v>
      </c>
      <c r="K956" s="2" t="s">
        <v>1643</v>
      </c>
      <c r="L956" s="3">
        <v>46089.0</v>
      </c>
      <c r="M956" s="2">
        <v>5.89</v>
      </c>
      <c r="N956" s="2">
        <v>5.89</v>
      </c>
      <c r="O956" s="2">
        <v>22.0</v>
      </c>
      <c r="P956" s="2">
        <v>1.0</v>
      </c>
      <c r="Q956" s="2" t="s">
        <v>1644</v>
      </c>
      <c r="R956" s="2" t="s">
        <v>24</v>
      </c>
      <c r="S956" s="2" t="b">
        <f>COUNTIF('Marcas Target'!A:A,dados!$E956)&gt;0</f>
        <v>0</v>
      </c>
    </row>
    <row r="957" ht="15.75" customHeight="1">
      <c r="A957" s="2" t="s">
        <v>1640</v>
      </c>
      <c r="B957" s="2" t="s">
        <v>1641</v>
      </c>
      <c r="C957" s="2" t="s">
        <v>24</v>
      </c>
      <c r="D957" s="2" t="s">
        <v>24</v>
      </c>
      <c r="E957" s="2" t="s">
        <v>336</v>
      </c>
      <c r="F957" s="2" t="s">
        <v>24</v>
      </c>
      <c r="G957" s="2" t="s">
        <v>24</v>
      </c>
      <c r="H957" s="2" t="s">
        <v>1642</v>
      </c>
      <c r="I957" s="2" t="s">
        <v>1640</v>
      </c>
      <c r="J957" s="2" t="s">
        <v>26</v>
      </c>
      <c r="K957" s="2" t="s">
        <v>1643</v>
      </c>
      <c r="L957" s="3">
        <v>46088.0</v>
      </c>
      <c r="M957" s="2">
        <v>28.99</v>
      </c>
      <c r="N957" s="2">
        <v>28.99</v>
      </c>
      <c r="O957" s="2">
        <v>24.0</v>
      </c>
      <c r="P957" s="2">
        <v>15.0</v>
      </c>
      <c r="Q957" s="2" t="s">
        <v>1644</v>
      </c>
      <c r="R957" s="2" t="s">
        <v>24</v>
      </c>
      <c r="S957" s="2" t="b">
        <f>COUNTIF('Marcas Target'!A:A,dados!$E957)&gt;0</f>
        <v>0</v>
      </c>
    </row>
    <row r="958" ht="15.75" customHeight="1">
      <c r="A958" s="2" t="s">
        <v>1640</v>
      </c>
      <c r="B958" s="2" t="s">
        <v>1641</v>
      </c>
      <c r="C958" s="2" t="s">
        <v>24</v>
      </c>
      <c r="D958" s="2" t="s">
        <v>24</v>
      </c>
      <c r="E958" s="2" t="s">
        <v>336</v>
      </c>
      <c r="F958" s="2" t="s">
        <v>24</v>
      </c>
      <c r="G958" s="2" t="s">
        <v>24</v>
      </c>
      <c r="H958" s="2" t="s">
        <v>1642</v>
      </c>
      <c r="I958" s="2" t="s">
        <v>1640</v>
      </c>
      <c r="J958" s="2" t="s">
        <v>26</v>
      </c>
      <c r="K958" s="2" t="s">
        <v>1643</v>
      </c>
      <c r="L958" s="3">
        <v>46087.0</v>
      </c>
      <c r="M958" s="2">
        <v>28.99</v>
      </c>
      <c r="N958" s="2">
        <v>28.99</v>
      </c>
      <c r="O958" s="2">
        <v>3.0</v>
      </c>
      <c r="P958" s="2">
        <v>2.0</v>
      </c>
      <c r="Q958" s="2" t="s">
        <v>1644</v>
      </c>
      <c r="R958" s="2" t="s">
        <v>24</v>
      </c>
      <c r="S958" s="2" t="b">
        <f>COUNTIF('Marcas Target'!A:A,dados!$E958)&gt;0</f>
        <v>0</v>
      </c>
    </row>
    <row r="959" ht="15.75" customHeight="1">
      <c r="A959" s="2" t="s">
        <v>1645</v>
      </c>
      <c r="B959" s="2" t="s">
        <v>1646</v>
      </c>
      <c r="C959" s="2" t="s">
        <v>24</v>
      </c>
      <c r="D959" s="2" t="s">
        <v>24</v>
      </c>
      <c r="E959" s="2" t="s">
        <v>874</v>
      </c>
      <c r="F959" s="2" t="s">
        <v>24</v>
      </c>
      <c r="G959" s="2" t="s">
        <v>24</v>
      </c>
      <c r="H959" s="2" t="s">
        <v>1647</v>
      </c>
      <c r="I959" s="2" t="s">
        <v>1645</v>
      </c>
      <c r="J959" s="2" t="s">
        <v>26</v>
      </c>
      <c r="K959" s="2" t="s">
        <v>1648</v>
      </c>
      <c r="L959" s="3">
        <v>46089.0</v>
      </c>
      <c r="M959" s="2">
        <v>40.99</v>
      </c>
      <c r="N959" s="2">
        <v>40.99</v>
      </c>
      <c r="O959" s="2">
        <v>22.0</v>
      </c>
      <c r="P959" s="2">
        <v>22.0</v>
      </c>
      <c r="Q959" s="2" t="s">
        <v>1649</v>
      </c>
      <c r="R959" s="2" t="s">
        <v>24</v>
      </c>
      <c r="S959" s="2" t="b">
        <f>COUNTIF('Marcas Target'!A:A,dados!$E959)&gt;0</f>
        <v>1</v>
      </c>
    </row>
    <row r="960" ht="15.75" customHeight="1">
      <c r="A960" s="2" t="s">
        <v>1645</v>
      </c>
      <c r="B960" s="2" t="s">
        <v>1646</v>
      </c>
      <c r="C960" s="2" t="s">
        <v>24</v>
      </c>
      <c r="D960" s="2" t="s">
        <v>24</v>
      </c>
      <c r="E960" s="2" t="s">
        <v>874</v>
      </c>
      <c r="F960" s="2" t="s">
        <v>24</v>
      </c>
      <c r="G960" s="2" t="s">
        <v>24</v>
      </c>
      <c r="H960" s="2" t="s">
        <v>1647</v>
      </c>
      <c r="I960" s="2" t="s">
        <v>1645</v>
      </c>
      <c r="J960" s="2" t="s">
        <v>26</v>
      </c>
      <c r="K960" s="2" t="s">
        <v>1648</v>
      </c>
      <c r="L960" s="3">
        <v>46088.0</v>
      </c>
      <c r="M960" s="2">
        <v>40.99</v>
      </c>
      <c r="N960" s="2">
        <v>40.99</v>
      </c>
      <c r="O960" s="2">
        <v>24.0</v>
      </c>
      <c r="P960" s="2">
        <v>24.0</v>
      </c>
      <c r="Q960" s="2" t="s">
        <v>1649</v>
      </c>
      <c r="R960" s="2" t="s">
        <v>24</v>
      </c>
      <c r="S960" s="2" t="b">
        <f>COUNTIF('Marcas Target'!A:A,dados!$E960)&gt;0</f>
        <v>1</v>
      </c>
    </row>
    <row r="961" ht="15.75" customHeight="1">
      <c r="A961" s="2" t="s">
        <v>1645</v>
      </c>
      <c r="B961" s="2" t="s">
        <v>1646</v>
      </c>
      <c r="C961" s="2" t="s">
        <v>24</v>
      </c>
      <c r="D961" s="2" t="s">
        <v>24</v>
      </c>
      <c r="E961" s="2" t="s">
        <v>874</v>
      </c>
      <c r="F961" s="2" t="s">
        <v>24</v>
      </c>
      <c r="G961" s="2" t="s">
        <v>24</v>
      </c>
      <c r="H961" s="2" t="s">
        <v>1647</v>
      </c>
      <c r="I961" s="2" t="s">
        <v>1645</v>
      </c>
      <c r="J961" s="2" t="s">
        <v>26</v>
      </c>
      <c r="K961" s="2" t="s">
        <v>1648</v>
      </c>
      <c r="L961" s="3">
        <v>46087.0</v>
      </c>
      <c r="M961" s="2">
        <v>40.99</v>
      </c>
      <c r="N961" s="2">
        <v>40.99</v>
      </c>
      <c r="O961" s="2">
        <v>3.0</v>
      </c>
      <c r="P961" s="2">
        <v>2.0</v>
      </c>
      <c r="Q961" s="2" t="s">
        <v>1649</v>
      </c>
      <c r="R961" s="2" t="s">
        <v>24</v>
      </c>
      <c r="S961" s="2" t="b">
        <f>COUNTIF('Marcas Target'!A:A,dados!$E961)&gt;0</f>
        <v>1</v>
      </c>
    </row>
    <row r="962" ht="15.75" customHeight="1">
      <c r="A962" s="2" t="s">
        <v>1650</v>
      </c>
      <c r="B962" s="2" t="s">
        <v>1651</v>
      </c>
      <c r="C962" s="2" t="s">
        <v>24</v>
      </c>
      <c r="D962" s="2" t="s">
        <v>24</v>
      </c>
      <c r="E962" s="2" t="s">
        <v>145</v>
      </c>
      <c r="F962" s="2" t="s">
        <v>24</v>
      </c>
      <c r="G962" s="2" t="s">
        <v>24</v>
      </c>
      <c r="H962" s="2" t="s">
        <v>1652</v>
      </c>
      <c r="I962" s="2" t="s">
        <v>1650</v>
      </c>
      <c r="J962" s="2" t="s">
        <v>26</v>
      </c>
      <c r="K962" s="2" t="s">
        <v>1653</v>
      </c>
      <c r="L962" s="3">
        <v>46089.0</v>
      </c>
      <c r="M962" s="2">
        <v>55.9</v>
      </c>
      <c r="N962" s="2">
        <v>55.9</v>
      </c>
      <c r="O962" s="2">
        <v>22.0</v>
      </c>
      <c r="P962" s="2">
        <v>22.0</v>
      </c>
      <c r="Q962" s="2" t="s">
        <v>1654</v>
      </c>
      <c r="R962" s="2" t="s">
        <v>24</v>
      </c>
      <c r="S962" s="2" t="b">
        <f>COUNTIF('Marcas Target'!A:A,dados!$E962)&gt;0</f>
        <v>1</v>
      </c>
    </row>
    <row r="963" ht="15.75" customHeight="1">
      <c r="A963" s="2" t="s">
        <v>1650</v>
      </c>
      <c r="B963" s="2" t="s">
        <v>1651</v>
      </c>
      <c r="C963" s="2" t="s">
        <v>24</v>
      </c>
      <c r="D963" s="2" t="s">
        <v>24</v>
      </c>
      <c r="E963" s="2" t="s">
        <v>145</v>
      </c>
      <c r="F963" s="2" t="s">
        <v>24</v>
      </c>
      <c r="G963" s="2" t="s">
        <v>24</v>
      </c>
      <c r="H963" s="2" t="s">
        <v>1652</v>
      </c>
      <c r="I963" s="2" t="s">
        <v>1650</v>
      </c>
      <c r="J963" s="2" t="s">
        <v>26</v>
      </c>
      <c r="K963" s="2" t="s">
        <v>1653</v>
      </c>
      <c r="L963" s="3">
        <v>46088.0</v>
      </c>
      <c r="M963" s="2">
        <v>55.9</v>
      </c>
      <c r="N963" s="2">
        <v>55.9</v>
      </c>
      <c r="O963" s="2">
        <v>24.0</v>
      </c>
      <c r="P963" s="2">
        <v>12.0</v>
      </c>
      <c r="Q963" s="2" t="s">
        <v>1654</v>
      </c>
      <c r="R963" s="2" t="s">
        <v>24</v>
      </c>
      <c r="S963" s="2" t="b">
        <f>COUNTIF('Marcas Target'!A:A,dados!$E963)&gt;0</f>
        <v>1</v>
      </c>
    </row>
    <row r="964" ht="15.75" customHeight="1">
      <c r="A964" s="2" t="s">
        <v>1650</v>
      </c>
      <c r="B964" s="2" t="s">
        <v>1651</v>
      </c>
      <c r="C964" s="2" t="s">
        <v>24</v>
      </c>
      <c r="D964" s="2" t="s">
        <v>24</v>
      </c>
      <c r="E964" s="2" t="s">
        <v>145</v>
      </c>
      <c r="F964" s="2" t="s">
        <v>24</v>
      </c>
      <c r="G964" s="2" t="s">
        <v>24</v>
      </c>
      <c r="H964" s="2" t="s">
        <v>1652</v>
      </c>
      <c r="I964" s="2" t="s">
        <v>1650</v>
      </c>
      <c r="J964" s="2" t="s">
        <v>26</v>
      </c>
      <c r="K964" s="2" t="s">
        <v>1653</v>
      </c>
      <c r="L964" s="3">
        <v>46087.0</v>
      </c>
      <c r="M964" s="2" t="s">
        <v>24</v>
      </c>
      <c r="N964" s="2" t="s">
        <v>24</v>
      </c>
      <c r="O964" s="2">
        <v>3.0</v>
      </c>
      <c r="P964" s="2">
        <v>0.0</v>
      </c>
      <c r="Q964" s="2" t="s">
        <v>1654</v>
      </c>
      <c r="R964" s="2" t="s">
        <v>24</v>
      </c>
      <c r="S964" s="2" t="b">
        <f>COUNTIF('Marcas Target'!A:A,dados!$E964)&gt;0</f>
        <v>1</v>
      </c>
    </row>
    <row r="965" ht="15.75" customHeight="1">
      <c r="A965" s="2" t="s">
        <v>1655</v>
      </c>
      <c r="B965" s="2" t="s">
        <v>1656</v>
      </c>
      <c r="C965" s="2" t="s">
        <v>24</v>
      </c>
      <c r="D965" s="2" t="s">
        <v>24</v>
      </c>
      <c r="E965" s="2" t="s">
        <v>425</v>
      </c>
      <c r="F965" s="2" t="s">
        <v>24</v>
      </c>
      <c r="G965" s="2" t="s">
        <v>24</v>
      </c>
      <c r="H965" s="2" t="s">
        <v>1657</v>
      </c>
      <c r="I965" s="2" t="s">
        <v>1655</v>
      </c>
      <c r="J965" s="2" t="s">
        <v>26</v>
      </c>
      <c r="K965" s="2" t="s">
        <v>1658</v>
      </c>
      <c r="L965" s="3">
        <v>46089.0</v>
      </c>
      <c r="M965" s="2">
        <v>27.99</v>
      </c>
      <c r="N965" s="2">
        <v>27.99</v>
      </c>
      <c r="O965" s="2">
        <v>22.0</v>
      </c>
      <c r="P965" s="2">
        <v>22.0</v>
      </c>
      <c r="Q965" s="2" t="s">
        <v>1659</v>
      </c>
      <c r="R965" s="2" t="s">
        <v>24</v>
      </c>
      <c r="S965" s="2" t="b">
        <f>COUNTIF('Marcas Target'!A:A,dados!$E965)&gt;0</f>
        <v>0</v>
      </c>
    </row>
    <row r="966" ht="15.75" customHeight="1">
      <c r="A966" s="2" t="s">
        <v>1655</v>
      </c>
      <c r="B966" s="2" t="s">
        <v>1656</v>
      </c>
      <c r="C966" s="2" t="s">
        <v>24</v>
      </c>
      <c r="D966" s="2" t="s">
        <v>24</v>
      </c>
      <c r="E966" s="2" t="s">
        <v>425</v>
      </c>
      <c r="F966" s="2" t="s">
        <v>24</v>
      </c>
      <c r="G966" s="2" t="s">
        <v>24</v>
      </c>
      <c r="H966" s="2" t="s">
        <v>1657</v>
      </c>
      <c r="I966" s="2" t="s">
        <v>1655</v>
      </c>
      <c r="J966" s="2" t="s">
        <v>26</v>
      </c>
      <c r="K966" s="2" t="s">
        <v>1658</v>
      </c>
      <c r="L966" s="3">
        <v>46088.0</v>
      </c>
      <c r="M966" s="2">
        <v>27.99</v>
      </c>
      <c r="N966" s="2">
        <v>27.99</v>
      </c>
      <c r="O966" s="2">
        <v>24.0</v>
      </c>
      <c r="P966" s="2">
        <v>24.0</v>
      </c>
      <c r="Q966" s="2" t="s">
        <v>1659</v>
      </c>
      <c r="R966" s="2" t="s">
        <v>24</v>
      </c>
      <c r="S966" s="2" t="b">
        <f>COUNTIF('Marcas Target'!A:A,dados!$E966)&gt;0</f>
        <v>0</v>
      </c>
    </row>
    <row r="967" ht="15.75" customHeight="1">
      <c r="A967" s="2" t="s">
        <v>1655</v>
      </c>
      <c r="B967" s="2" t="s">
        <v>1656</v>
      </c>
      <c r="C967" s="2" t="s">
        <v>24</v>
      </c>
      <c r="D967" s="2" t="s">
        <v>24</v>
      </c>
      <c r="E967" s="2" t="s">
        <v>425</v>
      </c>
      <c r="F967" s="2" t="s">
        <v>24</v>
      </c>
      <c r="G967" s="2" t="s">
        <v>24</v>
      </c>
      <c r="H967" s="2" t="s">
        <v>1657</v>
      </c>
      <c r="I967" s="2" t="s">
        <v>1655</v>
      </c>
      <c r="J967" s="2" t="s">
        <v>26</v>
      </c>
      <c r="K967" s="2" t="s">
        <v>1658</v>
      </c>
      <c r="L967" s="3">
        <v>46087.0</v>
      </c>
      <c r="M967" s="2">
        <v>27.99</v>
      </c>
      <c r="N967" s="2">
        <v>27.99</v>
      </c>
      <c r="O967" s="2">
        <v>3.0</v>
      </c>
      <c r="P967" s="2">
        <v>2.0</v>
      </c>
      <c r="Q967" s="2" t="s">
        <v>1659</v>
      </c>
      <c r="R967" s="2" t="s">
        <v>24</v>
      </c>
      <c r="S967" s="2" t="b">
        <f>COUNTIF('Marcas Target'!A:A,dados!$E967)&gt;0</f>
        <v>0</v>
      </c>
    </row>
    <row r="968" ht="15.75" customHeight="1">
      <c r="A968" s="2" t="s">
        <v>1660</v>
      </c>
      <c r="B968" s="2" t="s">
        <v>1661</v>
      </c>
      <c r="C968" s="2" t="s">
        <v>24</v>
      </c>
      <c r="D968" s="2" t="s">
        <v>24</v>
      </c>
      <c r="E968" s="2" t="s">
        <v>378</v>
      </c>
      <c r="F968" s="2" t="s">
        <v>24</v>
      </c>
      <c r="G968" s="2" t="s">
        <v>24</v>
      </c>
      <c r="H968" s="2" t="s">
        <v>1662</v>
      </c>
      <c r="I968" s="2" t="s">
        <v>1660</v>
      </c>
      <c r="J968" s="2" t="s">
        <v>26</v>
      </c>
      <c r="K968" s="2" t="s">
        <v>1663</v>
      </c>
      <c r="L968" s="3">
        <v>46089.0</v>
      </c>
      <c r="M968" s="2">
        <v>29.99</v>
      </c>
      <c r="N968" s="2">
        <v>29.99</v>
      </c>
      <c r="O968" s="2">
        <v>22.0</v>
      </c>
      <c r="P968" s="2">
        <v>11.0</v>
      </c>
      <c r="Q968" s="2" t="s">
        <v>1664</v>
      </c>
      <c r="R968" s="2" t="s">
        <v>24</v>
      </c>
      <c r="S968" s="2" t="b">
        <f>COUNTIF('Marcas Target'!A:A,dados!$E968)&gt;0</f>
        <v>0</v>
      </c>
    </row>
    <row r="969" ht="15.75" customHeight="1">
      <c r="A969" s="2" t="s">
        <v>1660</v>
      </c>
      <c r="B969" s="2" t="s">
        <v>1661</v>
      </c>
      <c r="C969" s="2" t="s">
        <v>24</v>
      </c>
      <c r="D969" s="2" t="s">
        <v>24</v>
      </c>
      <c r="E969" s="2" t="s">
        <v>378</v>
      </c>
      <c r="F969" s="2" t="s">
        <v>24</v>
      </c>
      <c r="G969" s="2" t="s">
        <v>24</v>
      </c>
      <c r="H969" s="2" t="s">
        <v>1662</v>
      </c>
      <c r="I969" s="2" t="s">
        <v>1660</v>
      </c>
      <c r="J969" s="2" t="s">
        <v>26</v>
      </c>
      <c r="K969" s="2" t="s">
        <v>1663</v>
      </c>
      <c r="L969" s="3">
        <v>46088.0</v>
      </c>
      <c r="M969" s="2">
        <v>29.99</v>
      </c>
      <c r="N969" s="2">
        <v>29.99</v>
      </c>
      <c r="O969" s="2">
        <v>24.0</v>
      </c>
      <c r="P969" s="2">
        <v>20.0</v>
      </c>
      <c r="Q969" s="2" t="s">
        <v>1664</v>
      </c>
      <c r="R969" s="2" t="s">
        <v>24</v>
      </c>
      <c r="S969" s="2" t="b">
        <f>COUNTIF('Marcas Target'!A:A,dados!$E969)&gt;0</f>
        <v>0</v>
      </c>
    </row>
    <row r="970" ht="15.75" customHeight="1">
      <c r="A970" s="2" t="s">
        <v>1660</v>
      </c>
      <c r="B970" s="2" t="s">
        <v>1661</v>
      </c>
      <c r="C970" s="2" t="s">
        <v>24</v>
      </c>
      <c r="D970" s="2" t="s">
        <v>24</v>
      </c>
      <c r="E970" s="2" t="s">
        <v>378</v>
      </c>
      <c r="F970" s="2" t="s">
        <v>24</v>
      </c>
      <c r="G970" s="2" t="s">
        <v>24</v>
      </c>
      <c r="H970" s="2" t="s">
        <v>1662</v>
      </c>
      <c r="I970" s="2" t="s">
        <v>1660</v>
      </c>
      <c r="J970" s="2" t="s">
        <v>26</v>
      </c>
      <c r="K970" s="2" t="s">
        <v>1663</v>
      </c>
      <c r="L970" s="3">
        <v>46087.0</v>
      </c>
      <c r="M970" s="2">
        <v>29.99</v>
      </c>
      <c r="N970" s="2">
        <v>29.99</v>
      </c>
      <c r="O970" s="2">
        <v>3.0</v>
      </c>
      <c r="P970" s="2">
        <v>2.0</v>
      </c>
      <c r="Q970" s="2" t="s">
        <v>1664</v>
      </c>
      <c r="R970" s="2" t="s">
        <v>24</v>
      </c>
      <c r="S970" s="2" t="b">
        <f>COUNTIF('Marcas Target'!A:A,dados!$E970)&gt;0</f>
        <v>0</v>
      </c>
    </row>
    <row r="971" ht="15.75" customHeight="1">
      <c r="A971" s="2" t="s">
        <v>1665</v>
      </c>
      <c r="B971" s="2" t="s">
        <v>1666</v>
      </c>
      <c r="C971" s="2" t="s">
        <v>24</v>
      </c>
      <c r="D971" s="2" t="s">
        <v>24</v>
      </c>
      <c r="E971" s="2" t="s">
        <v>336</v>
      </c>
      <c r="F971" s="2" t="s">
        <v>24</v>
      </c>
      <c r="G971" s="2" t="s">
        <v>24</v>
      </c>
      <c r="H971" s="2" t="s">
        <v>1667</v>
      </c>
      <c r="I971" s="2" t="s">
        <v>1665</v>
      </c>
      <c r="J971" s="2" t="s">
        <v>26</v>
      </c>
      <c r="K971" s="2" t="s">
        <v>1668</v>
      </c>
      <c r="L971" s="3">
        <v>46089.0</v>
      </c>
      <c r="M971" s="2" t="s">
        <v>24</v>
      </c>
      <c r="N971" s="2" t="s">
        <v>24</v>
      </c>
      <c r="O971" s="2">
        <v>22.0</v>
      </c>
      <c r="P971" s="2">
        <v>0.0</v>
      </c>
      <c r="Q971" s="2" t="s">
        <v>1669</v>
      </c>
      <c r="R971" s="2" t="s">
        <v>24</v>
      </c>
      <c r="S971" s="2" t="b">
        <f>COUNTIF('Marcas Target'!A:A,dados!$E971)&gt;0</f>
        <v>0</v>
      </c>
    </row>
    <row r="972" ht="15.75" customHeight="1">
      <c r="A972" s="2" t="s">
        <v>1665</v>
      </c>
      <c r="B972" s="2" t="s">
        <v>1666</v>
      </c>
      <c r="C972" s="2" t="s">
        <v>24</v>
      </c>
      <c r="D972" s="2" t="s">
        <v>24</v>
      </c>
      <c r="E972" s="2" t="s">
        <v>336</v>
      </c>
      <c r="F972" s="2" t="s">
        <v>24</v>
      </c>
      <c r="G972" s="2" t="s">
        <v>24</v>
      </c>
      <c r="H972" s="2" t="s">
        <v>1667</v>
      </c>
      <c r="I972" s="2" t="s">
        <v>1665</v>
      </c>
      <c r="J972" s="2" t="s">
        <v>26</v>
      </c>
      <c r="K972" s="2" t="s">
        <v>1668</v>
      </c>
      <c r="L972" s="3">
        <v>46088.0</v>
      </c>
      <c r="M972" s="2" t="s">
        <v>24</v>
      </c>
      <c r="N972" s="2" t="s">
        <v>24</v>
      </c>
      <c r="O972" s="2">
        <v>24.0</v>
      </c>
      <c r="P972" s="2">
        <v>0.0</v>
      </c>
      <c r="Q972" s="2" t="s">
        <v>1669</v>
      </c>
      <c r="R972" s="2" t="s">
        <v>24</v>
      </c>
      <c r="S972" s="2" t="b">
        <f>COUNTIF('Marcas Target'!A:A,dados!$E972)&gt;0</f>
        <v>0</v>
      </c>
    </row>
    <row r="973" ht="15.75" customHeight="1">
      <c r="A973" s="2" t="s">
        <v>1665</v>
      </c>
      <c r="B973" s="2" t="s">
        <v>1666</v>
      </c>
      <c r="C973" s="2" t="s">
        <v>24</v>
      </c>
      <c r="D973" s="2" t="s">
        <v>24</v>
      </c>
      <c r="E973" s="2" t="s">
        <v>336</v>
      </c>
      <c r="F973" s="2" t="s">
        <v>24</v>
      </c>
      <c r="G973" s="2" t="s">
        <v>24</v>
      </c>
      <c r="H973" s="2" t="s">
        <v>1667</v>
      </c>
      <c r="I973" s="2" t="s">
        <v>1665</v>
      </c>
      <c r="J973" s="2" t="s">
        <v>26</v>
      </c>
      <c r="K973" s="2" t="s">
        <v>1668</v>
      </c>
      <c r="L973" s="3">
        <v>46087.0</v>
      </c>
      <c r="M973" s="2" t="s">
        <v>24</v>
      </c>
      <c r="N973" s="2" t="s">
        <v>24</v>
      </c>
      <c r="O973" s="2">
        <v>3.0</v>
      </c>
      <c r="P973" s="2">
        <v>0.0</v>
      </c>
      <c r="Q973" s="2" t="s">
        <v>1669</v>
      </c>
      <c r="R973" s="2" t="s">
        <v>24</v>
      </c>
      <c r="S973" s="2" t="b">
        <f>COUNTIF('Marcas Target'!A:A,dados!$E973)&gt;0</f>
        <v>0</v>
      </c>
    </row>
    <row r="974" ht="15.75" customHeight="1">
      <c r="A974" s="2" t="s">
        <v>1670</v>
      </c>
      <c r="B974" s="2" t="s">
        <v>1671</v>
      </c>
      <c r="C974" s="2" t="s">
        <v>24</v>
      </c>
      <c r="D974" s="2" t="s">
        <v>24</v>
      </c>
      <c r="E974" s="2" t="s">
        <v>227</v>
      </c>
      <c r="F974" s="2" t="s">
        <v>24</v>
      </c>
      <c r="G974" s="2" t="s">
        <v>24</v>
      </c>
      <c r="H974" s="2" t="s">
        <v>1672</v>
      </c>
      <c r="I974" s="2" t="s">
        <v>1670</v>
      </c>
      <c r="J974" s="2" t="s">
        <v>26</v>
      </c>
      <c r="K974" s="2" t="s">
        <v>1673</v>
      </c>
      <c r="L974" s="3">
        <v>46089.0</v>
      </c>
      <c r="M974" s="2">
        <v>23.99</v>
      </c>
      <c r="N974" s="2">
        <v>23.99</v>
      </c>
      <c r="O974" s="2">
        <v>22.0</v>
      </c>
      <c r="P974" s="2">
        <v>20.0</v>
      </c>
      <c r="Q974" s="2" t="s">
        <v>1674</v>
      </c>
      <c r="R974" s="2" t="s">
        <v>24</v>
      </c>
      <c r="S974" s="2" t="b">
        <f>COUNTIF('Marcas Target'!A:A,dados!$E974)&gt;0</f>
        <v>0</v>
      </c>
    </row>
    <row r="975" ht="15.75" customHeight="1">
      <c r="A975" s="2" t="s">
        <v>1670</v>
      </c>
      <c r="B975" s="2" t="s">
        <v>1671</v>
      </c>
      <c r="C975" s="2" t="s">
        <v>24</v>
      </c>
      <c r="D975" s="2" t="s">
        <v>24</v>
      </c>
      <c r="E975" s="2" t="s">
        <v>227</v>
      </c>
      <c r="F975" s="2" t="s">
        <v>24</v>
      </c>
      <c r="G975" s="2" t="s">
        <v>24</v>
      </c>
      <c r="H975" s="2" t="s">
        <v>1672</v>
      </c>
      <c r="I975" s="2" t="s">
        <v>1670</v>
      </c>
      <c r="J975" s="2" t="s">
        <v>26</v>
      </c>
      <c r="K975" s="2" t="s">
        <v>1673</v>
      </c>
      <c r="L975" s="3">
        <v>46088.0</v>
      </c>
      <c r="M975" s="2">
        <v>23.99</v>
      </c>
      <c r="N975" s="2">
        <v>23.99</v>
      </c>
      <c r="O975" s="2">
        <v>24.0</v>
      </c>
      <c r="P975" s="2">
        <v>24.0</v>
      </c>
      <c r="Q975" s="2" t="s">
        <v>1674</v>
      </c>
      <c r="R975" s="2" t="s">
        <v>24</v>
      </c>
      <c r="S975" s="2" t="b">
        <f>COUNTIF('Marcas Target'!A:A,dados!$E975)&gt;0</f>
        <v>0</v>
      </c>
    </row>
    <row r="976" ht="15.75" customHeight="1">
      <c r="A976" s="2" t="s">
        <v>1670</v>
      </c>
      <c r="B976" s="2" t="s">
        <v>1671</v>
      </c>
      <c r="C976" s="2" t="s">
        <v>24</v>
      </c>
      <c r="D976" s="2" t="s">
        <v>24</v>
      </c>
      <c r="E976" s="2" t="s">
        <v>227</v>
      </c>
      <c r="F976" s="2" t="s">
        <v>24</v>
      </c>
      <c r="G976" s="2" t="s">
        <v>24</v>
      </c>
      <c r="H976" s="2" t="s">
        <v>1672</v>
      </c>
      <c r="I976" s="2" t="s">
        <v>1670</v>
      </c>
      <c r="J976" s="2" t="s">
        <v>26</v>
      </c>
      <c r="K976" s="2" t="s">
        <v>1673</v>
      </c>
      <c r="L976" s="3">
        <v>46087.0</v>
      </c>
      <c r="M976" s="2">
        <v>23.99</v>
      </c>
      <c r="N976" s="2">
        <v>23.99</v>
      </c>
      <c r="O976" s="2">
        <v>3.0</v>
      </c>
      <c r="P976" s="2">
        <v>3.0</v>
      </c>
      <c r="Q976" s="2" t="s">
        <v>1674</v>
      </c>
      <c r="R976" s="2" t="s">
        <v>24</v>
      </c>
      <c r="S976" s="2" t="b">
        <f>COUNTIF('Marcas Target'!A:A,dados!$E976)&gt;0</f>
        <v>0</v>
      </c>
    </row>
    <row r="977" ht="15.75" customHeight="1">
      <c r="A977" s="2" t="s">
        <v>1675</v>
      </c>
      <c r="B977" s="2" t="s">
        <v>502</v>
      </c>
      <c r="C977" s="2" t="s">
        <v>24</v>
      </c>
      <c r="D977" s="2" t="s">
        <v>24</v>
      </c>
      <c r="E977" s="2" t="s">
        <v>482</v>
      </c>
      <c r="F977" s="2" t="s">
        <v>24</v>
      </c>
      <c r="G977" s="2" t="s">
        <v>24</v>
      </c>
      <c r="H977" s="2" t="s">
        <v>1676</v>
      </c>
      <c r="I977" s="2" t="s">
        <v>1675</v>
      </c>
      <c r="J977" s="2" t="s">
        <v>26</v>
      </c>
      <c r="K977" s="2" t="s">
        <v>1677</v>
      </c>
      <c r="L977" s="3">
        <v>46089.0</v>
      </c>
      <c r="M977" s="2" t="s">
        <v>24</v>
      </c>
      <c r="N977" s="2" t="s">
        <v>24</v>
      </c>
      <c r="O977" s="2">
        <v>22.0</v>
      </c>
      <c r="P977" s="2">
        <v>0.0</v>
      </c>
      <c r="Q977" s="2" t="s">
        <v>1678</v>
      </c>
      <c r="R977" s="2" t="s">
        <v>24</v>
      </c>
      <c r="S977" s="2" t="b">
        <f>COUNTIF('Marcas Target'!A:A,dados!$E977)&gt;0</f>
        <v>0</v>
      </c>
    </row>
    <row r="978" ht="15.75" customHeight="1">
      <c r="A978" s="2" t="s">
        <v>1675</v>
      </c>
      <c r="B978" s="2" t="s">
        <v>502</v>
      </c>
      <c r="C978" s="2" t="s">
        <v>24</v>
      </c>
      <c r="D978" s="2" t="s">
        <v>24</v>
      </c>
      <c r="E978" s="2" t="s">
        <v>482</v>
      </c>
      <c r="F978" s="2" t="s">
        <v>24</v>
      </c>
      <c r="G978" s="2" t="s">
        <v>24</v>
      </c>
      <c r="H978" s="2" t="s">
        <v>1676</v>
      </c>
      <c r="I978" s="2" t="s">
        <v>1675</v>
      </c>
      <c r="J978" s="2" t="s">
        <v>26</v>
      </c>
      <c r="K978" s="2" t="s">
        <v>1677</v>
      </c>
      <c r="L978" s="3">
        <v>46088.0</v>
      </c>
      <c r="M978" s="2" t="s">
        <v>24</v>
      </c>
      <c r="N978" s="2" t="s">
        <v>24</v>
      </c>
      <c r="O978" s="2">
        <v>24.0</v>
      </c>
      <c r="P978" s="2">
        <v>0.0</v>
      </c>
      <c r="Q978" s="2" t="s">
        <v>1678</v>
      </c>
      <c r="R978" s="2" t="s">
        <v>24</v>
      </c>
      <c r="S978" s="2" t="b">
        <f>COUNTIF('Marcas Target'!A:A,dados!$E978)&gt;0</f>
        <v>0</v>
      </c>
    </row>
    <row r="979" ht="15.75" customHeight="1">
      <c r="A979" s="2" t="s">
        <v>1675</v>
      </c>
      <c r="B979" s="2" t="s">
        <v>502</v>
      </c>
      <c r="C979" s="2" t="s">
        <v>24</v>
      </c>
      <c r="D979" s="2" t="s">
        <v>24</v>
      </c>
      <c r="E979" s="2" t="s">
        <v>482</v>
      </c>
      <c r="F979" s="2" t="s">
        <v>24</v>
      </c>
      <c r="G979" s="2" t="s">
        <v>24</v>
      </c>
      <c r="H979" s="2" t="s">
        <v>1676</v>
      </c>
      <c r="I979" s="2" t="s">
        <v>1675</v>
      </c>
      <c r="J979" s="2" t="s">
        <v>26</v>
      </c>
      <c r="K979" s="2" t="s">
        <v>1677</v>
      </c>
      <c r="L979" s="3">
        <v>46087.0</v>
      </c>
      <c r="M979" s="2" t="s">
        <v>24</v>
      </c>
      <c r="N979" s="2" t="s">
        <v>24</v>
      </c>
      <c r="O979" s="2">
        <v>3.0</v>
      </c>
      <c r="P979" s="2">
        <v>0.0</v>
      </c>
      <c r="Q979" s="2" t="s">
        <v>1678</v>
      </c>
      <c r="R979" s="2" t="s">
        <v>24</v>
      </c>
      <c r="S979" s="2" t="b">
        <f>COUNTIF('Marcas Target'!A:A,dados!$E979)&gt;0</f>
        <v>0</v>
      </c>
    </row>
    <row r="980" ht="15.75" customHeight="1">
      <c r="A980" s="2" t="s">
        <v>1679</v>
      </c>
      <c r="B980" s="2" t="s">
        <v>1680</v>
      </c>
      <c r="C980" s="2" t="s">
        <v>24</v>
      </c>
      <c r="D980" s="2" t="s">
        <v>24</v>
      </c>
      <c r="E980" s="2" t="s">
        <v>425</v>
      </c>
      <c r="F980" s="2" t="s">
        <v>24</v>
      </c>
      <c r="G980" s="2" t="s">
        <v>24</v>
      </c>
      <c r="H980" s="2" t="s">
        <v>1681</v>
      </c>
      <c r="I980" s="2" t="s">
        <v>1679</v>
      </c>
      <c r="J980" s="2" t="s">
        <v>26</v>
      </c>
      <c r="K980" s="2" t="s">
        <v>1682</v>
      </c>
      <c r="L980" s="3">
        <v>46089.0</v>
      </c>
      <c r="M980" s="2">
        <v>18.49</v>
      </c>
      <c r="N980" s="2">
        <v>18.49</v>
      </c>
      <c r="O980" s="2">
        <v>22.0</v>
      </c>
      <c r="P980" s="2">
        <v>21.0</v>
      </c>
      <c r="Q980" s="2" t="s">
        <v>1683</v>
      </c>
      <c r="R980" s="2" t="s">
        <v>24</v>
      </c>
      <c r="S980" s="2" t="b">
        <f>COUNTIF('Marcas Target'!A:A,dados!$E980)&gt;0</f>
        <v>0</v>
      </c>
    </row>
    <row r="981" ht="15.75" customHeight="1">
      <c r="A981" s="2" t="s">
        <v>1679</v>
      </c>
      <c r="B981" s="2" t="s">
        <v>1680</v>
      </c>
      <c r="C981" s="2" t="s">
        <v>24</v>
      </c>
      <c r="D981" s="2" t="s">
        <v>24</v>
      </c>
      <c r="E981" s="2" t="s">
        <v>425</v>
      </c>
      <c r="F981" s="2" t="s">
        <v>24</v>
      </c>
      <c r="G981" s="2" t="s">
        <v>24</v>
      </c>
      <c r="H981" s="2" t="s">
        <v>1681</v>
      </c>
      <c r="I981" s="2" t="s">
        <v>1679</v>
      </c>
      <c r="J981" s="2" t="s">
        <v>26</v>
      </c>
      <c r="K981" s="2" t="s">
        <v>1682</v>
      </c>
      <c r="L981" s="3">
        <v>46088.0</v>
      </c>
      <c r="M981" s="2">
        <v>18.49</v>
      </c>
      <c r="N981" s="2">
        <v>18.49</v>
      </c>
      <c r="O981" s="2">
        <v>24.0</v>
      </c>
      <c r="P981" s="2">
        <v>22.0</v>
      </c>
      <c r="Q981" s="2" t="s">
        <v>1683</v>
      </c>
      <c r="R981" s="2" t="s">
        <v>24</v>
      </c>
      <c r="S981" s="2" t="b">
        <f>COUNTIF('Marcas Target'!A:A,dados!$E981)&gt;0</f>
        <v>0</v>
      </c>
    </row>
    <row r="982" ht="15.75" customHeight="1">
      <c r="A982" s="2" t="s">
        <v>1679</v>
      </c>
      <c r="B982" s="2" t="s">
        <v>1680</v>
      </c>
      <c r="C982" s="2" t="s">
        <v>24</v>
      </c>
      <c r="D982" s="2" t="s">
        <v>24</v>
      </c>
      <c r="E982" s="2" t="s">
        <v>425</v>
      </c>
      <c r="F982" s="2" t="s">
        <v>24</v>
      </c>
      <c r="G982" s="2" t="s">
        <v>24</v>
      </c>
      <c r="H982" s="2" t="s">
        <v>1681</v>
      </c>
      <c r="I982" s="2" t="s">
        <v>1679</v>
      </c>
      <c r="J982" s="2" t="s">
        <v>26</v>
      </c>
      <c r="K982" s="2" t="s">
        <v>1682</v>
      </c>
      <c r="L982" s="3">
        <v>46087.0</v>
      </c>
      <c r="M982" s="2">
        <v>18.49</v>
      </c>
      <c r="N982" s="2">
        <v>18.49</v>
      </c>
      <c r="O982" s="2">
        <v>3.0</v>
      </c>
      <c r="P982" s="2">
        <v>2.0</v>
      </c>
      <c r="Q982" s="2" t="s">
        <v>1683</v>
      </c>
      <c r="R982" s="2" t="s">
        <v>24</v>
      </c>
      <c r="S982" s="2" t="b">
        <f>COUNTIF('Marcas Target'!A:A,dados!$E982)&gt;0</f>
        <v>0</v>
      </c>
    </row>
    <row r="983" ht="15.75" customHeight="1">
      <c r="A983" s="2" t="s">
        <v>1684</v>
      </c>
      <c r="B983" s="2" t="s">
        <v>1685</v>
      </c>
      <c r="C983" s="2" t="s">
        <v>24</v>
      </c>
      <c r="D983" s="2" t="s">
        <v>24</v>
      </c>
      <c r="E983" s="2" t="s">
        <v>128</v>
      </c>
      <c r="F983" s="2" t="s">
        <v>24</v>
      </c>
      <c r="G983" s="2" t="s">
        <v>24</v>
      </c>
      <c r="H983" s="2" t="s">
        <v>1686</v>
      </c>
      <c r="I983" s="2" t="s">
        <v>1684</v>
      </c>
      <c r="J983" s="2" t="s">
        <v>26</v>
      </c>
      <c r="K983" s="2" t="s">
        <v>1687</v>
      </c>
      <c r="L983" s="3">
        <v>46089.0</v>
      </c>
      <c r="M983" s="2">
        <v>21.44</v>
      </c>
      <c r="N983" s="2">
        <v>21.44</v>
      </c>
      <c r="O983" s="2">
        <v>22.0</v>
      </c>
      <c r="P983" s="2">
        <v>1.0</v>
      </c>
      <c r="Q983" s="2" t="s">
        <v>1688</v>
      </c>
      <c r="R983" s="2" t="s">
        <v>24</v>
      </c>
      <c r="S983" s="2" t="b">
        <f>COUNTIF('Marcas Target'!A:A,dados!$E983)&gt;0</f>
        <v>1</v>
      </c>
    </row>
    <row r="984" ht="15.75" customHeight="1">
      <c r="A984" s="2" t="s">
        <v>1684</v>
      </c>
      <c r="B984" s="2" t="s">
        <v>1685</v>
      </c>
      <c r="C984" s="2" t="s">
        <v>24</v>
      </c>
      <c r="D984" s="2" t="s">
        <v>24</v>
      </c>
      <c r="E984" s="2" t="s">
        <v>128</v>
      </c>
      <c r="F984" s="2" t="s">
        <v>24</v>
      </c>
      <c r="G984" s="2" t="s">
        <v>24</v>
      </c>
      <c r="H984" s="2" t="s">
        <v>1686</v>
      </c>
      <c r="I984" s="2" t="s">
        <v>1684</v>
      </c>
      <c r="J984" s="2" t="s">
        <v>26</v>
      </c>
      <c r="K984" s="2" t="s">
        <v>1687</v>
      </c>
      <c r="L984" s="3">
        <v>46088.0</v>
      </c>
      <c r="M984" s="2">
        <v>32.99</v>
      </c>
      <c r="N984" s="2">
        <v>32.99</v>
      </c>
      <c r="O984" s="2">
        <v>24.0</v>
      </c>
      <c r="P984" s="2">
        <v>15.0</v>
      </c>
      <c r="Q984" s="2" t="s">
        <v>1688</v>
      </c>
      <c r="R984" s="2" t="s">
        <v>24</v>
      </c>
      <c r="S984" s="2" t="b">
        <f>COUNTIF('Marcas Target'!A:A,dados!$E984)&gt;0</f>
        <v>1</v>
      </c>
    </row>
    <row r="985" ht="15.75" customHeight="1">
      <c r="A985" s="2" t="s">
        <v>1684</v>
      </c>
      <c r="B985" s="2" t="s">
        <v>1685</v>
      </c>
      <c r="C985" s="2" t="s">
        <v>24</v>
      </c>
      <c r="D985" s="2" t="s">
        <v>24</v>
      </c>
      <c r="E985" s="2" t="s">
        <v>128</v>
      </c>
      <c r="F985" s="2" t="s">
        <v>24</v>
      </c>
      <c r="G985" s="2" t="s">
        <v>24</v>
      </c>
      <c r="H985" s="2" t="s">
        <v>1686</v>
      </c>
      <c r="I985" s="2" t="s">
        <v>1684</v>
      </c>
      <c r="J985" s="2" t="s">
        <v>26</v>
      </c>
      <c r="K985" s="2" t="s">
        <v>1687</v>
      </c>
      <c r="L985" s="3">
        <v>46087.0</v>
      </c>
      <c r="M985" s="2" t="s">
        <v>24</v>
      </c>
      <c r="N985" s="2" t="s">
        <v>24</v>
      </c>
      <c r="O985" s="2">
        <v>3.0</v>
      </c>
      <c r="P985" s="2">
        <v>0.0</v>
      </c>
      <c r="Q985" s="2" t="s">
        <v>1688</v>
      </c>
      <c r="R985" s="2" t="s">
        <v>24</v>
      </c>
      <c r="S985" s="2" t="b">
        <f>COUNTIF('Marcas Target'!A:A,dados!$E985)&gt;0</f>
        <v>1</v>
      </c>
    </row>
    <row r="986" ht="15.75" customHeight="1">
      <c r="A986" s="2" t="s">
        <v>1689</v>
      </c>
      <c r="B986" s="2" t="s">
        <v>1690</v>
      </c>
      <c r="C986" s="2" t="s">
        <v>24</v>
      </c>
      <c r="D986" s="2" t="s">
        <v>24</v>
      </c>
      <c r="E986" s="2" t="s">
        <v>1691</v>
      </c>
      <c r="F986" s="2" t="s">
        <v>24</v>
      </c>
      <c r="G986" s="2" t="s">
        <v>24</v>
      </c>
      <c r="H986" s="2" t="s">
        <v>1692</v>
      </c>
      <c r="I986" s="2" t="s">
        <v>1689</v>
      </c>
      <c r="J986" s="2" t="s">
        <v>26</v>
      </c>
      <c r="K986" s="2" t="s">
        <v>1693</v>
      </c>
      <c r="L986" s="3">
        <v>46089.0</v>
      </c>
      <c r="M986" s="2">
        <v>30.99</v>
      </c>
      <c r="N986" s="2">
        <v>30.99</v>
      </c>
      <c r="O986" s="2">
        <v>22.0</v>
      </c>
      <c r="P986" s="2">
        <v>22.0</v>
      </c>
      <c r="Q986" s="2" t="s">
        <v>1694</v>
      </c>
      <c r="R986" s="2" t="s">
        <v>24</v>
      </c>
      <c r="S986" s="2" t="b">
        <f>COUNTIF('Marcas Target'!A:A,dados!$E986)&gt;0</f>
        <v>0</v>
      </c>
    </row>
    <row r="987" ht="15.75" customHeight="1">
      <c r="A987" s="2" t="s">
        <v>1689</v>
      </c>
      <c r="B987" s="2" t="s">
        <v>1690</v>
      </c>
      <c r="C987" s="2" t="s">
        <v>24</v>
      </c>
      <c r="D987" s="2" t="s">
        <v>24</v>
      </c>
      <c r="E987" s="2" t="s">
        <v>1691</v>
      </c>
      <c r="F987" s="2" t="s">
        <v>24</v>
      </c>
      <c r="G987" s="2" t="s">
        <v>24</v>
      </c>
      <c r="H987" s="2" t="s">
        <v>1692</v>
      </c>
      <c r="I987" s="2" t="s">
        <v>1689</v>
      </c>
      <c r="J987" s="2" t="s">
        <v>26</v>
      </c>
      <c r="K987" s="2" t="s">
        <v>1693</v>
      </c>
      <c r="L987" s="3">
        <v>46088.0</v>
      </c>
      <c r="M987" s="2">
        <v>30.99</v>
      </c>
      <c r="N987" s="2">
        <v>30.99</v>
      </c>
      <c r="O987" s="2">
        <v>24.0</v>
      </c>
      <c r="P987" s="2">
        <v>24.0</v>
      </c>
      <c r="Q987" s="2" t="s">
        <v>1694</v>
      </c>
      <c r="R987" s="2" t="s">
        <v>24</v>
      </c>
      <c r="S987" s="2" t="b">
        <f>COUNTIF('Marcas Target'!A:A,dados!$E987)&gt;0</f>
        <v>0</v>
      </c>
    </row>
    <row r="988" ht="15.75" customHeight="1">
      <c r="A988" s="2" t="s">
        <v>1689</v>
      </c>
      <c r="B988" s="2" t="s">
        <v>1690</v>
      </c>
      <c r="C988" s="2" t="s">
        <v>24</v>
      </c>
      <c r="D988" s="2" t="s">
        <v>24</v>
      </c>
      <c r="E988" s="2" t="s">
        <v>1691</v>
      </c>
      <c r="F988" s="2" t="s">
        <v>24</v>
      </c>
      <c r="G988" s="2" t="s">
        <v>24</v>
      </c>
      <c r="H988" s="2" t="s">
        <v>1692</v>
      </c>
      <c r="I988" s="2" t="s">
        <v>1689</v>
      </c>
      <c r="J988" s="2" t="s">
        <v>26</v>
      </c>
      <c r="K988" s="2" t="s">
        <v>1693</v>
      </c>
      <c r="L988" s="3">
        <v>46087.0</v>
      </c>
      <c r="M988" s="2">
        <v>30.99</v>
      </c>
      <c r="N988" s="2">
        <v>30.99</v>
      </c>
      <c r="O988" s="2">
        <v>3.0</v>
      </c>
      <c r="P988" s="2">
        <v>3.0</v>
      </c>
      <c r="Q988" s="2" t="s">
        <v>1694</v>
      </c>
      <c r="R988" s="2" t="s">
        <v>24</v>
      </c>
      <c r="S988" s="2" t="b">
        <f>COUNTIF('Marcas Target'!A:A,dados!$E988)&gt;0</f>
        <v>0</v>
      </c>
    </row>
    <row r="989" ht="15.75" customHeight="1">
      <c r="A989" s="2" t="s">
        <v>1695</v>
      </c>
      <c r="B989" s="2" t="s">
        <v>1696</v>
      </c>
      <c r="C989" s="2" t="s">
        <v>24</v>
      </c>
      <c r="D989" s="2" t="s">
        <v>24</v>
      </c>
      <c r="E989" s="2" t="s">
        <v>1240</v>
      </c>
      <c r="F989" s="2" t="s">
        <v>24</v>
      </c>
      <c r="G989" s="2" t="s">
        <v>24</v>
      </c>
      <c r="H989" s="2" t="s">
        <v>1697</v>
      </c>
      <c r="I989" s="2" t="s">
        <v>1695</v>
      </c>
      <c r="J989" s="2" t="s">
        <v>26</v>
      </c>
      <c r="K989" s="2" t="s">
        <v>1698</v>
      </c>
      <c r="L989" s="3">
        <v>46089.0</v>
      </c>
      <c r="M989" s="2">
        <v>9.99</v>
      </c>
      <c r="N989" s="2">
        <v>9.99</v>
      </c>
      <c r="O989" s="2">
        <v>22.0</v>
      </c>
      <c r="P989" s="2">
        <v>1.0</v>
      </c>
      <c r="Q989" s="2" t="s">
        <v>1699</v>
      </c>
      <c r="R989" s="2" t="s">
        <v>24</v>
      </c>
      <c r="S989" s="2" t="b">
        <f>COUNTIF('Marcas Target'!A:A,dados!$E989)&gt;0</f>
        <v>0</v>
      </c>
    </row>
    <row r="990" ht="15.75" customHeight="1">
      <c r="A990" s="2" t="s">
        <v>1695</v>
      </c>
      <c r="B990" s="2" t="s">
        <v>1696</v>
      </c>
      <c r="C990" s="2" t="s">
        <v>24</v>
      </c>
      <c r="D990" s="2" t="s">
        <v>24</v>
      </c>
      <c r="E990" s="2" t="s">
        <v>1240</v>
      </c>
      <c r="F990" s="2" t="s">
        <v>24</v>
      </c>
      <c r="G990" s="2" t="s">
        <v>24</v>
      </c>
      <c r="H990" s="2" t="s">
        <v>1697</v>
      </c>
      <c r="I990" s="2" t="s">
        <v>1695</v>
      </c>
      <c r="J990" s="2" t="s">
        <v>26</v>
      </c>
      <c r="K990" s="2" t="s">
        <v>1698</v>
      </c>
      <c r="L990" s="3">
        <v>46088.0</v>
      </c>
      <c r="M990" s="2" t="s">
        <v>24</v>
      </c>
      <c r="N990" s="2" t="s">
        <v>24</v>
      </c>
      <c r="O990" s="2">
        <v>24.0</v>
      </c>
      <c r="P990" s="2">
        <v>0.0</v>
      </c>
      <c r="Q990" s="2" t="s">
        <v>1699</v>
      </c>
      <c r="R990" s="2" t="s">
        <v>24</v>
      </c>
      <c r="S990" s="2" t="b">
        <f>COUNTIF('Marcas Target'!A:A,dados!$E990)&gt;0</f>
        <v>0</v>
      </c>
    </row>
    <row r="991" ht="15.75" customHeight="1">
      <c r="A991" s="2" t="s">
        <v>1695</v>
      </c>
      <c r="B991" s="2" t="s">
        <v>1696</v>
      </c>
      <c r="C991" s="2" t="s">
        <v>24</v>
      </c>
      <c r="D991" s="2" t="s">
        <v>24</v>
      </c>
      <c r="E991" s="2" t="s">
        <v>1240</v>
      </c>
      <c r="F991" s="2" t="s">
        <v>24</v>
      </c>
      <c r="G991" s="2" t="s">
        <v>24</v>
      </c>
      <c r="H991" s="2" t="s">
        <v>1697</v>
      </c>
      <c r="I991" s="2" t="s">
        <v>1695</v>
      </c>
      <c r="J991" s="2" t="s">
        <v>26</v>
      </c>
      <c r="K991" s="2" t="s">
        <v>1698</v>
      </c>
      <c r="L991" s="3">
        <v>46087.0</v>
      </c>
      <c r="M991" s="2" t="s">
        <v>24</v>
      </c>
      <c r="N991" s="2" t="s">
        <v>24</v>
      </c>
      <c r="O991" s="2">
        <v>3.0</v>
      </c>
      <c r="P991" s="2">
        <v>0.0</v>
      </c>
      <c r="Q991" s="2" t="s">
        <v>1699</v>
      </c>
      <c r="R991" s="2" t="s">
        <v>24</v>
      </c>
      <c r="S991" s="2" t="b">
        <f>COUNTIF('Marcas Target'!A:A,dados!$E991)&gt;0</f>
        <v>0</v>
      </c>
    </row>
    <row r="992" ht="15.75" customHeight="1">
      <c r="A992" s="2" t="s">
        <v>1700</v>
      </c>
      <c r="B992" s="2" t="s">
        <v>1701</v>
      </c>
      <c r="C992" s="2" t="s">
        <v>24</v>
      </c>
      <c r="D992" s="2" t="s">
        <v>24</v>
      </c>
      <c r="E992" s="2" t="s">
        <v>23</v>
      </c>
      <c r="F992" s="2" t="s">
        <v>24</v>
      </c>
      <c r="G992" s="2" t="s">
        <v>24</v>
      </c>
      <c r="H992" s="2" t="s">
        <v>1702</v>
      </c>
      <c r="I992" s="2" t="s">
        <v>1700</v>
      </c>
      <c r="J992" s="2" t="s">
        <v>26</v>
      </c>
      <c r="K992" s="2" t="s">
        <v>1703</v>
      </c>
      <c r="L992" s="3">
        <v>46089.0</v>
      </c>
      <c r="M992" s="2" t="s">
        <v>24</v>
      </c>
      <c r="N992" s="2" t="s">
        <v>24</v>
      </c>
      <c r="O992" s="2">
        <v>23.0</v>
      </c>
      <c r="P992" s="2">
        <v>0.0</v>
      </c>
      <c r="Q992" s="2" t="s">
        <v>1704</v>
      </c>
      <c r="R992" s="2" t="s">
        <v>24</v>
      </c>
      <c r="S992" s="2" t="b">
        <f>COUNTIF('Marcas Target'!A:A,dados!$E992)&gt;0</f>
        <v>0</v>
      </c>
    </row>
    <row r="993" ht="15.75" customHeight="1">
      <c r="A993" s="2" t="s">
        <v>1700</v>
      </c>
      <c r="B993" s="2" t="s">
        <v>1701</v>
      </c>
      <c r="C993" s="2" t="s">
        <v>24</v>
      </c>
      <c r="D993" s="2" t="s">
        <v>24</v>
      </c>
      <c r="E993" s="2" t="s">
        <v>23</v>
      </c>
      <c r="F993" s="2" t="s">
        <v>24</v>
      </c>
      <c r="G993" s="2" t="s">
        <v>24</v>
      </c>
      <c r="H993" s="2" t="s">
        <v>1702</v>
      </c>
      <c r="I993" s="2" t="s">
        <v>1700</v>
      </c>
      <c r="J993" s="2" t="s">
        <v>26</v>
      </c>
      <c r="K993" s="2" t="s">
        <v>1703</v>
      </c>
      <c r="L993" s="3">
        <v>46088.0</v>
      </c>
      <c r="M993" s="2" t="s">
        <v>24</v>
      </c>
      <c r="N993" s="2" t="s">
        <v>24</v>
      </c>
      <c r="O993" s="2">
        <v>24.0</v>
      </c>
      <c r="P993" s="2">
        <v>0.0</v>
      </c>
      <c r="Q993" s="2" t="s">
        <v>1704</v>
      </c>
      <c r="R993" s="2" t="s">
        <v>24</v>
      </c>
      <c r="S993" s="2" t="b">
        <f>COUNTIF('Marcas Target'!A:A,dados!$E993)&gt;0</f>
        <v>0</v>
      </c>
    </row>
    <row r="994" ht="15.75" customHeight="1">
      <c r="A994" s="2" t="s">
        <v>1700</v>
      </c>
      <c r="B994" s="2" t="s">
        <v>1701</v>
      </c>
      <c r="C994" s="2" t="s">
        <v>24</v>
      </c>
      <c r="D994" s="2" t="s">
        <v>24</v>
      </c>
      <c r="E994" s="2" t="s">
        <v>23</v>
      </c>
      <c r="F994" s="2" t="s">
        <v>24</v>
      </c>
      <c r="G994" s="2" t="s">
        <v>24</v>
      </c>
      <c r="H994" s="2" t="s">
        <v>1702</v>
      </c>
      <c r="I994" s="2" t="s">
        <v>1700</v>
      </c>
      <c r="J994" s="2" t="s">
        <v>26</v>
      </c>
      <c r="K994" s="2" t="s">
        <v>1703</v>
      </c>
      <c r="L994" s="3">
        <v>46087.0</v>
      </c>
      <c r="M994" s="2" t="s">
        <v>24</v>
      </c>
      <c r="N994" s="2" t="s">
        <v>24</v>
      </c>
      <c r="O994" s="2">
        <v>3.0</v>
      </c>
      <c r="P994" s="2">
        <v>0.0</v>
      </c>
      <c r="Q994" s="2" t="s">
        <v>1704</v>
      </c>
      <c r="R994" s="2" t="s">
        <v>24</v>
      </c>
      <c r="S994" s="2" t="b">
        <f>COUNTIF('Marcas Target'!A:A,dados!$E994)&gt;0</f>
        <v>0</v>
      </c>
    </row>
    <row r="995" ht="15.75" customHeight="1">
      <c r="A995" s="2" t="s">
        <v>1705</v>
      </c>
      <c r="B995" s="2" t="s">
        <v>1706</v>
      </c>
      <c r="C995" s="2" t="s">
        <v>24</v>
      </c>
      <c r="D995" s="2" t="s">
        <v>24</v>
      </c>
      <c r="E995" s="2" t="s">
        <v>425</v>
      </c>
      <c r="F995" s="2" t="s">
        <v>24</v>
      </c>
      <c r="G995" s="2" t="s">
        <v>24</v>
      </c>
      <c r="H995" s="2" t="s">
        <v>1707</v>
      </c>
      <c r="I995" s="2" t="s">
        <v>1705</v>
      </c>
      <c r="J995" s="2" t="s">
        <v>26</v>
      </c>
      <c r="K995" s="2" t="s">
        <v>1708</v>
      </c>
      <c r="L995" s="3">
        <v>46089.0</v>
      </c>
      <c r="M995" s="2">
        <v>21.99</v>
      </c>
      <c r="N995" s="2">
        <v>21.99</v>
      </c>
      <c r="O995" s="2">
        <v>22.0</v>
      </c>
      <c r="P995" s="2">
        <v>22.0</v>
      </c>
      <c r="Q995" s="2" t="s">
        <v>1709</v>
      </c>
      <c r="R995" s="2" t="s">
        <v>24</v>
      </c>
      <c r="S995" s="2" t="b">
        <f>COUNTIF('Marcas Target'!A:A,dados!$E995)&gt;0</f>
        <v>0</v>
      </c>
    </row>
    <row r="996" ht="15.75" customHeight="1">
      <c r="A996" s="2" t="s">
        <v>1705</v>
      </c>
      <c r="B996" s="2" t="s">
        <v>1706</v>
      </c>
      <c r="C996" s="2" t="s">
        <v>24</v>
      </c>
      <c r="D996" s="2" t="s">
        <v>24</v>
      </c>
      <c r="E996" s="2" t="s">
        <v>425</v>
      </c>
      <c r="F996" s="2" t="s">
        <v>24</v>
      </c>
      <c r="G996" s="2" t="s">
        <v>24</v>
      </c>
      <c r="H996" s="2" t="s">
        <v>1707</v>
      </c>
      <c r="I996" s="2" t="s">
        <v>1705</v>
      </c>
      <c r="J996" s="2" t="s">
        <v>26</v>
      </c>
      <c r="K996" s="2" t="s">
        <v>1708</v>
      </c>
      <c r="L996" s="3">
        <v>46088.0</v>
      </c>
      <c r="M996" s="2">
        <v>21.99</v>
      </c>
      <c r="N996" s="2">
        <v>21.99</v>
      </c>
      <c r="O996" s="2">
        <v>24.0</v>
      </c>
      <c r="P996" s="2">
        <v>18.0</v>
      </c>
      <c r="Q996" s="2" t="s">
        <v>1709</v>
      </c>
      <c r="R996" s="2" t="s">
        <v>24</v>
      </c>
      <c r="S996" s="2" t="b">
        <f>COUNTIF('Marcas Target'!A:A,dados!$E996)&gt;0</f>
        <v>0</v>
      </c>
    </row>
    <row r="997" ht="15.75" customHeight="1">
      <c r="A997" s="2" t="s">
        <v>1705</v>
      </c>
      <c r="B997" s="2" t="s">
        <v>1706</v>
      </c>
      <c r="C997" s="2" t="s">
        <v>24</v>
      </c>
      <c r="D997" s="2" t="s">
        <v>24</v>
      </c>
      <c r="E997" s="2" t="s">
        <v>425</v>
      </c>
      <c r="F997" s="2" t="s">
        <v>24</v>
      </c>
      <c r="G997" s="2" t="s">
        <v>24</v>
      </c>
      <c r="H997" s="2" t="s">
        <v>1707</v>
      </c>
      <c r="I997" s="2" t="s">
        <v>1705</v>
      </c>
      <c r="J997" s="2" t="s">
        <v>26</v>
      </c>
      <c r="K997" s="2" t="s">
        <v>1708</v>
      </c>
      <c r="L997" s="3">
        <v>46087.0</v>
      </c>
      <c r="M997" s="2">
        <v>21.99</v>
      </c>
      <c r="N997" s="2">
        <v>21.99</v>
      </c>
      <c r="O997" s="2">
        <v>3.0</v>
      </c>
      <c r="P997" s="2">
        <v>3.0</v>
      </c>
      <c r="Q997" s="2" t="s">
        <v>1709</v>
      </c>
      <c r="R997" s="2" t="s">
        <v>24</v>
      </c>
      <c r="S997" s="2" t="b">
        <f>COUNTIF('Marcas Target'!A:A,dados!$E997)&gt;0</f>
        <v>0</v>
      </c>
    </row>
    <row r="998" ht="15.75" customHeight="1">
      <c r="A998" s="2" t="s">
        <v>1710</v>
      </c>
      <c r="B998" s="2" t="s">
        <v>1711</v>
      </c>
      <c r="C998" s="2" t="s">
        <v>24</v>
      </c>
      <c r="D998" s="2" t="s">
        <v>24</v>
      </c>
      <c r="E998" s="2" t="s">
        <v>1412</v>
      </c>
      <c r="F998" s="2" t="s">
        <v>24</v>
      </c>
      <c r="G998" s="2" t="s">
        <v>24</v>
      </c>
      <c r="H998" s="2" t="s">
        <v>1712</v>
      </c>
      <c r="I998" s="2" t="s">
        <v>1710</v>
      </c>
      <c r="J998" s="2" t="s">
        <v>26</v>
      </c>
      <c r="K998" s="2" t="s">
        <v>1713</v>
      </c>
      <c r="L998" s="3">
        <v>46089.0</v>
      </c>
      <c r="M998" s="2">
        <v>27.49</v>
      </c>
      <c r="N998" s="2">
        <v>27.49</v>
      </c>
      <c r="O998" s="2">
        <v>22.0</v>
      </c>
      <c r="P998" s="2">
        <v>1.0</v>
      </c>
      <c r="Q998" s="2" t="s">
        <v>1714</v>
      </c>
      <c r="R998" s="2" t="s">
        <v>24</v>
      </c>
      <c r="S998" s="2" t="b">
        <f>COUNTIF('Marcas Target'!A:A,dados!$E998)&gt;0</f>
        <v>0</v>
      </c>
    </row>
    <row r="999" ht="15.75" customHeight="1">
      <c r="A999" s="2" t="s">
        <v>1710</v>
      </c>
      <c r="B999" s="2" t="s">
        <v>1711</v>
      </c>
      <c r="C999" s="2" t="s">
        <v>24</v>
      </c>
      <c r="D999" s="2" t="s">
        <v>24</v>
      </c>
      <c r="E999" s="2" t="s">
        <v>1412</v>
      </c>
      <c r="F999" s="2" t="s">
        <v>24</v>
      </c>
      <c r="G999" s="2" t="s">
        <v>24</v>
      </c>
      <c r="H999" s="2" t="s">
        <v>1712</v>
      </c>
      <c r="I999" s="2" t="s">
        <v>1710</v>
      </c>
      <c r="J999" s="2" t="s">
        <v>26</v>
      </c>
      <c r="K999" s="2" t="s">
        <v>1713</v>
      </c>
      <c r="L999" s="3">
        <v>46088.0</v>
      </c>
      <c r="M999" s="2">
        <v>33.99</v>
      </c>
      <c r="N999" s="2">
        <v>33.99</v>
      </c>
      <c r="O999" s="2">
        <v>24.0</v>
      </c>
      <c r="P999" s="2">
        <v>1.0</v>
      </c>
      <c r="Q999" s="2" t="s">
        <v>1714</v>
      </c>
      <c r="R999" s="2" t="s">
        <v>24</v>
      </c>
      <c r="S999" s="2" t="b">
        <f>COUNTIF('Marcas Target'!A:A,dados!$E999)&gt;0</f>
        <v>0</v>
      </c>
    </row>
    <row r="1000" ht="15.75" customHeight="1">
      <c r="A1000" s="2" t="s">
        <v>1710</v>
      </c>
      <c r="B1000" s="2" t="s">
        <v>1711</v>
      </c>
      <c r="C1000" s="2" t="s">
        <v>24</v>
      </c>
      <c r="D1000" s="2" t="s">
        <v>24</v>
      </c>
      <c r="E1000" s="2" t="s">
        <v>1412</v>
      </c>
      <c r="F1000" s="2" t="s">
        <v>24</v>
      </c>
      <c r="G1000" s="2" t="s">
        <v>24</v>
      </c>
      <c r="H1000" s="2" t="s">
        <v>1712</v>
      </c>
      <c r="I1000" s="2" t="s">
        <v>1710</v>
      </c>
      <c r="J1000" s="2" t="s">
        <v>26</v>
      </c>
      <c r="K1000" s="2" t="s">
        <v>1713</v>
      </c>
      <c r="L1000" s="3">
        <v>46087.0</v>
      </c>
      <c r="M1000" s="2" t="s">
        <v>24</v>
      </c>
      <c r="N1000" s="2" t="s">
        <v>24</v>
      </c>
      <c r="O1000" s="2">
        <v>3.0</v>
      </c>
      <c r="P1000" s="2">
        <v>0.0</v>
      </c>
      <c r="Q1000" s="2" t="s">
        <v>1714</v>
      </c>
      <c r="R1000" s="2" t="s">
        <v>24</v>
      </c>
      <c r="S1000" s="2" t="b">
        <f>COUNTIF('Marcas Target'!A:A,dados!$E1000)&gt;0</f>
        <v>0</v>
      </c>
    </row>
    <row r="1001" ht="15.75" customHeight="1">
      <c r="A1001" s="2" t="s">
        <v>1715</v>
      </c>
      <c r="B1001" s="2" t="s">
        <v>1716</v>
      </c>
      <c r="C1001" s="2" t="s">
        <v>24</v>
      </c>
      <c r="D1001" s="2" t="s">
        <v>24</v>
      </c>
      <c r="E1001" s="2" t="s">
        <v>23</v>
      </c>
      <c r="F1001" s="2" t="s">
        <v>24</v>
      </c>
      <c r="G1001" s="2" t="s">
        <v>24</v>
      </c>
      <c r="H1001" s="2" t="s">
        <v>1717</v>
      </c>
      <c r="I1001" s="2" t="s">
        <v>1715</v>
      </c>
      <c r="J1001" s="2" t="s">
        <v>26</v>
      </c>
      <c r="K1001" s="2" t="s">
        <v>1718</v>
      </c>
      <c r="L1001" s="3">
        <v>46089.0</v>
      </c>
      <c r="M1001" s="2">
        <v>30.99</v>
      </c>
      <c r="N1001" s="2">
        <v>30.99</v>
      </c>
      <c r="O1001" s="2">
        <v>22.0</v>
      </c>
      <c r="P1001" s="2">
        <v>5.0</v>
      </c>
      <c r="Q1001" s="2" t="s">
        <v>1719</v>
      </c>
      <c r="R1001" s="2" t="s">
        <v>24</v>
      </c>
      <c r="S1001" s="2" t="b">
        <f>COUNTIF('Marcas Target'!A:A,dados!$E1001)&gt;0</f>
        <v>0</v>
      </c>
    </row>
    <row r="1002" ht="15.75" customHeight="1">
      <c r="A1002" s="2" t="s">
        <v>1715</v>
      </c>
      <c r="B1002" s="2" t="s">
        <v>1716</v>
      </c>
      <c r="C1002" s="2" t="s">
        <v>24</v>
      </c>
      <c r="D1002" s="2" t="s">
        <v>24</v>
      </c>
      <c r="E1002" s="2" t="s">
        <v>23</v>
      </c>
      <c r="F1002" s="2" t="s">
        <v>24</v>
      </c>
      <c r="G1002" s="2" t="s">
        <v>24</v>
      </c>
      <c r="H1002" s="2" t="s">
        <v>1717</v>
      </c>
      <c r="I1002" s="2" t="s">
        <v>1715</v>
      </c>
      <c r="J1002" s="2" t="s">
        <v>26</v>
      </c>
      <c r="K1002" s="2" t="s">
        <v>1718</v>
      </c>
      <c r="L1002" s="3">
        <v>46088.0</v>
      </c>
      <c r="M1002" s="2">
        <v>30.99</v>
      </c>
      <c r="N1002" s="2">
        <v>30.99</v>
      </c>
      <c r="O1002" s="2">
        <v>24.0</v>
      </c>
      <c r="P1002" s="2">
        <v>2.0</v>
      </c>
      <c r="Q1002" s="2" t="s">
        <v>1719</v>
      </c>
      <c r="R1002" s="2" t="s">
        <v>24</v>
      </c>
      <c r="S1002" s="2" t="b">
        <f>COUNTIF('Marcas Target'!A:A,dados!$E1002)&gt;0</f>
        <v>0</v>
      </c>
    </row>
    <row r="1003" ht="15.75" customHeight="1">
      <c r="A1003" s="2" t="s">
        <v>1715</v>
      </c>
      <c r="B1003" s="2" t="s">
        <v>1716</v>
      </c>
      <c r="C1003" s="2" t="s">
        <v>24</v>
      </c>
      <c r="D1003" s="2" t="s">
        <v>24</v>
      </c>
      <c r="E1003" s="2" t="s">
        <v>23</v>
      </c>
      <c r="F1003" s="2" t="s">
        <v>24</v>
      </c>
      <c r="G1003" s="2" t="s">
        <v>24</v>
      </c>
      <c r="H1003" s="2" t="s">
        <v>1717</v>
      </c>
      <c r="I1003" s="2" t="s">
        <v>1715</v>
      </c>
      <c r="J1003" s="2" t="s">
        <v>26</v>
      </c>
      <c r="K1003" s="2" t="s">
        <v>1718</v>
      </c>
      <c r="L1003" s="3">
        <v>46087.0</v>
      </c>
      <c r="M1003" s="2" t="s">
        <v>24</v>
      </c>
      <c r="N1003" s="2" t="s">
        <v>24</v>
      </c>
      <c r="O1003" s="2">
        <v>3.0</v>
      </c>
      <c r="P1003" s="2">
        <v>0.0</v>
      </c>
      <c r="Q1003" s="2" t="s">
        <v>1719</v>
      </c>
      <c r="R1003" s="2" t="s">
        <v>24</v>
      </c>
      <c r="S1003" s="2" t="b">
        <f>COUNTIF('Marcas Target'!A:A,dados!$E1003)&gt;0</f>
        <v>0</v>
      </c>
    </row>
    <row r="1004" ht="15.75" customHeight="1">
      <c r="A1004" s="2" t="s">
        <v>1720</v>
      </c>
      <c r="B1004" s="2" t="s">
        <v>1721</v>
      </c>
      <c r="C1004" s="2" t="s">
        <v>24</v>
      </c>
      <c r="D1004" s="2" t="s">
        <v>24</v>
      </c>
      <c r="E1004" s="2" t="s">
        <v>336</v>
      </c>
      <c r="F1004" s="2" t="s">
        <v>24</v>
      </c>
      <c r="G1004" s="2" t="s">
        <v>24</v>
      </c>
      <c r="H1004" s="2" t="s">
        <v>1722</v>
      </c>
      <c r="I1004" s="2" t="s">
        <v>1720</v>
      </c>
      <c r="J1004" s="2" t="s">
        <v>26</v>
      </c>
      <c r="K1004" s="2" t="s">
        <v>1723</v>
      </c>
      <c r="L1004" s="3">
        <v>46089.0</v>
      </c>
      <c r="M1004" s="2" t="s">
        <v>24</v>
      </c>
      <c r="N1004" s="2" t="s">
        <v>24</v>
      </c>
      <c r="O1004" s="2">
        <v>22.0</v>
      </c>
      <c r="P1004" s="2">
        <v>0.0</v>
      </c>
      <c r="Q1004" s="2" t="s">
        <v>1724</v>
      </c>
      <c r="R1004" s="2" t="s">
        <v>24</v>
      </c>
      <c r="S1004" s="2" t="b">
        <f>COUNTIF('Marcas Target'!A:A,dados!$E1004)&gt;0</f>
        <v>0</v>
      </c>
    </row>
    <row r="1005" ht="15.75" customHeight="1">
      <c r="A1005" s="2" t="s">
        <v>1720</v>
      </c>
      <c r="B1005" s="2" t="s">
        <v>1721</v>
      </c>
      <c r="C1005" s="2" t="s">
        <v>24</v>
      </c>
      <c r="D1005" s="2" t="s">
        <v>24</v>
      </c>
      <c r="E1005" s="2" t="s">
        <v>336</v>
      </c>
      <c r="F1005" s="2" t="s">
        <v>24</v>
      </c>
      <c r="G1005" s="2" t="s">
        <v>24</v>
      </c>
      <c r="H1005" s="2" t="s">
        <v>1722</v>
      </c>
      <c r="I1005" s="2" t="s">
        <v>1720</v>
      </c>
      <c r="J1005" s="2" t="s">
        <v>26</v>
      </c>
      <c r="K1005" s="2" t="s">
        <v>1723</v>
      </c>
      <c r="L1005" s="3">
        <v>46088.0</v>
      </c>
      <c r="M1005" s="2" t="s">
        <v>24</v>
      </c>
      <c r="N1005" s="2" t="s">
        <v>24</v>
      </c>
      <c r="O1005" s="2">
        <v>24.0</v>
      </c>
      <c r="P1005" s="2">
        <v>0.0</v>
      </c>
      <c r="Q1005" s="2" t="s">
        <v>1724</v>
      </c>
      <c r="R1005" s="2" t="s">
        <v>24</v>
      </c>
      <c r="S1005" s="2" t="b">
        <f>COUNTIF('Marcas Target'!A:A,dados!$E1005)&gt;0</f>
        <v>0</v>
      </c>
    </row>
    <row r="1006" ht="15.75" customHeight="1">
      <c r="A1006" s="2" t="s">
        <v>1720</v>
      </c>
      <c r="B1006" s="2" t="s">
        <v>1721</v>
      </c>
      <c r="C1006" s="2" t="s">
        <v>24</v>
      </c>
      <c r="D1006" s="2" t="s">
        <v>24</v>
      </c>
      <c r="E1006" s="2" t="s">
        <v>336</v>
      </c>
      <c r="F1006" s="2" t="s">
        <v>24</v>
      </c>
      <c r="G1006" s="2" t="s">
        <v>24</v>
      </c>
      <c r="H1006" s="2" t="s">
        <v>1722</v>
      </c>
      <c r="I1006" s="2" t="s">
        <v>1720</v>
      </c>
      <c r="J1006" s="2" t="s">
        <v>26</v>
      </c>
      <c r="K1006" s="2" t="s">
        <v>1723</v>
      </c>
      <c r="L1006" s="3">
        <v>46087.0</v>
      </c>
      <c r="M1006" s="2" t="s">
        <v>24</v>
      </c>
      <c r="N1006" s="2" t="s">
        <v>24</v>
      </c>
      <c r="O1006" s="2">
        <v>3.0</v>
      </c>
      <c r="P1006" s="2">
        <v>0.0</v>
      </c>
      <c r="Q1006" s="2" t="s">
        <v>1724</v>
      </c>
      <c r="R1006" s="2" t="s">
        <v>24</v>
      </c>
      <c r="S1006" s="2" t="b">
        <f>COUNTIF('Marcas Target'!A:A,dados!$E1006)&gt;0</f>
        <v>0</v>
      </c>
    </row>
    <row r="1007" ht="15.75" customHeight="1">
      <c r="A1007" s="2" t="s">
        <v>1725</v>
      </c>
      <c r="B1007" s="2" t="s">
        <v>1726</v>
      </c>
      <c r="C1007" s="2" t="s">
        <v>24</v>
      </c>
      <c r="D1007" s="2" t="s">
        <v>24</v>
      </c>
      <c r="E1007" s="2" t="s">
        <v>117</v>
      </c>
      <c r="F1007" s="2" t="s">
        <v>24</v>
      </c>
      <c r="G1007" s="2" t="s">
        <v>24</v>
      </c>
      <c r="H1007" s="2" t="s">
        <v>1727</v>
      </c>
      <c r="I1007" s="2" t="s">
        <v>1725</v>
      </c>
      <c r="J1007" s="2" t="s">
        <v>26</v>
      </c>
      <c r="K1007" s="2" t="s">
        <v>1728</v>
      </c>
      <c r="L1007" s="3">
        <v>46089.0</v>
      </c>
      <c r="M1007" s="2">
        <v>16.99</v>
      </c>
      <c r="N1007" s="2">
        <v>16.99</v>
      </c>
      <c r="O1007" s="2">
        <v>22.0</v>
      </c>
      <c r="P1007" s="2">
        <v>4.0</v>
      </c>
      <c r="Q1007" s="2" t="s">
        <v>1729</v>
      </c>
      <c r="R1007" s="2" t="s">
        <v>24</v>
      </c>
      <c r="S1007" s="2" t="b">
        <f>COUNTIF('Marcas Target'!A:A,dados!$E1007)&gt;0</f>
        <v>0</v>
      </c>
    </row>
    <row r="1008" ht="15.75" customHeight="1">
      <c r="A1008" s="2" t="s">
        <v>1725</v>
      </c>
      <c r="B1008" s="2" t="s">
        <v>1726</v>
      </c>
      <c r="C1008" s="2" t="s">
        <v>24</v>
      </c>
      <c r="D1008" s="2" t="s">
        <v>24</v>
      </c>
      <c r="E1008" s="2" t="s">
        <v>117</v>
      </c>
      <c r="F1008" s="2" t="s">
        <v>24</v>
      </c>
      <c r="G1008" s="2" t="s">
        <v>24</v>
      </c>
      <c r="H1008" s="2" t="s">
        <v>1727</v>
      </c>
      <c r="I1008" s="2" t="s">
        <v>1725</v>
      </c>
      <c r="J1008" s="2" t="s">
        <v>26</v>
      </c>
      <c r="K1008" s="2" t="s">
        <v>1728</v>
      </c>
      <c r="L1008" s="3">
        <v>46088.0</v>
      </c>
      <c r="M1008" s="2">
        <v>16.99</v>
      </c>
      <c r="N1008" s="2">
        <v>16.99</v>
      </c>
      <c r="O1008" s="2">
        <v>24.0</v>
      </c>
      <c r="P1008" s="2">
        <v>4.0</v>
      </c>
      <c r="Q1008" s="2" t="s">
        <v>1729</v>
      </c>
      <c r="R1008" s="2" t="s">
        <v>24</v>
      </c>
      <c r="S1008" s="2" t="b">
        <f>COUNTIF('Marcas Target'!A:A,dados!$E1008)&gt;0</f>
        <v>0</v>
      </c>
    </row>
    <row r="1009" ht="15.75" customHeight="1">
      <c r="A1009" s="2" t="s">
        <v>1725</v>
      </c>
      <c r="B1009" s="2" t="s">
        <v>1726</v>
      </c>
      <c r="C1009" s="2" t="s">
        <v>24</v>
      </c>
      <c r="D1009" s="2" t="s">
        <v>24</v>
      </c>
      <c r="E1009" s="2" t="s">
        <v>117</v>
      </c>
      <c r="F1009" s="2" t="s">
        <v>24</v>
      </c>
      <c r="G1009" s="2" t="s">
        <v>24</v>
      </c>
      <c r="H1009" s="2" t="s">
        <v>1727</v>
      </c>
      <c r="I1009" s="2" t="s">
        <v>1725</v>
      </c>
      <c r="J1009" s="2" t="s">
        <v>26</v>
      </c>
      <c r="K1009" s="2" t="s">
        <v>1728</v>
      </c>
      <c r="L1009" s="3">
        <v>46087.0</v>
      </c>
      <c r="M1009" s="2">
        <v>16.99</v>
      </c>
      <c r="N1009" s="2">
        <v>16.99</v>
      </c>
      <c r="O1009" s="2">
        <v>3.0</v>
      </c>
      <c r="P1009" s="2">
        <v>1.0</v>
      </c>
      <c r="Q1009" s="2" t="s">
        <v>1729</v>
      </c>
      <c r="R1009" s="2" t="s">
        <v>24</v>
      </c>
      <c r="S1009" s="2" t="b">
        <f>COUNTIF('Marcas Target'!A:A,dados!$E1009)&gt;0</f>
        <v>0</v>
      </c>
    </row>
    <row r="1010" ht="15.75" customHeight="1">
      <c r="A1010" s="2" t="s">
        <v>1730</v>
      </c>
      <c r="B1010" s="2" t="s">
        <v>1731</v>
      </c>
      <c r="C1010" s="2" t="s">
        <v>24</v>
      </c>
      <c r="D1010" s="2" t="s">
        <v>24</v>
      </c>
      <c r="E1010" s="2" t="s">
        <v>1240</v>
      </c>
      <c r="F1010" s="2" t="s">
        <v>24</v>
      </c>
      <c r="G1010" s="2" t="s">
        <v>24</v>
      </c>
      <c r="H1010" s="2" t="s">
        <v>1732</v>
      </c>
      <c r="I1010" s="2" t="s">
        <v>1730</v>
      </c>
      <c r="J1010" s="2" t="s">
        <v>26</v>
      </c>
      <c r="K1010" s="2" t="s">
        <v>1733</v>
      </c>
      <c r="L1010" s="3">
        <v>46089.0</v>
      </c>
      <c r="M1010" s="2" t="s">
        <v>24</v>
      </c>
      <c r="N1010" s="2" t="s">
        <v>24</v>
      </c>
      <c r="O1010" s="2">
        <v>22.0</v>
      </c>
      <c r="P1010" s="2">
        <v>0.0</v>
      </c>
      <c r="Q1010" s="2" t="s">
        <v>1734</v>
      </c>
      <c r="R1010" s="2" t="s">
        <v>24</v>
      </c>
      <c r="S1010" s="2" t="b">
        <f>COUNTIF('Marcas Target'!A:A,dados!$E1010)&gt;0</f>
        <v>0</v>
      </c>
    </row>
    <row r="1011" ht="15.75" customHeight="1">
      <c r="A1011" s="2" t="s">
        <v>1730</v>
      </c>
      <c r="B1011" s="2" t="s">
        <v>1731</v>
      </c>
      <c r="C1011" s="2" t="s">
        <v>24</v>
      </c>
      <c r="D1011" s="2" t="s">
        <v>24</v>
      </c>
      <c r="E1011" s="2" t="s">
        <v>1240</v>
      </c>
      <c r="F1011" s="2" t="s">
        <v>24</v>
      </c>
      <c r="G1011" s="2" t="s">
        <v>24</v>
      </c>
      <c r="H1011" s="2" t="s">
        <v>1732</v>
      </c>
      <c r="I1011" s="2" t="s">
        <v>1730</v>
      </c>
      <c r="J1011" s="2" t="s">
        <v>26</v>
      </c>
      <c r="K1011" s="2" t="s">
        <v>1733</v>
      </c>
      <c r="L1011" s="3">
        <v>46088.0</v>
      </c>
      <c r="M1011" s="2" t="s">
        <v>24</v>
      </c>
      <c r="N1011" s="2" t="s">
        <v>24</v>
      </c>
      <c r="O1011" s="2">
        <v>24.0</v>
      </c>
      <c r="P1011" s="2">
        <v>0.0</v>
      </c>
      <c r="Q1011" s="2" t="s">
        <v>1734</v>
      </c>
      <c r="R1011" s="2" t="s">
        <v>24</v>
      </c>
      <c r="S1011" s="2" t="b">
        <f>COUNTIF('Marcas Target'!A:A,dados!$E1011)&gt;0</f>
        <v>0</v>
      </c>
    </row>
    <row r="1012" ht="15.75" customHeight="1">
      <c r="A1012" s="2" t="s">
        <v>1730</v>
      </c>
      <c r="B1012" s="2" t="s">
        <v>1731</v>
      </c>
      <c r="C1012" s="2" t="s">
        <v>24</v>
      </c>
      <c r="D1012" s="2" t="s">
        <v>24</v>
      </c>
      <c r="E1012" s="2" t="s">
        <v>1240</v>
      </c>
      <c r="F1012" s="2" t="s">
        <v>24</v>
      </c>
      <c r="G1012" s="2" t="s">
        <v>24</v>
      </c>
      <c r="H1012" s="2" t="s">
        <v>1732</v>
      </c>
      <c r="I1012" s="2" t="s">
        <v>1730</v>
      </c>
      <c r="J1012" s="2" t="s">
        <v>26</v>
      </c>
      <c r="K1012" s="2" t="s">
        <v>1733</v>
      </c>
      <c r="L1012" s="3">
        <v>46087.0</v>
      </c>
      <c r="M1012" s="2" t="s">
        <v>24</v>
      </c>
      <c r="N1012" s="2" t="s">
        <v>24</v>
      </c>
      <c r="O1012" s="2">
        <v>3.0</v>
      </c>
      <c r="P1012" s="2">
        <v>0.0</v>
      </c>
      <c r="Q1012" s="2" t="s">
        <v>1734</v>
      </c>
      <c r="R1012" s="2" t="s">
        <v>24</v>
      </c>
      <c r="S1012" s="2" t="b">
        <f>COUNTIF('Marcas Target'!A:A,dados!$E1012)&gt;0</f>
        <v>0</v>
      </c>
    </row>
    <row r="1013" ht="15.75" customHeight="1">
      <c r="A1013" s="2" t="s">
        <v>1735</v>
      </c>
      <c r="B1013" s="2" t="s">
        <v>1736</v>
      </c>
      <c r="C1013" s="2" t="s">
        <v>24</v>
      </c>
      <c r="D1013" s="2" t="s">
        <v>24</v>
      </c>
      <c r="E1013" s="2" t="s">
        <v>555</v>
      </c>
      <c r="F1013" s="2" t="s">
        <v>24</v>
      </c>
      <c r="G1013" s="2" t="s">
        <v>24</v>
      </c>
      <c r="H1013" s="2" t="s">
        <v>1737</v>
      </c>
      <c r="I1013" s="2" t="s">
        <v>1735</v>
      </c>
      <c r="J1013" s="2" t="s">
        <v>26</v>
      </c>
      <c r="K1013" s="2" t="s">
        <v>1738</v>
      </c>
      <c r="L1013" s="3">
        <v>46089.0</v>
      </c>
      <c r="M1013" s="2" t="s">
        <v>24</v>
      </c>
      <c r="N1013" s="2" t="s">
        <v>24</v>
      </c>
      <c r="O1013" s="2">
        <v>22.0</v>
      </c>
      <c r="P1013" s="2">
        <v>0.0</v>
      </c>
      <c r="Q1013" s="2" t="s">
        <v>1739</v>
      </c>
      <c r="R1013" s="2" t="s">
        <v>24</v>
      </c>
      <c r="S1013" s="2" t="b">
        <f>COUNTIF('Marcas Target'!A:A,dados!$E1013)&gt;0</f>
        <v>0</v>
      </c>
    </row>
    <row r="1014" ht="15.75" customHeight="1">
      <c r="A1014" s="2" t="s">
        <v>1735</v>
      </c>
      <c r="B1014" s="2" t="s">
        <v>1736</v>
      </c>
      <c r="C1014" s="2" t="s">
        <v>24</v>
      </c>
      <c r="D1014" s="2" t="s">
        <v>24</v>
      </c>
      <c r="E1014" s="2" t="s">
        <v>555</v>
      </c>
      <c r="F1014" s="2" t="s">
        <v>24</v>
      </c>
      <c r="G1014" s="2" t="s">
        <v>24</v>
      </c>
      <c r="H1014" s="2" t="s">
        <v>1737</v>
      </c>
      <c r="I1014" s="2" t="s">
        <v>1735</v>
      </c>
      <c r="J1014" s="2" t="s">
        <v>26</v>
      </c>
      <c r="K1014" s="2" t="s">
        <v>1738</v>
      </c>
      <c r="L1014" s="3">
        <v>46088.0</v>
      </c>
      <c r="M1014" s="2">
        <v>39.39</v>
      </c>
      <c r="N1014" s="2">
        <v>39.39</v>
      </c>
      <c r="O1014" s="2">
        <v>24.0</v>
      </c>
      <c r="P1014" s="2">
        <v>14.0</v>
      </c>
      <c r="Q1014" s="2" t="s">
        <v>1739</v>
      </c>
      <c r="R1014" s="2" t="s">
        <v>24</v>
      </c>
      <c r="S1014" s="2" t="b">
        <f>COUNTIF('Marcas Target'!A:A,dados!$E1014)&gt;0</f>
        <v>0</v>
      </c>
    </row>
    <row r="1015" ht="15.75" customHeight="1">
      <c r="A1015" s="2" t="s">
        <v>1735</v>
      </c>
      <c r="B1015" s="2" t="s">
        <v>1736</v>
      </c>
      <c r="C1015" s="2" t="s">
        <v>24</v>
      </c>
      <c r="D1015" s="2" t="s">
        <v>24</v>
      </c>
      <c r="E1015" s="2" t="s">
        <v>555</v>
      </c>
      <c r="F1015" s="2" t="s">
        <v>24</v>
      </c>
      <c r="G1015" s="2" t="s">
        <v>24</v>
      </c>
      <c r="H1015" s="2" t="s">
        <v>1737</v>
      </c>
      <c r="I1015" s="2" t="s">
        <v>1735</v>
      </c>
      <c r="J1015" s="2" t="s">
        <v>26</v>
      </c>
      <c r="K1015" s="2" t="s">
        <v>1738</v>
      </c>
      <c r="L1015" s="3">
        <v>46087.0</v>
      </c>
      <c r="M1015" s="2">
        <v>46.99</v>
      </c>
      <c r="N1015" s="2">
        <v>46.99</v>
      </c>
      <c r="O1015" s="2">
        <v>3.0</v>
      </c>
      <c r="P1015" s="2">
        <v>2.0</v>
      </c>
      <c r="Q1015" s="2" t="s">
        <v>1739</v>
      </c>
      <c r="R1015" s="2" t="s">
        <v>24</v>
      </c>
      <c r="S1015" s="2" t="b">
        <f>COUNTIF('Marcas Target'!A:A,dados!$E1015)&gt;0</f>
        <v>0</v>
      </c>
    </row>
    <row r="1016" ht="15.75" customHeight="1">
      <c r="A1016" s="2" t="s">
        <v>1740</v>
      </c>
      <c r="B1016" s="2" t="s">
        <v>1741</v>
      </c>
      <c r="C1016" s="2" t="s">
        <v>24</v>
      </c>
      <c r="D1016" s="2" t="s">
        <v>24</v>
      </c>
      <c r="E1016" s="2" t="s">
        <v>1163</v>
      </c>
      <c r="F1016" s="2" t="s">
        <v>24</v>
      </c>
      <c r="G1016" s="2" t="s">
        <v>24</v>
      </c>
      <c r="H1016" s="2" t="s">
        <v>1742</v>
      </c>
      <c r="I1016" s="2" t="s">
        <v>1740</v>
      </c>
      <c r="J1016" s="2" t="s">
        <v>26</v>
      </c>
      <c r="K1016" s="2" t="s">
        <v>1743</v>
      </c>
      <c r="L1016" s="3">
        <v>46089.0</v>
      </c>
      <c r="M1016" s="2">
        <v>32.39</v>
      </c>
      <c r="N1016" s="2">
        <v>32.39</v>
      </c>
      <c r="O1016" s="2">
        <v>22.0</v>
      </c>
      <c r="P1016" s="2">
        <v>22.0</v>
      </c>
      <c r="Q1016" s="2" t="s">
        <v>1744</v>
      </c>
      <c r="R1016" s="2" t="s">
        <v>24</v>
      </c>
      <c r="S1016" s="2" t="b">
        <f>COUNTIF('Marcas Target'!A:A,dados!$E1016)&gt;0</f>
        <v>0</v>
      </c>
    </row>
    <row r="1017" ht="15.75" customHeight="1">
      <c r="A1017" s="2" t="s">
        <v>1740</v>
      </c>
      <c r="B1017" s="2" t="s">
        <v>1741</v>
      </c>
      <c r="C1017" s="2" t="s">
        <v>24</v>
      </c>
      <c r="D1017" s="2" t="s">
        <v>24</v>
      </c>
      <c r="E1017" s="2" t="s">
        <v>1163</v>
      </c>
      <c r="F1017" s="2" t="s">
        <v>24</v>
      </c>
      <c r="G1017" s="2" t="s">
        <v>24</v>
      </c>
      <c r="H1017" s="2" t="s">
        <v>1742</v>
      </c>
      <c r="I1017" s="2" t="s">
        <v>1740</v>
      </c>
      <c r="J1017" s="2" t="s">
        <v>26</v>
      </c>
      <c r="K1017" s="2" t="s">
        <v>1743</v>
      </c>
      <c r="L1017" s="3">
        <v>46088.0</v>
      </c>
      <c r="M1017" s="2">
        <v>34.49</v>
      </c>
      <c r="N1017" s="2">
        <v>34.49</v>
      </c>
      <c r="O1017" s="2">
        <v>24.0</v>
      </c>
      <c r="P1017" s="2">
        <v>24.0</v>
      </c>
      <c r="Q1017" s="2" t="s">
        <v>1744</v>
      </c>
      <c r="R1017" s="2" t="s">
        <v>24</v>
      </c>
      <c r="S1017" s="2" t="b">
        <f>COUNTIF('Marcas Target'!A:A,dados!$E1017)&gt;0</f>
        <v>0</v>
      </c>
    </row>
    <row r="1018" ht="15.75" customHeight="1">
      <c r="A1018" s="2" t="s">
        <v>1740</v>
      </c>
      <c r="B1018" s="2" t="s">
        <v>1741</v>
      </c>
      <c r="C1018" s="2" t="s">
        <v>24</v>
      </c>
      <c r="D1018" s="2" t="s">
        <v>24</v>
      </c>
      <c r="E1018" s="2" t="s">
        <v>1163</v>
      </c>
      <c r="F1018" s="2" t="s">
        <v>24</v>
      </c>
      <c r="G1018" s="2" t="s">
        <v>24</v>
      </c>
      <c r="H1018" s="2" t="s">
        <v>1742</v>
      </c>
      <c r="I1018" s="2" t="s">
        <v>1740</v>
      </c>
      <c r="J1018" s="2" t="s">
        <v>26</v>
      </c>
      <c r="K1018" s="2" t="s">
        <v>1743</v>
      </c>
      <c r="L1018" s="3">
        <v>46087.0</v>
      </c>
      <c r="M1018" s="2">
        <v>32.39</v>
      </c>
      <c r="N1018" s="2">
        <v>32.39</v>
      </c>
      <c r="O1018" s="2">
        <v>3.0</v>
      </c>
      <c r="P1018" s="2">
        <v>2.0</v>
      </c>
      <c r="Q1018" s="2" t="s">
        <v>1744</v>
      </c>
      <c r="R1018" s="2" t="s">
        <v>24</v>
      </c>
      <c r="S1018" s="2" t="b">
        <f>COUNTIF('Marcas Target'!A:A,dados!$E1018)&gt;0</f>
        <v>0</v>
      </c>
    </row>
    <row r="1019" ht="15.75" customHeight="1">
      <c r="A1019" s="2" t="s">
        <v>1745</v>
      </c>
      <c r="B1019" s="2" t="s">
        <v>1746</v>
      </c>
      <c r="C1019" s="2" t="s">
        <v>24</v>
      </c>
      <c r="D1019" s="2" t="s">
        <v>24</v>
      </c>
      <c r="E1019" s="2" t="s">
        <v>362</v>
      </c>
      <c r="F1019" s="2" t="s">
        <v>24</v>
      </c>
      <c r="G1019" s="2" t="s">
        <v>24</v>
      </c>
      <c r="H1019" s="2" t="s">
        <v>1747</v>
      </c>
      <c r="I1019" s="2" t="s">
        <v>1745</v>
      </c>
      <c r="J1019" s="2" t="s">
        <v>26</v>
      </c>
      <c r="K1019" s="2" t="s">
        <v>1748</v>
      </c>
      <c r="L1019" s="3">
        <v>46089.0</v>
      </c>
      <c r="M1019" s="2">
        <v>24.99</v>
      </c>
      <c r="N1019" s="2">
        <v>24.99</v>
      </c>
      <c r="O1019" s="2">
        <v>22.0</v>
      </c>
      <c r="P1019" s="2">
        <v>22.0</v>
      </c>
      <c r="Q1019" s="2" t="s">
        <v>1749</v>
      </c>
      <c r="R1019" s="2" t="s">
        <v>24</v>
      </c>
      <c r="S1019" s="2" t="b">
        <f>COUNTIF('Marcas Target'!A:A,dados!$E1019)&gt;0</f>
        <v>0</v>
      </c>
    </row>
    <row r="1020" ht="15.75" customHeight="1">
      <c r="A1020" s="2" t="s">
        <v>1745</v>
      </c>
      <c r="B1020" s="2" t="s">
        <v>1746</v>
      </c>
      <c r="C1020" s="2" t="s">
        <v>24</v>
      </c>
      <c r="D1020" s="2" t="s">
        <v>24</v>
      </c>
      <c r="E1020" s="2" t="s">
        <v>362</v>
      </c>
      <c r="F1020" s="2" t="s">
        <v>24</v>
      </c>
      <c r="G1020" s="2" t="s">
        <v>24</v>
      </c>
      <c r="H1020" s="2" t="s">
        <v>1747</v>
      </c>
      <c r="I1020" s="2" t="s">
        <v>1745</v>
      </c>
      <c r="J1020" s="2" t="s">
        <v>26</v>
      </c>
      <c r="K1020" s="2" t="s">
        <v>1748</v>
      </c>
      <c r="L1020" s="3">
        <v>46088.0</v>
      </c>
      <c r="M1020" s="2">
        <v>24.99</v>
      </c>
      <c r="N1020" s="2">
        <v>24.99</v>
      </c>
      <c r="O1020" s="2">
        <v>24.0</v>
      </c>
      <c r="P1020" s="2">
        <v>24.0</v>
      </c>
      <c r="Q1020" s="2" t="s">
        <v>1749</v>
      </c>
      <c r="R1020" s="2" t="s">
        <v>24</v>
      </c>
      <c r="S1020" s="2" t="b">
        <f>COUNTIF('Marcas Target'!A:A,dados!$E1020)&gt;0</f>
        <v>0</v>
      </c>
    </row>
    <row r="1021" ht="15.75" customHeight="1">
      <c r="A1021" s="2" t="s">
        <v>1745</v>
      </c>
      <c r="B1021" s="2" t="s">
        <v>1746</v>
      </c>
      <c r="C1021" s="2" t="s">
        <v>24</v>
      </c>
      <c r="D1021" s="2" t="s">
        <v>24</v>
      </c>
      <c r="E1021" s="2" t="s">
        <v>362</v>
      </c>
      <c r="F1021" s="2" t="s">
        <v>24</v>
      </c>
      <c r="G1021" s="2" t="s">
        <v>24</v>
      </c>
      <c r="H1021" s="2" t="s">
        <v>1747</v>
      </c>
      <c r="I1021" s="2" t="s">
        <v>1745</v>
      </c>
      <c r="J1021" s="2" t="s">
        <v>26</v>
      </c>
      <c r="K1021" s="2" t="s">
        <v>1748</v>
      </c>
      <c r="L1021" s="3">
        <v>46087.0</v>
      </c>
      <c r="M1021" s="2">
        <v>24.99</v>
      </c>
      <c r="N1021" s="2">
        <v>24.99</v>
      </c>
      <c r="O1021" s="2">
        <v>3.0</v>
      </c>
      <c r="P1021" s="2">
        <v>3.0</v>
      </c>
      <c r="Q1021" s="2" t="s">
        <v>1749</v>
      </c>
      <c r="R1021" s="2" t="s">
        <v>24</v>
      </c>
      <c r="S1021" s="2" t="b">
        <f>COUNTIF('Marcas Target'!A:A,dados!$E1021)&gt;0</f>
        <v>0</v>
      </c>
    </row>
    <row r="1022" ht="15.75" customHeight="1">
      <c r="A1022" s="2" t="s">
        <v>1750</v>
      </c>
      <c r="B1022" s="2" t="s">
        <v>1751</v>
      </c>
      <c r="C1022" s="2" t="s">
        <v>24</v>
      </c>
      <c r="D1022" s="2" t="s">
        <v>24</v>
      </c>
      <c r="E1022" s="2" t="s">
        <v>394</v>
      </c>
      <c r="F1022" s="2" t="s">
        <v>24</v>
      </c>
      <c r="G1022" s="2" t="s">
        <v>24</v>
      </c>
      <c r="H1022" s="2" t="s">
        <v>1752</v>
      </c>
      <c r="I1022" s="2" t="s">
        <v>1750</v>
      </c>
      <c r="J1022" s="2" t="s">
        <v>26</v>
      </c>
      <c r="K1022" s="2" t="s">
        <v>1753</v>
      </c>
      <c r="L1022" s="3">
        <v>46089.0</v>
      </c>
      <c r="M1022" s="2">
        <v>25.49</v>
      </c>
      <c r="N1022" s="2">
        <v>25.49</v>
      </c>
      <c r="O1022" s="2">
        <v>22.0</v>
      </c>
      <c r="P1022" s="2">
        <v>22.0</v>
      </c>
      <c r="Q1022" s="2" t="s">
        <v>1754</v>
      </c>
      <c r="R1022" s="2" t="s">
        <v>24</v>
      </c>
      <c r="S1022" s="2" t="b">
        <f>COUNTIF('Marcas Target'!A:A,dados!$E1022)&gt;0</f>
        <v>0</v>
      </c>
    </row>
    <row r="1023" ht="15.75" customHeight="1">
      <c r="A1023" s="2" t="s">
        <v>1750</v>
      </c>
      <c r="B1023" s="2" t="s">
        <v>1751</v>
      </c>
      <c r="C1023" s="2" t="s">
        <v>24</v>
      </c>
      <c r="D1023" s="2" t="s">
        <v>24</v>
      </c>
      <c r="E1023" s="2" t="s">
        <v>394</v>
      </c>
      <c r="F1023" s="2" t="s">
        <v>24</v>
      </c>
      <c r="G1023" s="2" t="s">
        <v>24</v>
      </c>
      <c r="H1023" s="2" t="s">
        <v>1752</v>
      </c>
      <c r="I1023" s="2" t="s">
        <v>1750</v>
      </c>
      <c r="J1023" s="2" t="s">
        <v>26</v>
      </c>
      <c r="K1023" s="2" t="s">
        <v>1753</v>
      </c>
      <c r="L1023" s="3">
        <v>46088.0</v>
      </c>
      <c r="M1023" s="2">
        <v>25.49</v>
      </c>
      <c r="N1023" s="2">
        <v>25.49</v>
      </c>
      <c r="O1023" s="2">
        <v>24.0</v>
      </c>
      <c r="P1023" s="2">
        <v>24.0</v>
      </c>
      <c r="Q1023" s="2" t="s">
        <v>1754</v>
      </c>
      <c r="R1023" s="2" t="s">
        <v>24</v>
      </c>
      <c r="S1023" s="2" t="b">
        <f>COUNTIF('Marcas Target'!A:A,dados!$E1023)&gt;0</f>
        <v>0</v>
      </c>
    </row>
    <row r="1024" ht="15.75" customHeight="1">
      <c r="A1024" s="2" t="s">
        <v>1750</v>
      </c>
      <c r="B1024" s="2" t="s">
        <v>1751</v>
      </c>
      <c r="C1024" s="2" t="s">
        <v>24</v>
      </c>
      <c r="D1024" s="2" t="s">
        <v>24</v>
      </c>
      <c r="E1024" s="2" t="s">
        <v>394</v>
      </c>
      <c r="F1024" s="2" t="s">
        <v>24</v>
      </c>
      <c r="G1024" s="2" t="s">
        <v>24</v>
      </c>
      <c r="H1024" s="2" t="s">
        <v>1752</v>
      </c>
      <c r="I1024" s="2" t="s">
        <v>1750</v>
      </c>
      <c r="J1024" s="2" t="s">
        <v>26</v>
      </c>
      <c r="K1024" s="2" t="s">
        <v>1753</v>
      </c>
      <c r="L1024" s="3">
        <v>46087.0</v>
      </c>
      <c r="M1024" s="2">
        <v>25.49</v>
      </c>
      <c r="N1024" s="2">
        <v>25.49</v>
      </c>
      <c r="O1024" s="2">
        <v>3.0</v>
      </c>
      <c r="P1024" s="2">
        <v>3.0</v>
      </c>
      <c r="Q1024" s="2" t="s">
        <v>1754</v>
      </c>
      <c r="R1024" s="2" t="s">
        <v>24</v>
      </c>
      <c r="S1024" s="2" t="b">
        <f>COUNTIF('Marcas Target'!A:A,dados!$E1024)&gt;0</f>
        <v>0</v>
      </c>
    </row>
    <row r="1025" ht="15.75" customHeight="1">
      <c r="A1025" s="2" t="s">
        <v>1755</v>
      </c>
      <c r="B1025" s="2" t="s">
        <v>1756</v>
      </c>
      <c r="C1025" s="2" t="s">
        <v>24</v>
      </c>
      <c r="D1025" s="2" t="s">
        <v>24</v>
      </c>
      <c r="E1025" s="2" t="s">
        <v>1554</v>
      </c>
      <c r="F1025" s="2" t="s">
        <v>24</v>
      </c>
      <c r="G1025" s="2" t="s">
        <v>24</v>
      </c>
      <c r="H1025" s="2" t="s">
        <v>1757</v>
      </c>
      <c r="I1025" s="2" t="s">
        <v>1755</v>
      </c>
      <c r="J1025" s="2" t="s">
        <v>26</v>
      </c>
      <c r="K1025" s="2" t="s">
        <v>1758</v>
      </c>
      <c r="L1025" s="3">
        <v>46089.0</v>
      </c>
      <c r="M1025" s="2">
        <v>33.99</v>
      </c>
      <c r="N1025" s="2">
        <v>33.99</v>
      </c>
      <c r="O1025" s="2">
        <v>22.0</v>
      </c>
      <c r="P1025" s="2">
        <v>22.0</v>
      </c>
      <c r="Q1025" s="2" t="s">
        <v>1759</v>
      </c>
      <c r="R1025" s="2" t="s">
        <v>24</v>
      </c>
      <c r="S1025" s="2" t="b">
        <f>COUNTIF('Marcas Target'!A:A,dados!$E1025)&gt;0</f>
        <v>1</v>
      </c>
    </row>
    <row r="1026" ht="15.75" customHeight="1">
      <c r="A1026" s="2" t="s">
        <v>1755</v>
      </c>
      <c r="B1026" s="2" t="s">
        <v>1756</v>
      </c>
      <c r="C1026" s="2" t="s">
        <v>24</v>
      </c>
      <c r="D1026" s="2" t="s">
        <v>24</v>
      </c>
      <c r="E1026" s="2" t="s">
        <v>1554</v>
      </c>
      <c r="F1026" s="2" t="s">
        <v>24</v>
      </c>
      <c r="G1026" s="2" t="s">
        <v>24</v>
      </c>
      <c r="H1026" s="2" t="s">
        <v>1757</v>
      </c>
      <c r="I1026" s="2" t="s">
        <v>1755</v>
      </c>
      <c r="J1026" s="2" t="s">
        <v>26</v>
      </c>
      <c r="K1026" s="2" t="s">
        <v>1758</v>
      </c>
      <c r="L1026" s="3">
        <v>46088.0</v>
      </c>
      <c r="M1026" s="2">
        <v>33.99</v>
      </c>
      <c r="N1026" s="2">
        <v>33.99</v>
      </c>
      <c r="O1026" s="2">
        <v>24.0</v>
      </c>
      <c r="P1026" s="2">
        <v>24.0</v>
      </c>
      <c r="Q1026" s="2" t="s">
        <v>1759</v>
      </c>
      <c r="R1026" s="2" t="s">
        <v>24</v>
      </c>
      <c r="S1026" s="2" t="b">
        <f>COUNTIF('Marcas Target'!A:A,dados!$E1026)&gt;0</f>
        <v>1</v>
      </c>
    </row>
    <row r="1027" ht="15.75" customHeight="1">
      <c r="A1027" s="2" t="s">
        <v>1755</v>
      </c>
      <c r="B1027" s="2" t="s">
        <v>1756</v>
      </c>
      <c r="C1027" s="2" t="s">
        <v>24</v>
      </c>
      <c r="D1027" s="2" t="s">
        <v>24</v>
      </c>
      <c r="E1027" s="2" t="s">
        <v>1554</v>
      </c>
      <c r="F1027" s="2" t="s">
        <v>24</v>
      </c>
      <c r="G1027" s="2" t="s">
        <v>24</v>
      </c>
      <c r="H1027" s="2" t="s">
        <v>1757</v>
      </c>
      <c r="I1027" s="2" t="s">
        <v>1755</v>
      </c>
      <c r="J1027" s="2" t="s">
        <v>26</v>
      </c>
      <c r="K1027" s="2" t="s">
        <v>1758</v>
      </c>
      <c r="L1027" s="3">
        <v>46087.0</v>
      </c>
      <c r="M1027" s="2">
        <v>33.99</v>
      </c>
      <c r="N1027" s="2">
        <v>33.99</v>
      </c>
      <c r="O1027" s="2">
        <v>3.0</v>
      </c>
      <c r="P1027" s="2">
        <v>2.0</v>
      </c>
      <c r="Q1027" s="2" t="s">
        <v>1759</v>
      </c>
      <c r="R1027" s="2" t="s">
        <v>24</v>
      </c>
      <c r="S1027" s="2" t="b">
        <f>COUNTIF('Marcas Target'!A:A,dados!$E1027)&gt;0</f>
        <v>1</v>
      </c>
    </row>
    <row r="1028" ht="15.75" customHeight="1">
      <c r="A1028" s="2" t="s">
        <v>1760</v>
      </c>
      <c r="B1028" s="2" t="s">
        <v>1761</v>
      </c>
      <c r="C1028" s="2" t="s">
        <v>24</v>
      </c>
      <c r="D1028" s="2" t="s">
        <v>24</v>
      </c>
      <c r="E1028" s="2" t="s">
        <v>128</v>
      </c>
      <c r="F1028" s="2" t="s">
        <v>24</v>
      </c>
      <c r="G1028" s="2" t="s">
        <v>24</v>
      </c>
      <c r="H1028" s="2" t="s">
        <v>1762</v>
      </c>
      <c r="I1028" s="2" t="s">
        <v>1760</v>
      </c>
      <c r="J1028" s="2" t="s">
        <v>26</v>
      </c>
      <c r="K1028" s="2" t="s">
        <v>1763</v>
      </c>
      <c r="L1028" s="3">
        <v>46089.0</v>
      </c>
      <c r="M1028" s="2">
        <v>15.1</v>
      </c>
      <c r="N1028" s="2">
        <v>15.1</v>
      </c>
      <c r="O1028" s="2">
        <v>22.0</v>
      </c>
      <c r="P1028" s="2">
        <v>2.0</v>
      </c>
      <c r="Q1028" s="2" t="s">
        <v>1764</v>
      </c>
      <c r="R1028" s="2" t="s">
        <v>24</v>
      </c>
      <c r="S1028" s="2" t="b">
        <f>COUNTIF('Marcas Target'!A:A,dados!$E1028)&gt;0</f>
        <v>1</v>
      </c>
    </row>
    <row r="1029" ht="15.75" customHeight="1">
      <c r="A1029" s="2" t="s">
        <v>1760</v>
      </c>
      <c r="B1029" s="2" t="s">
        <v>1761</v>
      </c>
      <c r="C1029" s="2" t="s">
        <v>24</v>
      </c>
      <c r="D1029" s="2" t="s">
        <v>24</v>
      </c>
      <c r="E1029" s="2" t="s">
        <v>128</v>
      </c>
      <c r="F1029" s="2" t="s">
        <v>24</v>
      </c>
      <c r="G1029" s="2" t="s">
        <v>24</v>
      </c>
      <c r="H1029" s="2" t="s">
        <v>1762</v>
      </c>
      <c r="I1029" s="2" t="s">
        <v>1760</v>
      </c>
      <c r="J1029" s="2" t="s">
        <v>26</v>
      </c>
      <c r="K1029" s="2" t="s">
        <v>1763</v>
      </c>
      <c r="L1029" s="3">
        <v>46088.0</v>
      </c>
      <c r="M1029" s="2">
        <v>75.7</v>
      </c>
      <c r="N1029" s="2">
        <v>75.7</v>
      </c>
      <c r="O1029" s="2">
        <v>24.0</v>
      </c>
      <c r="P1029" s="2">
        <v>3.0</v>
      </c>
      <c r="Q1029" s="2" t="s">
        <v>1764</v>
      </c>
      <c r="R1029" s="2" t="s">
        <v>24</v>
      </c>
      <c r="S1029" s="2" t="b">
        <f>COUNTIF('Marcas Target'!A:A,dados!$E1029)&gt;0</f>
        <v>1</v>
      </c>
    </row>
    <row r="1030" ht="15.75" customHeight="1">
      <c r="A1030" s="2" t="s">
        <v>1760</v>
      </c>
      <c r="B1030" s="2" t="s">
        <v>1761</v>
      </c>
      <c r="C1030" s="2" t="s">
        <v>24</v>
      </c>
      <c r="D1030" s="2" t="s">
        <v>24</v>
      </c>
      <c r="E1030" s="2" t="s">
        <v>128</v>
      </c>
      <c r="F1030" s="2" t="s">
        <v>24</v>
      </c>
      <c r="G1030" s="2" t="s">
        <v>24</v>
      </c>
      <c r="H1030" s="2" t="s">
        <v>1762</v>
      </c>
      <c r="I1030" s="2" t="s">
        <v>1760</v>
      </c>
      <c r="J1030" s="2" t="s">
        <v>26</v>
      </c>
      <c r="K1030" s="2" t="s">
        <v>1763</v>
      </c>
      <c r="L1030" s="3">
        <v>46087.0</v>
      </c>
      <c r="M1030" s="2">
        <v>16.49</v>
      </c>
      <c r="N1030" s="2">
        <v>16.49</v>
      </c>
      <c r="O1030" s="2">
        <v>3.0</v>
      </c>
      <c r="P1030" s="2">
        <v>1.0</v>
      </c>
      <c r="Q1030" s="2" t="s">
        <v>1764</v>
      </c>
      <c r="R1030" s="2" t="s">
        <v>24</v>
      </c>
      <c r="S1030" s="2" t="b">
        <f>COUNTIF('Marcas Target'!A:A,dados!$E1030)&gt;0</f>
        <v>1</v>
      </c>
    </row>
    <row r="1031" ht="15.75" customHeight="1">
      <c r="A1031" s="2" t="s">
        <v>1765</v>
      </c>
      <c r="B1031" s="2" t="s">
        <v>1766</v>
      </c>
      <c r="C1031" s="2" t="s">
        <v>24</v>
      </c>
      <c r="D1031" s="2" t="s">
        <v>24</v>
      </c>
      <c r="E1031" s="2" t="s">
        <v>1245</v>
      </c>
      <c r="F1031" s="2" t="s">
        <v>24</v>
      </c>
      <c r="G1031" s="2" t="s">
        <v>24</v>
      </c>
      <c r="H1031" s="2" t="s">
        <v>1767</v>
      </c>
      <c r="I1031" s="2" t="s">
        <v>1765</v>
      </c>
      <c r="J1031" s="2" t="s">
        <v>26</v>
      </c>
      <c r="K1031" s="2" t="s">
        <v>1768</v>
      </c>
      <c r="L1031" s="3">
        <v>46089.0</v>
      </c>
      <c r="M1031" s="2">
        <v>35.99</v>
      </c>
      <c r="N1031" s="2">
        <v>35.99</v>
      </c>
      <c r="O1031" s="2">
        <v>22.0</v>
      </c>
      <c r="P1031" s="2">
        <v>22.0</v>
      </c>
      <c r="Q1031" s="2" t="s">
        <v>1769</v>
      </c>
      <c r="R1031" s="2" t="s">
        <v>24</v>
      </c>
      <c r="S1031" s="2" t="b">
        <f>COUNTIF('Marcas Target'!A:A,dados!$E1031)&gt;0</f>
        <v>1</v>
      </c>
    </row>
    <row r="1032" ht="15.75" customHeight="1">
      <c r="A1032" s="2" t="s">
        <v>1765</v>
      </c>
      <c r="B1032" s="2" t="s">
        <v>1766</v>
      </c>
      <c r="C1032" s="2" t="s">
        <v>24</v>
      </c>
      <c r="D1032" s="2" t="s">
        <v>24</v>
      </c>
      <c r="E1032" s="2" t="s">
        <v>1245</v>
      </c>
      <c r="F1032" s="2" t="s">
        <v>24</v>
      </c>
      <c r="G1032" s="2" t="s">
        <v>24</v>
      </c>
      <c r="H1032" s="2" t="s">
        <v>1767</v>
      </c>
      <c r="I1032" s="2" t="s">
        <v>1765</v>
      </c>
      <c r="J1032" s="2" t="s">
        <v>26</v>
      </c>
      <c r="K1032" s="2" t="s">
        <v>1768</v>
      </c>
      <c r="L1032" s="3">
        <v>46088.0</v>
      </c>
      <c r="M1032" s="2">
        <v>35.99</v>
      </c>
      <c r="N1032" s="2">
        <v>35.99</v>
      </c>
      <c r="O1032" s="2">
        <v>24.0</v>
      </c>
      <c r="P1032" s="2">
        <v>23.0</v>
      </c>
      <c r="Q1032" s="2" t="s">
        <v>1769</v>
      </c>
      <c r="R1032" s="2" t="s">
        <v>24</v>
      </c>
      <c r="S1032" s="2" t="b">
        <f>COUNTIF('Marcas Target'!A:A,dados!$E1032)&gt;0</f>
        <v>1</v>
      </c>
    </row>
    <row r="1033" ht="15.75" customHeight="1">
      <c r="A1033" s="2" t="s">
        <v>1765</v>
      </c>
      <c r="B1033" s="2" t="s">
        <v>1766</v>
      </c>
      <c r="C1033" s="2" t="s">
        <v>24</v>
      </c>
      <c r="D1033" s="2" t="s">
        <v>24</v>
      </c>
      <c r="E1033" s="2" t="s">
        <v>1245</v>
      </c>
      <c r="F1033" s="2" t="s">
        <v>24</v>
      </c>
      <c r="G1033" s="2" t="s">
        <v>24</v>
      </c>
      <c r="H1033" s="2" t="s">
        <v>1767</v>
      </c>
      <c r="I1033" s="2" t="s">
        <v>1765</v>
      </c>
      <c r="J1033" s="2" t="s">
        <v>26</v>
      </c>
      <c r="K1033" s="2" t="s">
        <v>1768</v>
      </c>
      <c r="L1033" s="3">
        <v>46087.0</v>
      </c>
      <c r="M1033" s="2">
        <v>35.99</v>
      </c>
      <c r="N1033" s="2">
        <v>35.99</v>
      </c>
      <c r="O1033" s="2">
        <v>3.0</v>
      </c>
      <c r="P1033" s="2">
        <v>3.0</v>
      </c>
      <c r="Q1033" s="2" t="s">
        <v>1769</v>
      </c>
      <c r="R1033" s="2" t="s">
        <v>24</v>
      </c>
      <c r="S1033" s="2" t="b">
        <f>COUNTIF('Marcas Target'!A:A,dados!$E1033)&gt;0</f>
        <v>1</v>
      </c>
    </row>
    <row r="1034" ht="15.75" customHeight="1">
      <c r="A1034" s="2" t="s">
        <v>1770</v>
      </c>
      <c r="B1034" s="2" t="s">
        <v>1771</v>
      </c>
      <c r="C1034" s="2" t="s">
        <v>24</v>
      </c>
      <c r="D1034" s="2" t="s">
        <v>24</v>
      </c>
      <c r="E1034" s="2" t="s">
        <v>23</v>
      </c>
      <c r="F1034" s="2" t="s">
        <v>24</v>
      </c>
      <c r="G1034" s="2" t="s">
        <v>24</v>
      </c>
      <c r="H1034" s="2" t="s">
        <v>1772</v>
      </c>
      <c r="I1034" s="2" t="s">
        <v>1770</v>
      </c>
      <c r="J1034" s="2" t="s">
        <v>26</v>
      </c>
      <c r="K1034" s="2" t="s">
        <v>1773</v>
      </c>
      <c r="L1034" s="3">
        <v>46089.0</v>
      </c>
      <c r="M1034" s="2">
        <v>35.19</v>
      </c>
      <c r="N1034" s="2">
        <v>35.19</v>
      </c>
      <c r="O1034" s="2">
        <v>22.0</v>
      </c>
      <c r="P1034" s="2">
        <v>22.0</v>
      </c>
      <c r="Q1034" s="2" t="s">
        <v>1774</v>
      </c>
      <c r="R1034" s="2" t="s">
        <v>24</v>
      </c>
      <c r="S1034" s="2" t="b">
        <f>COUNTIF('Marcas Target'!A:A,dados!$E1034)&gt;0</f>
        <v>0</v>
      </c>
    </row>
    <row r="1035" ht="15.75" customHeight="1">
      <c r="A1035" s="2" t="s">
        <v>1770</v>
      </c>
      <c r="B1035" s="2" t="s">
        <v>1771</v>
      </c>
      <c r="C1035" s="2" t="s">
        <v>24</v>
      </c>
      <c r="D1035" s="2" t="s">
        <v>24</v>
      </c>
      <c r="E1035" s="2" t="s">
        <v>23</v>
      </c>
      <c r="F1035" s="2" t="s">
        <v>24</v>
      </c>
      <c r="G1035" s="2" t="s">
        <v>24</v>
      </c>
      <c r="H1035" s="2" t="s">
        <v>1772</v>
      </c>
      <c r="I1035" s="2" t="s">
        <v>1770</v>
      </c>
      <c r="J1035" s="2" t="s">
        <v>26</v>
      </c>
      <c r="K1035" s="2" t="s">
        <v>1773</v>
      </c>
      <c r="L1035" s="3">
        <v>46088.0</v>
      </c>
      <c r="M1035" s="2">
        <v>40.32</v>
      </c>
      <c r="N1035" s="2">
        <v>40.32</v>
      </c>
      <c r="O1035" s="2">
        <v>24.0</v>
      </c>
      <c r="P1035" s="2">
        <v>24.0</v>
      </c>
      <c r="Q1035" s="2" t="s">
        <v>1774</v>
      </c>
      <c r="R1035" s="2" t="s">
        <v>24</v>
      </c>
      <c r="S1035" s="2" t="b">
        <f>COUNTIF('Marcas Target'!A:A,dados!$E1035)&gt;0</f>
        <v>0</v>
      </c>
    </row>
    <row r="1036" ht="15.75" customHeight="1">
      <c r="A1036" s="2" t="s">
        <v>1770</v>
      </c>
      <c r="B1036" s="2" t="s">
        <v>1771</v>
      </c>
      <c r="C1036" s="2" t="s">
        <v>24</v>
      </c>
      <c r="D1036" s="2" t="s">
        <v>24</v>
      </c>
      <c r="E1036" s="2" t="s">
        <v>23</v>
      </c>
      <c r="F1036" s="2" t="s">
        <v>24</v>
      </c>
      <c r="G1036" s="2" t="s">
        <v>24</v>
      </c>
      <c r="H1036" s="2" t="s">
        <v>1772</v>
      </c>
      <c r="I1036" s="2" t="s">
        <v>1770</v>
      </c>
      <c r="J1036" s="2" t="s">
        <v>26</v>
      </c>
      <c r="K1036" s="2" t="s">
        <v>1773</v>
      </c>
      <c r="L1036" s="3">
        <v>46087.0</v>
      </c>
      <c r="M1036" s="2">
        <v>35.19</v>
      </c>
      <c r="N1036" s="2">
        <v>35.19</v>
      </c>
      <c r="O1036" s="2">
        <v>3.0</v>
      </c>
      <c r="P1036" s="2">
        <v>2.0</v>
      </c>
      <c r="Q1036" s="2" t="s">
        <v>1774</v>
      </c>
      <c r="R1036" s="2" t="s">
        <v>24</v>
      </c>
      <c r="S1036" s="2" t="b">
        <f>COUNTIF('Marcas Target'!A:A,dados!$E1036)&gt;0</f>
        <v>0</v>
      </c>
    </row>
    <row r="1037" ht="15.75" customHeight="1">
      <c r="A1037" s="2" t="s">
        <v>1775</v>
      </c>
      <c r="B1037" s="2" t="s">
        <v>1776</v>
      </c>
      <c r="C1037" s="2" t="s">
        <v>24</v>
      </c>
      <c r="D1037" s="2" t="s">
        <v>24</v>
      </c>
      <c r="E1037" s="2" t="s">
        <v>1240</v>
      </c>
      <c r="F1037" s="2" t="s">
        <v>24</v>
      </c>
      <c r="G1037" s="2" t="s">
        <v>24</v>
      </c>
      <c r="H1037" s="2" t="s">
        <v>1777</v>
      </c>
      <c r="I1037" s="2" t="s">
        <v>1775</v>
      </c>
      <c r="J1037" s="2" t="s">
        <v>26</v>
      </c>
      <c r="K1037" s="2" t="s">
        <v>1778</v>
      </c>
      <c r="L1037" s="3">
        <v>46089.0</v>
      </c>
      <c r="M1037" s="2" t="s">
        <v>24</v>
      </c>
      <c r="N1037" s="2" t="s">
        <v>24</v>
      </c>
      <c r="O1037" s="2">
        <v>23.0</v>
      </c>
      <c r="P1037" s="2">
        <v>0.0</v>
      </c>
      <c r="Q1037" s="2" t="s">
        <v>1779</v>
      </c>
      <c r="R1037" s="2" t="s">
        <v>24</v>
      </c>
      <c r="S1037" s="2" t="b">
        <f>COUNTIF('Marcas Target'!A:A,dados!$E1037)&gt;0</f>
        <v>0</v>
      </c>
    </row>
    <row r="1038" ht="15.75" customHeight="1">
      <c r="A1038" s="2" t="s">
        <v>1775</v>
      </c>
      <c r="B1038" s="2" t="s">
        <v>1776</v>
      </c>
      <c r="C1038" s="2" t="s">
        <v>24</v>
      </c>
      <c r="D1038" s="2" t="s">
        <v>24</v>
      </c>
      <c r="E1038" s="2" t="s">
        <v>1240</v>
      </c>
      <c r="F1038" s="2" t="s">
        <v>24</v>
      </c>
      <c r="G1038" s="2" t="s">
        <v>24</v>
      </c>
      <c r="H1038" s="2" t="s">
        <v>1777</v>
      </c>
      <c r="I1038" s="2" t="s">
        <v>1775</v>
      </c>
      <c r="J1038" s="2" t="s">
        <v>26</v>
      </c>
      <c r="K1038" s="2" t="s">
        <v>1778</v>
      </c>
      <c r="L1038" s="3">
        <v>46088.0</v>
      </c>
      <c r="M1038" s="2">
        <v>69.9</v>
      </c>
      <c r="N1038" s="2">
        <v>69.9</v>
      </c>
      <c r="O1038" s="2">
        <v>23.0</v>
      </c>
      <c r="P1038" s="2">
        <v>1.0</v>
      </c>
      <c r="Q1038" s="2" t="s">
        <v>1779</v>
      </c>
      <c r="R1038" s="2" t="s">
        <v>24</v>
      </c>
      <c r="S1038" s="2" t="b">
        <f>COUNTIF('Marcas Target'!A:A,dados!$E1038)&gt;0</f>
        <v>0</v>
      </c>
    </row>
    <row r="1039" ht="15.75" customHeight="1">
      <c r="A1039" s="2" t="s">
        <v>1775</v>
      </c>
      <c r="B1039" s="2" t="s">
        <v>1776</v>
      </c>
      <c r="C1039" s="2" t="s">
        <v>24</v>
      </c>
      <c r="D1039" s="2" t="s">
        <v>24</v>
      </c>
      <c r="E1039" s="2" t="s">
        <v>1240</v>
      </c>
      <c r="F1039" s="2" t="s">
        <v>24</v>
      </c>
      <c r="G1039" s="2" t="s">
        <v>24</v>
      </c>
      <c r="H1039" s="2" t="s">
        <v>1777</v>
      </c>
      <c r="I1039" s="2" t="s">
        <v>1775</v>
      </c>
      <c r="J1039" s="2" t="s">
        <v>26</v>
      </c>
      <c r="K1039" s="2" t="s">
        <v>1778</v>
      </c>
      <c r="L1039" s="3">
        <v>46087.0</v>
      </c>
      <c r="M1039" s="2" t="s">
        <v>24</v>
      </c>
      <c r="N1039" s="2" t="s">
        <v>24</v>
      </c>
      <c r="O1039" s="2">
        <v>3.0</v>
      </c>
      <c r="P1039" s="2">
        <v>0.0</v>
      </c>
      <c r="Q1039" s="2" t="s">
        <v>1779</v>
      </c>
      <c r="R1039" s="2" t="s">
        <v>24</v>
      </c>
      <c r="S1039" s="2" t="b">
        <f>COUNTIF('Marcas Target'!A:A,dados!$E1039)&gt;0</f>
        <v>0</v>
      </c>
    </row>
    <row r="1040" ht="15.75" customHeight="1">
      <c r="A1040" s="2" t="s">
        <v>1780</v>
      </c>
      <c r="B1040" s="2" t="s">
        <v>1781</v>
      </c>
      <c r="C1040" s="2" t="s">
        <v>24</v>
      </c>
      <c r="D1040" s="2" t="s">
        <v>24</v>
      </c>
      <c r="E1040" s="2" t="s">
        <v>336</v>
      </c>
      <c r="F1040" s="2" t="s">
        <v>24</v>
      </c>
      <c r="G1040" s="2" t="s">
        <v>24</v>
      </c>
      <c r="H1040" s="2" t="s">
        <v>1782</v>
      </c>
      <c r="I1040" s="2" t="s">
        <v>1780</v>
      </c>
      <c r="J1040" s="2" t="s">
        <v>26</v>
      </c>
      <c r="K1040" s="2" t="s">
        <v>1783</v>
      </c>
      <c r="L1040" s="3">
        <v>46089.0</v>
      </c>
      <c r="M1040" s="2">
        <v>24.99</v>
      </c>
      <c r="N1040" s="2">
        <v>24.99</v>
      </c>
      <c r="O1040" s="2">
        <v>22.0</v>
      </c>
      <c r="P1040" s="2">
        <v>22.0</v>
      </c>
      <c r="Q1040" s="2" t="s">
        <v>1784</v>
      </c>
      <c r="R1040" s="2" t="s">
        <v>24</v>
      </c>
      <c r="S1040" s="2" t="b">
        <f>COUNTIF('Marcas Target'!A:A,dados!$E1040)&gt;0</f>
        <v>0</v>
      </c>
    </row>
    <row r="1041" ht="15.75" customHeight="1">
      <c r="A1041" s="2" t="s">
        <v>1780</v>
      </c>
      <c r="B1041" s="2" t="s">
        <v>1781</v>
      </c>
      <c r="C1041" s="2" t="s">
        <v>24</v>
      </c>
      <c r="D1041" s="2" t="s">
        <v>24</v>
      </c>
      <c r="E1041" s="2" t="s">
        <v>336</v>
      </c>
      <c r="F1041" s="2" t="s">
        <v>24</v>
      </c>
      <c r="G1041" s="2" t="s">
        <v>24</v>
      </c>
      <c r="H1041" s="2" t="s">
        <v>1782</v>
      </c>
      <c r="I1041" s="2" t="s">
        <v>1780</v>
      </c>
      <c r="J1041" s="2" t="s">
        <v>26</v>
      </c>
      <c r="K1041" s="2" t="s">
        <v>1783</v>
      </c>
      <c r="L1041" s="3">
        <v>46088.0</v>
      </c>
      <c r="M1041" s="2">
        <v>24.99</v>
      </c>
      <c r="N1041" s="2">
        <v>24.99</v>
      </c>
      <c r="O1041" s="2">
        <v>24.0</v>
      </c>
      <c r="P1041" s="2">
        <v>24.0</v>
      </c>
      <c r="Q1041" s="2" t="s">
        <v>1784</v>
      </c>
      <c r="R1041" s="2" t="s">
        <v>24</v>
      </c>
      <c r="S1041" s="2" t="b">
        <f>COUNTIF('Marcas Target'!A:A,dados!$E1041)&gt;0</f>
        <v>0</v>
      </c>
    </row>
    <row r="1042" ht="15.75" customHeight="1">
      <c r="A1042" s="2" t="s">
        <v>1780</v>
      </c>
      <c r="B1042" s="2" t="s">
        <v>1781</v>
      </c>
      <c r="C1042" s="2" t="s">
        <v>24</v>
      </c>
      <c r="D1042" s="2" t="s">
        <v>24</v>
      </c>
      <c r="E1042" s="2" t="s">
        <v>336</v>
      </c>
      <c r="F1042" s="2" t="s">
        <v>24</v>
      </c>
      <c r="G1042" s="2" t="s">
        <v>24</v>
      </c>
      <c r="H1042" s="2" t="s">
        <v>1782</v>
      </c>
      <c r="I1042" s="2" t="s">
        <v>1780</v>
      </c>
      <c r="J1042" s="2" t="s">
        <v>26</v>
      </c>
      <c r="K1042" s="2" t="s">
        <v>1783</v>
      </c>
      <c r="L1042" s="3">
        <v>46087.0</v>
      </c>
      <c r="M1042" s="2">
        <v>24.99</v>
      </c>
      <c r="N1042" s="2">
        <v>24.99</v>
      </c>
      <c r="O1042" s="2">
        <v>3.0</v>
      </c>
      <c r="P1042" s="2">
        <v>3.0</v>
      </c>
      <c r="Q1042" s="2" t="s">
        <v>1784</v>
      </c>
      <c r="R1042" s="2" t="s">
        <v>24</v>
      </c>
      <c r="S1042" s="2" t="b">
        <f>COUNTIF('Marcas Target'!A:A,dados!$E1042)&gt;0</f>
        <v>0</v>
      </c>
    </row>
    <row r="1043" ht="15.75" customHeight="1">
      <c r="A1043" s="2" t="s">
        <v>1785</v>
      </c>
      <c r="B1043" s="2" t="s">
        <v>1786</v>
      </c>
      <c r="C1043" s="2" t="s">
        <v>24</v>
      </c>
      <c r="D1043" s="2" t="s">
        <v>24</v>
      </c>
      <c r="E1043" s="2" t="s">
        <v>425</v>
      </c>
      <c r="F1043" s="2" t="s">
        <v>24</v>
      </c>
      <c r="G1043" s="2" t="s">
        <v>24</v>
      </c>
      <c r="H1043" s="2" t="s">
        <v>1787</v>
      </c>
      <c r="I1043" s="2" t="s">
        <v>1785</v>
      </c>
      <c r="J1043" s="2" t="s">
        <v>26</v>
      </c>
      <c r="K1043" s="2" t="s">
        <v>1788</v>
      </c>
      <c r="L1043" s="3">
        <v>46089.0</v>
      </c>
      <c r="M1043" s="2">
        <v>22.99</v>
      </c>
      <c r="N1043" s="2">
        <v>22.99</v>
      </c>
      <c r="O1043" s="2">
        <v>22.0</v>
      </c>
      <c r="P1043" s="2">
        <v>22.0</v>
      </c>
      <c r="Q1043" s="2" t="s">
        <v>1789</v>
      </c>
      <c r="R1043" s="2" t="s">
        <v>24</v>
      </c>
      <c r="S1043" s="2" t="b">
        <f>COUNTIF('Marcas Target'!A:A,dados!$E1043)&gt;0</f>
        <v>0</v>
      </c>
    </row>
    <row r="1044" ht="15.75" customHeight="1">
      <c r="A1044" s="2" t="s">
        <v>1785</v>
      </c>
      <c r="B1044" s="2" t="s">
        <v>1786</v>
      </c>
      <c r="C1044" s="2" t="s">
        <v>24</v>
      </c>
      <c r="D1044" s="2" t="s">
        <v>24</v>
      </c>
      <c r="E1044" s="2" t="s">
        <v>425</v>
      </c>
      <c r="F1044" s="2" t="s">
        <v>24</v>
      </c>
      <c r="G1044" s="2" t="s">
        <v>24</v>
      </c>
      <c r="H1044" s="2" t="s">
        <v>1787</v>
      </c>
      <c r="I1044" s="2" t="s">
        <v>1785</v>
      </c>
      <c r="J1044" s="2" t="s">
        <v>26</v>
      </c>
      <c r="K1044" s="2" t="s">
        <v>1788</v>
      </c>
      <c r="L1044" s="3">
        <v>46088.0</v>
      </c>
      <c r="M1044" s="2">
        <v>22.99</v>
      </c>
      <c r="N1044" s="2">
        <v>22.99</v>
      </c>
      <c r="O1044" s="2">
        <v>24.0</v>
      </c>
      <c r="P1044" s="2">
        <v>24.0</v>
      </c>
      <c r="Q1044" s="2" t="s">
        <v>1789</v>
      </c>
      <c r="R1044" s="2" t="s">
        <v>24</v>
      </c>
      <c r="S1044" s="2" t="b">
        <f>COUNTIF('Marcas Target'!A:A,dados!$E1044)&gt;0</f>
        <v>0</v>
      </c>
    </row>
    <row r="1045" ht="15.75" customHeight="1">
      <c r="A1045" s="2" t="s">
        <v>1785</v>
      </c>
      <c r="B1045" s="2" t="s">
        <v>1786</v>
      </c>
      <c r="C1045" s="2" t="s">
        <v>24</v>
      </c>
      <c r="D1045" s="2" t="s">
        <v>24</v>
      </c>
      <c r="E1045" s="2" t="s">
        <v>425</v>
      </c>
      <c r="F1045" s="2" t="s">
        <v>24</v>
      </c>
      <c r="G1045" s="2" t="s">
        <v>24</v>
      </c>
      <c r="H1045" s="2" t="s">
        <v>1787</v>
      </c>
      <c r="I1045" s="2" t="s">
        <v>1785</v>
      </c>
      <c r="J1045" s="2" t="s">
        <v>26</v>
      </c>
      <c r="K1045" s="2" t="s">
        <v>1788</v>
      </c>
      <c r="L1045" s="3">
        <v>46087.0</v>
      </c>
      <c r="M1045" s="2">
        <v>22.99</v>
      </c>
      <c r="N1045" s="2">
        <v>22.99</v>
      </c>
      <c r="O1045" s="2">
        <v>3.0</v>
      </c>
      <c r="P1045" s="2">
        <v>2.0</v>
      </c>
      <c r="Q1045" s="2" t="s">
        <v>1789</v>
      </c>
      <c r="R1045" s="2" t="s">
        <v>24</v>
      </c>
      <c r="S1045" s="2" t="b">
        <f>COUNTIF('Marcas Target'!A:A,dados!$E1045)&gt;0</f>
        <v>0</v>
      </c>
    </row>
    <row r="1046" ht="15.75" customHeight="1">
      <c r="A1046" s="2" t="s">
        <v>1790</v>
      </c>
      <c r="B1046" s="2" t="s">
        <v>1791</v>
      </c>
      <c r="C1046" s="2" t="s">
        <v>24</v>
      </c>
      <c r="D1046" s="2" t="s">
        <v>24</v>
      </c>
      <c r="E1046" s="2" t="s">
        <v>227</v>
      </c>
      <c r="F1046" s="2" t="s">
        <v>24</v>
      </c>
      <c r="G1046" s="2" t="s">
        <v>24</v>
      </c>
      <c r="H1046" s="2" t="s">
        <v>1792</v>
      </c>
      <c r="I1046" s="2" t="s">
        <v>1790</v>
      </c>
      <c r="J1046" s="2" t="s">
        <v>26</v>
      </c>
      <c r="K1046" s="2" t="s">
        <v>1793</v>
      </c>
      <c r="L1046" s="3">
        <v>46089.0</v>
      </c>
      <c r="M1046" s="2">
        <v>29.99</v>
      </c>
      <c r="N1046" s="2">
        <v>29.99</v>
      </c>
      <c r="O1046" s="2">
        <v>22.0</v>
      </c>
      <c r="P1046" s="2">
        <v>22.0</v>
      </c>
      <c r="Q1046" s="2" t="s">
        <v>1794</v>
      </c>
      <c r="R1046" s="2" t="s">
        <v>24</v>
      </c>
      <c r="S1046" s="2" t="b">
        <f>COUNTIF('Marcas Target'!A:A,dados!$E1046)&gt;0</f>
        <v>0</v>
      </c>
    </row>
    <row r="1047" ht="15.75" customHeight="1">
      <c r="A1047" s="2" t="s">
        <v>1790</v>
      </c>
      <c r="B1047" s="2" t="s">
        <v>1791</v>
      </c>
      <c r="C1047" s="2" t="s">
        <v>24</v>
      </c>
      <c r="D1047" s="2" t="s">
        <v>24</v>
      </c>
      <c r="E1047" s="2" t="s">
        <v>227</v>
      </c>
      <c r="F1047" s="2" t="s">
        <v>24</v>
      </c>
      <c r="G1047" s="2" t="s">
        <v>24</v>
      </c>
      <c r="H1047" s="2" t="s">
        <v>1792</v>
      </c>
      <c r="I1047" s="2" t="s">
        <v>1790</v>
      </c>
      <c r="J1047" s="2" t="s">
        <v>26</v>
      </c>
      <c r="K1047" s="2" t="s">
        <v>1793</v>
      </c>
      <c r="L1047" s="3">
        <v>46088.0</v>
      </c>
      <c r="M1047" s="2">
        <v>29.99</v>
      </c>
      <c r="N1047" s="2">
        <v>29.99</v>
      </c>
      <c r="O1047" s="2">
        <v>24.0</v>
      </c>
      <c r="P1047" s="2">
        <v>24.0</v>
      </c>
      <c r="Q1047" s="2" t="s">
        <v>1794</v>
      </c>
      <c r="R1047" s="2" t="s">
        <v>24</v>
      </c>
      <c r="S1047" s="2" t="b">
        <f>COUNTIF('Marcas Target'!A:A,dados!$E1047)&gt;0</f>
        <v>0</v>
      </c>
    </row>
    <row r="1048" ht="15.75" customHeight="1">
      <c r="A1048" s="2" t="s">
        <v>1790</v>
      </c>
      <c r="B1048" s="2" t="s">
        <v>1791</v>
      </c>
      <c r="C1048" s="2" t="s">
        <v>24</v>
      </c>
      <c r="D1048" s="2" t="s">
        <v>24</v>
      </c>
      <c r="E1048" s="2" t="s">
        <v>227</v>
      </c>
      <c r="F1048" s="2" t="s">
        <v>24</v>
      </c>
      <c r="G1048" s="2" t="s">
        <v>24</v>
      </c>
      <c r="H1048" s="2" t="s">
        <v>1792</v>
      </c>
      <c r="I1048" s="2" t="s">
        <v>1790</v>
      </c>
      <c r="J1048" s="2" t="s">
        <v>26</v>
      </c>
      <c r="K1048" s="2" t="s">
        <v>1793</v>
      </c>
      <c r="L1048" s="3">
        <v>46087.0</v>
      </c>
      <c r="M1048" s="2">
        <v>29.99</v>
      </c>
      <c r="N1048" s="2">
        <v>29.99</v>
      </c>
      <c r="O1048" s="2">
        <v>3.0</v>
      </c>
      <c r="P1048" s="2">
        <v>2.0</v>
      </c>
      <c r="Q1048" s="2" t="s">
        <v>1794</v>
      </c>
      <c r="R1048" s="2" t="s">
        <v>24</v>
      </c>
      <c r="S1048" s="2" t="b">
        <f>COUNTIF('Marcas Target'!A:A,dados!$E1048)&gt;0</f>
        <v>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63"/>
    <col customWidth="1" min="3" max="3" width="9.75"/>
    <col customWidth="1" min="4" max="26" width="8.63"/>
  </cols>
  <sheetData>
    <row r="1">
      <c r="B1" s="4" t="s">
        <v>7</v>
      </c>
      <c r="C1" s="4" t="s">
        <v>0</v>
      </c>
    </row>
    <row r="2">
      <c r="B2" s="4" t="s">
        <v>25</v>
      </c>
      <c r="C2" s="4" t="s">
        <v>19</v>
      </c>
    </row>
    <row r="3">
      <c r="B3" s="4" t="s">
        <v>25</v>
      </c>
      <c r="C3" s="4" t="s">
        <v>19</v>
      </c>
    </row>
    <row r="4">
      <c r="B4" s="4" t="s">
        <v>25</v>
      </c>
      <c r="C4" s="4" t="s">
        <v>19</v>
      </c>
    </row>
    <row r="5">
      <c r="B5" s="4" t="s">
        <v>31</v>
      </c>
      <c r="C5" s="4" t="s">
        <v>29</v>
      </c>
    </row>
    <row r="6">
      <c r="B6" s="4" t="s">
        <v>31</v>
      </c>
      <c r="C6" s="4" t="s">
        <v>29</v>
      </c>
    </row>
    <row r="7">
      <c r="B7" s="4" t="s">
        <v>31</v>
      </c>
      <c r="C7" s="4" t="s">
        <v>29</v>
      </c>
    </row>
    <row r="8">
      <c r="B8" s="4" t="s">
        <v>36</v>
      </c>
      <c r="C8" s="4" t="s">
        <v>34</v>
      </c>
    </row>
    <row r="9">
      <c r="B9" s="4" t="s">
        <v>36</v>
      </c>
      <c r="C9" s="4" t="s">
        <v>34</v>
      </c>
    </row>
    <row r="10">
      <c r="B10" s="4" t="s">
        <v>36</v>
      </c>
      <c r="C10" s="4" t="s">
        <v>34</v>
      </c>
    </row>
    <row r="11">
      <c r="B11" s="4" t="s">
        <v>41</v>
      </c>
      <c r="C11" s="4" t="s">
        <v>39</v>
      </c>
    </row>
    <row r="12">
      <c r="B12" s="4" t="s">
        <v>41</v>
      </c>
      <c r="C12" s="4" t="s">
        <v>39</v>
      </c>
    </row>
    <row r="13">
      <c r="B13" s="4" t="s">
        <v>41</v>
      </c>
      <c r="C13" s="4" t="s">
        <v>39</v>
      </c>
    </row>
    <row r="14">
      <c r="B14" s="4" t="s">
        <v>46</v>
      </c>
      <c r="C14" s="4" t="s">
        <v>44</v>
      </c>
    </row>
    <row r="15">
      <c r="B15" s="4" t="s">
        <v>46</v>
      </c>
      <c r="C15" s="4" t="s">
        <v>44</v>
      </c>
    </row>
    <row r="16">
      <c r="B16" s="4" t="s">
        <v>46</v>
      </c>
      <c r="C16" s="4" t="s">
        <v>44</v>
      </c>
    </row>
    <row r="17">
      <c r="B17" s="4" t="s">
        <v>51</v>
      </c>
      <c r="C17" s="4" t="s">
        <v>49</v>
      </c>
    </row>
    <row r="18">
      <c r="B18" s="4" t="s">
        <v>51</v>
      </c>
      <c r="C18" s="4" t="s">
        <v>49</v>
      </c>
    </row>
    <row r="19">
      <c r="B19" s="4" t="s">
        <v>51</v>
      </c>
      <c r="C19" s="4" t="s">
        <v>49</v>
      </c>
    </row>
    <row r="20">
      <c r="B20" s="4" t="s">
        <v>56</v>
      </c>
      <c r="C20" s="4" t="s">
        <v>54</v>
      </c>
    </row>
    <row r="21" ht="15.75" customHeight="1">
      <c r="B21" s="4" t="s">
        <v>56</v>
      </c>
      <c r="C21" s="4" t="s">
        <v>54</v>
      </c>
    </row>
    <row r="22" ht="15.75" customHeight="1">
      <c r="B22" s="4" t="s">
        <v>56</v>
      </c>
      <c r="C22" s="4" t="s">
        <v>54</v>
      </c>
    </row>
    <row r="23" ht="15.75" customHeight="1">
      <c r="B23" s="4" t="s">
        <v>61</v>
      </c>
      <c r="C23" s="4" t="s">
        <v>59</v>
      </c>
    </row>
    <row r="24" ht="15.75" customHeight="1">
      <c r="B24" s="4" t="s">
        <v>61</v>
      </c>
      <c r="C24" s="4" t="s">
        <v>59</v>
      </c>
    </row>
    <row r="25" ht="15.75" customHeight="1">
      <c r="B25" s="4" t="s">
        <v>61</v>
      </c>
      <c r="C25" s="4" t="s">
        <v>59</v>
      </c>
    </row>
    <row r="26" ht="15.75" customHeight="1">
      <c r="B26" s="4" t="s">
        <v>66</v>
      </c>
      <c r="C26" s="4" t="s">
        <v>64</v>
      </c>
    </row>
    <row r="27" ht="15.75" customHeight="1">
      <c r="B27" s="4" t="s">
        <v>66</v>
      </c>
      <c r="C27" s="4" t="s">
        <v>64</v>
      </c>
    </row>
    <row r="28" ht="15.75" customHeight="1">
      <c r="B28" s="4" t="s">
        <v>66</v>
      </c>
      <c r="C28" s="4" t="s">
        <v>64</v>
      </c>
    </row>
    <row r="29" ht="15.75" customHeight="1">
      <c r="B29" s="4" t="s">
        <v>71</v>
      </c>
      <c r="C29" s="4" t="s">
        <v>69</v>
      </c>
    </row>
    <row r="30" ht="15.75" customHeight="1">
      <c r="B30" s="4" t="s">
        <v>71</v>
      </c>
      <c r="C30" s="4" t="s">
        <v>69</v>
      </c>
    </row>
    <row r="31" ht="15.75" customHeight="1">
      <c r="B31" s="4" t="s">
        <v>71</v>
      </c>
      <c r="C31" s="4" t="s">
        <v>69</v>
      </c>
    </row>
    <row r="32" ht="15.75" customHeight="1">
      <c r="B32" s="4" t="s">
        <v>76</v>
      </c>
      <c r="C32" s="4" t="s">
        <v>74</v>
      </c>
    </row>
    <row r="33" ht="15.75" customHeight="1">
      <c r="B33" s="4" t="s">
        <v>76</v>
      </c>
      <c r="C33" s="4" t="s">
        <v>74</v>
      </c>
    </row>
    <row r="34" ht="15.75" customHeight="1">
      <c r="B34" s="4" t="s">
        <v>76</v>
      </c>
      <c r="C34" s="4" t="s">
        <v>74</v>
      </c>
    </row>
    <row r="35" ht="15.75" customHeight="1">
      <c r="B35" s="4" t="s">
        <v>81</v>
      </c>
      <c r="C35" s="4" t="s">
        <v>79</v>
      </c>
    </row>
    <row r="36" ht="15.75" customHeight="1">
      <c r="B36" s="4" t="s">
        <v>81</v>
      </c>
      <c r="C36" s="4" t="s">
        <v>79</v>
      </c>
    </row>
    <row r="37" ht="15.75" customHeight="1">
      <c r="B37" s="4" t="s">
        <v>81</v>
      </c>
      <c r="C37" s="4" t="s">
        <v>79</v>
      </c>
    </row>
    <row r="38" ht="15.75" customHeight="1">
      <c r="B38" s="4" t="s">
        <v>86</v>
      </c>
      <c r="C38" s="4" t="s">
        <v>84</v>
      </c>
    </row>
    <row r="39" ht="15.75" customHeight="1">
      <c r="B39" s="4" t="s">
        <v>86</v>
      </c>
      <c r="C39" s="4" t="s">
        <v>84</v>
      </c>
    </row>
    <row r="40" ht="15.75" customHeight="1">
      <c r="B40" s="4" t="s">
        <v>86</v>
      </c>
      <c r="C40" s="4" t="s">
        <v>84</v>
      </c>
    </row>
    <row r="41" ht="15.75" customHeight="1">
      <c r="B41" s="4" t="s">
        <v>91</v>
      </c>
      <c r="C41" s="4" t="s">
        <v>89</v>
      </c>
    </row>
    <row r="42" ht="15.75" customHeight="1">
      <c r="B42" s="4" t="s">
        <v>91</v>
      </c>
      <c r="C42" s="4" t="s">
        <v>89</v>
      </c>
    </row>
    <row r="43" ht="15.75" customHeight="1">
      <c r="B43" s="4" t="s">
        <v>91</v>
      </c>
      <c r="C43" s="4" t="s">
        <v>89</v>
      </c>
    </row>
    <row r="44" ht="15.75" customHeight="1">
      <c r="B44" s="4" t="s">
        <v>96</v>
      </c>
      <c r="C44" s="4" t="s">
        <v>94</v>
      </c>
    </row>
    <row r="45" ht="15.75" customHeight="1">
      <c r="B45" s="4" t="s">
        <v>96</v>
      </c>
      <c r="C45" s="4" t="s">
        <v>94</v>
      </c>
    </row>
    <row r="46" ht="15.75" customHeight="1">
      <c r="B46" s="4" t="s">
        <v>96</v>
      </c>
      <c r="C46" s="4" t="s">
        <v>94</v>
      </c>
    </row>
    <row r="47" ht="15.75" customHeight="1">
      <c r="B47" s="4" t="s">
        <v>101</v>
      </c>
      <c r="C47" s="4" t="s">
        <v>99</v>
      </c>
    </row>
    <row r="48" ht="15.75" customHeight="1">
      <c r="B48" s="4" t="s">
        <v>101</v>
      </c>
      <c r="C48" s="4" t="s">
        <v>99</v>
      </c>
    </row>
    <row r="49" ht="15.75" customHeight="1">
      <c r="B49" s="4" t="s">
        <v>101</v>
      </c>
      <c r="C49" s="4" t="s">
        <v>99</v>
      </c>
    </row>
    <row r="50" ht="15.75" customHeight="1">
      <c r="B50" s="4" t="s">
        <v>107</v>
      </c>
      <c r="C50" s="4" t="s">
        <v>104</v>
      </c>
    </row>
    <row r="51" ht="15.75" customHeight="1">
      <c r="B51" s="4" t="s">
        <v>107</v>
      </c>
      <c r="C51" s="4" t="s">
        <v>104</v>
      </c>
    </row>
    <row r="52" ht="15.75" customHeight="1">
      <c r="B52" s="4" t="s">
        <v>107</v>
      </c>
      <c r="C52" s="4" t="s">
        <v>104</v>
      </c>
    </row>
    <row r="53" ht="15.75" customHeight="1">
      <c r="B53" s="4" t="s">
        <v>112</v>
      </c>
      <c r="C53" s="4" t="s">
        <v>110</v>
      </c>
    </row>
    <row r="54" ht="15.75" customHeight="1">
      <c r="B54" s="4" t="s">
        <v>112</v>
      </c>
      <c r="C54" s="4" t="s">
        <v>110</v>
      </c>
    </row>
    <row r="55" ht="15.75" customHeight="1">
      <c r="B55" s="4" t="s">
        <v>112</v>
      </c>
      <c r="C55" s="4" t="s">
        <v>110</v>
      </c>
    </row>
    <row r="56" ht="15.75" customHeight="1">
      <c r="B56" s="4" t="s">
        <v>118</v>
      </c>
      <c r="C56" s="4" t="s">
        <v>115</v>
      </c>
    </row>
    <row r="57" ht="15.75" customHeight="1">
      <c r="B57" s="4" t="s">
        <v>118</v>
      </c>
      <c r="C57" s="4" t="s">
        <v>115</v>
      </c>
    </row>
    <row r="58" ht="15.75" customHeight="1">
      <c r="B58" s="4" t="s">
        <v>118</v>
      </c>
      <c r="C58" s="4" t="s">
        <v>115</v>
      </c>
    </row>
    <row r="59" ht="15.75" customHeight="1">
      <c r="B59" s="4" t="s">
        <v>123</v>
      </c>
      <c r="C59" s="4" t="s">
        <v>121</v>
      </c>
    </row>
    <row r="60" ht="15.75" customHeight="1">
      <c r="B60" s="4" t="s">
        <v>123</v>
      </c>
      <c r="C60" s="4" t="s">
        <v>121</v>
      </c>
    </row>
    <row r="61" ht="15.75" customHeight="1">
      <c r="B61" s="4" t="s">
        <v>123</v>
      </c>
      <c r="C61" s="4" t="s">
        <v>121</v>
      </c>
    </row>
    <row r="62" ht="15.75" customHeight="1">
      <c r="B62" s="4" t="s">
        <v>129</v>
      </c>
      <c r="C62" s="4" t="s">
        <v>126</v>
      </c>
    </row>
    <row r="63" ht="15.75" customHeight="1">
      <c r="B63" s="4" t="s">
        <v>129</v>
      </c>
      <c r="C63" s="4" t="s">
        <v>126</v>
      </c>
    </row>
    <row r="64" ht="15.75" customHeight="1">
      <c r="B64" s="4" t="s">
        <v>129</v>
      </c>
      <c r="C64" s="4" t="s">
        <v>126</v>
      </c>
    </row>
    <row r="65" ht="15.75" customHeight="1">
      <c r="B65" s="4" t="s">
        <v>134</v>
      </c>
      <c r="C65" s="4" t="s">
        <v>132</v>
      </c>
    </row>
    <row r="66" ht="15.75" customHeight="1">
      <c r="B66" s="4" t="s">
        <v>134</v>
      </c>
      <c r="C66" s="4" t="s">
        <v>132</v>
      </c>
    </row>
    <row r="67" ht="15.75" customHeight="1">
      <c r="B67" s="4" t="s">
        <v>134</v>
      </c>
      <c r="C67" s="4" t="s">
        <v>132</v>
      </c>
    </row>
    <row r="68" ht="15.75" customHeight="1">
      <c r="B68" s="4" t="s">
        <v>140</v>
      </c>
      <c r="C68" s="4" t="s">
        <v>137</v>
      </c>
    </row>
    <row r="69" ht="15.75" customHeight="1">
      <c r="B69" s="4" t="s">
        <v>140</v>
      </c>
      <c r="C69" s="4" t="s">
        <v>137</v>
      </c>
    </row>
    <row r="70" ht="15.75" customHeight="1">
      <c r="B70" s="4" t="s">
        <v>140</v>
      </c>
      <c r="C70" s="4" t="s">
        <v>137</v>
      </c>
    </row>
    <row r="71" ht="15.75" customHeight="1">
      <c r="B71" s="4" t="s">
        <v>146</v>
      </c>
      <c r="C71" s="4" t="s">
        <v>143</v>
      </c>
    </row>
    <row r="72" ht="15.75" customHeight="1">
      <c r="B72" s="4" t="s">
        <v>146</v>
      </c>
      <c r="C72" s="4" t="s">
        <v>143</v>
      </c>
    </row>
    <row r="73" ht="15.75" customHeight="1">
      <c r="B73" s="4" t="s">
        <v>146</v>
      </c>
      <c r="C73" s="4" t="s">
        <v>143</v>
      </c>
    </row>
    <row r="74" ht="15.75" customHeight="1">
      <c r="B74" s="4" t="s">
        <v>151</v>
      </c>
      <c r="C74" s="4" t="s">
        <v>149</v>
      </c>
    </row>
    <row r="75" ht="15.75" customHeight="1">
      <c r="B75" s="4" t="s">
        <v>151</v>
      </c>
      <c r="C75" s="4" t="s">
        <v>149</v>
      </c>
    </row>
    <row r="76" ht="15.75" customHeight="1">
      <c r="B76" s="4" t="s">
        <v>151</v>
      </c>
      <c r="C76" s="4" t="s">
        <v>149</v>
      </c>
    </row>
    <row r="77" ht="15.75" customHeight="1">
      <c r="B77" s="4" t="s">
        <v>156</v>
      </c>
      <c r="C77" s="4" t="s">
        <v>154</v>
      </c>
    </row>
    <row r="78" ht="15.75" customHeight="1">
      <c r="B78" s="4" t="s">
        <v>156</v>
      </c>
      <c r="C78" s="4" t="s">
        <v>154</v>
      </c>
    </row>
    <row r="79" ht="15.75" customHeight="1">
      <c r="B79" s="4" t="s">
        <v>156</v>
      </c>
      <c r="C79" s="4" t="s">
        <v>154</v>
      </c>
    </row>
    <row r="80" ht="15.75" customHeight="1">
      <c r="B80" s="4" t="s">
        <v>161</v>
      </c>
      <c r="C80" s="4" t="s">
        <v>159</v>
      </c>
    </row>
    <row r="81" ht="15.75" customHeight="1">
      <c r="B81" s="4" t="s">
        <v>161</v>
      </c>
      <c r="C81" s="4" t="s">
        <v>159</v>
      </c>
    </row>
    <row r="82" ht="15.75" customHeight="1">
      <c r="B82" s="4" t="s">
        <v>161</v>
      </c>
      <c r="C82" s="4" t="s">
        <v>159</v>
      </c>
    </row>
    <row r="83" ht="15.75" customHeight="1">
      <c r="B83" s="4" t="s">
        <v>166</v>
      </c>
      <c r="C83" s="4" t="s">
        <v>164</v>
      </c>
    </row>
    <row r="84" ht="15.75" customHeight="1">
      <c r="B84" s="4" t="s">
        <v>166</v>
      </c>
      <c r="C84" s="4" t="s">
        <v>164</v>
      </c>
    </row>
    <row r="85" ht="15.75" customHeight="1">
      <c r="B85" s="4" t="s">
        <v>166</v>
      </c>
      <c r="C85" s="4" t="s">
        <v>164</v>
      </c>
    </row>
    <row r="86" ht="15.75" customHeight="1">
      <c r="B86" s="4" t="s">
        <v>171</v>
      </c>
      <c r="C86" s="4" t="s">
        <v>169</v>
      </c>
    </row>
    <row r="87" ht="15.75" customHeight="1">
      <c r="B87" s="4" t="s">
        <v>171</v>
      </c>
      <c r="C87" s="4" t="s">
        <v>169</v>
      </c>
    </row>
    <row r="88" ht="15.75" customHeight="1">
      <c r="B88" s="4" t="s">
        <v>171</v>
      </c>
      <c r="C88" s="4" t="s">
        <v>169</v>
      </c>
    </row>
    <row r="89" ht="15.75" customHeight="1">
      <c r="B89" s="4" t="s">
        <v>177</v>
      </c>
      <c r="C89" s="4" t="s">
        <v>174</v>
      </c>
    </row>
    <row r="90" ht="15.75" customHeight="1">
      <c r="B90" s="4" t="s">
        <v>177</v>
      </c>
      <c r="C90" s="4" t="s">
        <v>174</v>
      </c>
    </row>
    <row r="91" ht="15.75" customHeight="1">
      <c r="B91" s="4" t="s">
        <v>177</v>
      </c>
      <c r="C91" s="4" t="s">
        <v>174</v>
      </c>
    </row>
    <row r="92" ht="15.75" customHeight="1">
      <c r="B92" s="4" t="s">
        <v>182</v>
      </c>
      <c r="C92" s="4" t="s">
        <v>180</v>
      </c>
    </row>
    <row r="93" ht="15.75" customHeight="1">
      <c r="B93" s="4" t="s">
        <v>182</v>
      </c>
      <c r="C93" s="4" t="s">
        <v>180</v>
      </c>
    </row>
    <row r="94" ht="15.75" customHeight="1">
      <c r="B94" s="4" t="s">
        <v>182</v>
      </c>
      <c r="C94" s="4" t="s">
        <v>180</v>
      </c>
    </row>
    <row r="95" ht="15.75" customHeight="1">
      <c r="B95" s="4" t="s">
        <v>187</v>
      </c>
      <c r="C95" s="4" t="s">
        <v>185</v>
      </c>
    </row>
    <row r="96" ht="15.75" customHeight="1">
      <c r="B96" s="4" t="s">
        <v>187</v>
      </c>
      <c r="C96" s="4" t="s">
        <v>185</v>
      </c>
    </row>
    <row r="97" ht="15.75" customHeight="1">
      <c r="B97" s="4" t="s">
        <v>187</v>
      </c>
      <c r="C97" s="4" t="s">
        <v>185</v>
      </c>
    </row>
    <row r="98" ht="15.75" customHeight="1">
      <c r="B98" s="4" t="s">
        <v>192</v>
      </c>
      <c r="C98" s="4" t="s">
        <v>190</v>
      </c>
    </row>
    <row r="99" ht="15.75" customHeight="1">
      <c r="B99" s="4" t="s">
        <v>192</v>
      </c>
      <c r="C99" s="4" t="s">
        <v>190</v>
      </c>
    </row>
    <row r="100" ht="15.75" customHeight="1">
      <c r="B100" s="4" t="s">
        <v>192</v>
      </c>
      <c r="C100" s="4" t="s">
        <v>190</v>
      </c>
    </row>
    <row r="101" ht="15.75" customHeight="1">
      <c r="B101" s="4" t="s">
        <v>197</v>
      </c>
      <c r="C101" s="4" t="s">
        <v>195</v>
      </c>
    </row>
    <row r="102" ht="15.75" customHeight="1">
      <c r="B102" s="4" t="s">
        <v>197</v>
      </c>
      <c r="C102" s="4" t="s">
        <v>195</v>
      </c>
    </row>
    <row r="103" ht="15.75" customHeight="1">
      <c r="B103" s="4" t="s">
        <v>197</v>
      </c>
      <c r="C103" s="4" t="s">
        <v>195</v>
      </c>
    </row>
    <row r="104" ht="15.75" customHeight="1">
      <c r="B104" s="4" t="s">
        <v>202</v>
      </c>
      <c r="C104" s="4" t="s">
        <v>200</v>
      </c>
    </row>
    <row r="105" ht="15.75" customHeight="1">
      <c r="B105" s="4" t="s">
        <v>202</v>
      </c>
      <c r="C105" s="4" t="s">
        <v>200</v>
      </c>
    </row>
    <row r="106" ht="15.75" customHeight="1">
      <c r="B106" s="4" t="s">
        <v>202</v>
      </c>
      <c r="C106" s="4" t="s">
        <v>200</v>
      </c>
    </row>
    <row r="107" ht="15.75" customHeight="1">
      <c r="B107" s="4" t="s">
        <v>207</v>
      </c>
      <c r="C107" s="4" t="s">
        <v>205</v>
      </c>
    </row>
    <row r="108" ht="15.75" customHeight="1">
      <c r="B108" s="4" t="s">
        <v>207</v>
      </c>
      <c r="C108" s="4" t="s">
        <v>205</v>
      </c>
    </row>
    <row r="109" ht="15.75" customHeight="1">
      <c r="B109" s="4" t="s">
        <v>207</v>
      </c>
      <c r="C109" s="4" t="s">
        <v>205</v>
      </c>
    </row>
    <row r="110" ht="15.75" customHeight="1">
      <c r="B110" s="4" t="s">
        <v>212</v>
      </c>
      <c r="C110" s="4" t="s">
        <v>210</v>
      </c>
    </row>
    <row r="111" ht="15.75" customHeight="1">
      <c r="B111" s="4" t="s">
        <v>212</v>
      </c>
      <c r="C111" s="4" t="s">
        <v>210</v>
      </c>
    </row>
    <row r="112" ht="15.75" customHeight="1">
      <c r="B112" s="4" t="s">
        <v>212</v>
      </c>
      <c r="C112" s="4" t="s">
        <v>210</v>
      </c>
    </row>
    <row r="113" ht="15.75" customHeight="1">
      <c r="B113" s="4" t="s">
        <v>217</v>
      </c>
      <c r="C113" s="4" t="s">
        <v>215</v>
      </c>
    </row>
    <row r="114" ht="15.75" customHeight="1">
      <c r="B114" s="4" t="s">
        <v>217</v>
      </c>
      <c r="C114" s="4" t="s">
        <v>215</v>
      </c>
    </row>
    <row r="115" ht="15.75" customHeight="1">
      <c r="B115" s="4" t="s">
        <v>217</v>
      </c>
      <c r="C115" s="4" t="s">
        <v>215</v>
      </c>
    </row>
    <row r="116" ht="15.75" customHeight="1">
      <c r="B116" s="4" t="s">
        <v>222</v>
      </c>
      <c r="C116" s="4" t="s">
        <v>220</v>
      </c>
    </row>
    <row r="117" ht="15.75" customHeight="1">
      <c r="B117" s="4" t="s">
        <v>222</v>
      </c>
      <c r="C117" s="4" t="s">
        <v>220</v>
      </c>
    </row>
    <row r="118" ht="15.75" customHeight="1">
      <c r="B118" s="4" t="s">
        <v>222</v>
      </c>
      <c r="C118" s="4" t="s">
        <v>220</v>
      </c>
    </row>
    <row r="119" ht="15.75" customHeight="1">
      <c r="B119" s="4" t="s">
        <v>228</v>
      </c>
      <c r="C119" s="4" t="s">
        <v>225</v>
      </c>
    </row>
    <row r="120" ht="15.75" customHeight="1">
      <c r="B120" s="4" t="s">
        <v>228</v>
      </c>
      <c r="C120" s="4" t="s">
        <v>225</v>
      </c>
    </row>
    <row r="121" ht="15.75" customHeight="1">
      <c r="B121" s="4" t="s">
        <v>228</v>
      </c>
      <c r="C121" s="4" t="s">
        <v>225</v>
      </c>
    </row>
    <row r="122" ht="15.75" customHeight="1">
      <c r="B122" s="4" t="s">
        <v>233</v>
      </c>
      <c r="C122" s="4" t="s">
        <v>231</v>
      </c>
    </row>
    <row r="123" ht="15.75" customHeight="1">
      <c r="B123" s="4" t="s">
        <v>233</v>
      </c>
      <c r="C123" s="4" t="s">
        <v>231</v>
      </c>
    </row>
    <row r="124" ht="15.75" customHeight="1">
      <c r="B124" s="4" t="s">
        <v>233</v>
      </c>
      <c r="C124" s="4" t="s">
        <v>231</v>
      </c>
    </row>
    <row r="125" ht="15.75" customHeight="1">
      <c r="B125" s="4" t="s">
        <v>238</v>
      </c>
      <c r="C125" s="4" t="s">
        <v>236</v>
      </c>
    </row>
    <row r="126" ht="15.75" customHeight="1">
      <c r="B126" s="4" t="s">
        <v>238</v>
      </c>
      <c r="C126" s="4" t="s">
        <v>236</v>
      </c>
    </row>
    <row r="127" ht="15.75" customHeight="1">
      <c r="B127" s="4" t="s">
        <v>238</v>
      </c>
      <c r="C127" s="4" t="s">
        <v>236</v>
      </c>
    </row>
    <row r="128" ht="15.75" customHeight="1">
      <c r="B128" s="4" t="s">
        <v>243</v>
      </c>
      <c r="C128" s="4" t="s">
        <v>241</v>
      </c>
    </row>
    <row r="129" ht="15.75" customHeight="1">
      <c r="B129" s="4" t="s">
        <v>243</v>
      </c>
      <c r="C129" s="4" t="s">
        <v>241</v>
      </c>
    </row>
    <row r="130" ht="15.75" customHeight="1">
      <c r="B130" s="4" t="s">
        <v>243</v>
      </c>
      <c r="C130" s="4" t="s">
        <v>241</v>
      </c>
    </row>
    <row r="131" ht="15.75" customHeight="1">
      <c r="B131" s="4" t="s">
        <v>248</v>
      </c>
      <c r="C131" s="4" t="s">
        <v>246</v>
      </c>
    </row>
    <row r="132" ht="15.75" customHeight="1">
      <c r="B132" s="4" t="s">
        <v>248</v>
      </c>
      <c r="C132" s="4" t="s">
        <v>246</v>
      </c>
    </row>
    <row r="133" ht="15.75" customHeight="1">
      <c r="B133" s="4" t="s">
        <v>248</v>
      </c>
      <c r="C133" s="4" t="s">
        <v>246</v>
      </c>
    </row>
    <row r="134" ht="15.75" customHeight="1">
      <c r="B134" s="4" t="s">
        <v>253</v>
      </c>
      <c r="C134" s="4" t="s">
        <v>251</v>
      </c>
    </row>
    <row r="135" ht="15.75" customHeight="1">
      <c r="B135" s="4" t="s">
        <v>253</v>
      </c>
      <c r="C135" s="4" t="s">
        <v>251</v>
      </c>
    </row>
    <row r="136" ht="15.75" customHeight="1">
      <c r="B136" s="4" t="s">
        <v>253</v>
      </c>
      <c r="C136" s="4" t="s">
        <v>251</v>
      </c>
    </row>
    <row r="137" ht="15.75" customHeight="1">
      <c r="B137" s="4" t="s">
        <v>258</v>
      </c>
      <c r="C137" s="4" t="s">
        <v>256</v>
      </c>
    </row>
    <row r="138" ht="15.75" customHeight="1">
      <c r="B138" s="4" t="s">
        <v>258</v>
      </c>
      <c r="C138" s="4" t="s">
        <v>256</v>
      </c>
    </row>
    <row r="139" ht="15.75" customHeight="1">
      <c r="B139" s="4" t="s">
        <v>258</v>
      </c>
      <c r="C139" s="4" t="s">
        <v>256</v>
      </c>
    </row>
    <row r="140" ht="15.75" customHeight="1">
      <c r="B140" s="4" t="s">
        <v>263</v>
      </c>
      <c r="C140" s="4" t="s">
        <v>261</v>
      </c>
    </row>
    <row r="141" ht="15.75" customHeight="1">
      <c r="B141" s="4" t="s">
        <v>263</v>
      </c>
      <c r="C141" s="4" t="s">
        <v>261</v>
      </c>
    </row>
    <row r="142" ht="15.75" customHeight="1">
      <c r="B142" s="4" t="s">
        <v>263</v>
      </c>
      <c r="C142" s="4" t="s">
        <v>261</v>
      </c>
    </row>
    <row r="143" ht="15.75" customHeight="1">
      <c r="B143" s="4" t="s">
        <v>269</v>
      </c>
      <c r="C143" s="4" t="s">
        <v>266</v>
      </c>
    </row>
    <row r="144" ht="15.75" customHeight="1">
      <c r="B144" s="4" t="s">
        <v>269</v>
      </c>
      <c r="C144" s="4" t="s">
        <v>266</v>
      </c>
    </row>
    <row r="145" ht="15.75" customHeight="1">
      <c r="B145" s="4" t="s">
        <v>269</v>
      </c>
      <c r="C145" s="4" t="s">
        <v>266</v>
      </c>
    </row>
    <row r="146" ht="15.75" customHeight="1">
      <c r="B146" s="4" t="s">
        <v>274</v>
      </c>
      <c r="C146" s="4" t="s">
        <v>272</v>
      </c>
    </row>
    <row r="147" ht="15.75" customHeight="1">
      <c r="B147" s="4" t="s">
        <v>274</v>
      </c>
      <c r="C147" s="4" t="s">
        <v>272</v>
      </c>
    </row>
    <row r="148" ht="15.75" customHeight="1">
      <c r="B148" s="4" t="s">
        <v>274</v>
      </c>
      <c r="C148" s="4" t="s">
        <v>272</v>
      </c>
    </row>
    <row r="149" ht="15.75" customHeight="1">
      <c r="B149" s="4" t="s">
        <v>279</v>
      </c>
      <c r="C149" s="4" t="s">
        <v>277</v>
      </c>
    </row>
    <row r="150" ht="15.75" customHeight="1">
      <c r="B150" s="4" t="s">
        <v>279</v>
      </c>
      <c r="C150" s="4" t="s">
        <v>277</v>
      </c>
    </row>
    <row r="151" ht="15.75" customHeight="1">
      <c r="B151" s="4" t="s">
        <v>279</v>
      </c>
      <c r="C151" s="4" t="s">
        <v>277</v>
      </c>
    </row>
    <row r="152" ht="15.75" customHeight="1">
      <c r="B152" s="4" t="s">
        <v>284</v>
      </c>
      <c r="C152" s="4" t="s">
        <v>282</v>
      </c>
    </row>
    <row r="153" ht="15.75" customHeight="1">
      <c r="B153" s="4" t="s">
        <v>284</v>
      </c>
      <c r="C153" s="4" t="s">
        <v>282</v>
      </c>
    </row>
    <row r="154" ht="15.75" customHeight="1">
      <c r="B154" s="4" t="s">
        <v>284</v>
      </c>
      <c r="C154" s="4" t="s">
        <v>282</v>
      </c>
    </row>
    <row r="155" ht="15.75" customHeight="1">
      <c r="B155" s="4" t="s">
        <v>289</v>
      </c>
      <c r="C155" s="4" t="s">
        <v>287</v>
      </c>
    </row>
    <row r="156" ht="15.75" customHeight="1">
      <c r="B156" s="4" t="s">
        <v>289</v>
      </c>
      <c r="C156" s="4" t="s">
        <v>287</v>
      </c>
    </row>
    <row r="157" ht="15.75" customHeight="1">
      <c r="B157" s="4" t="s">
        <v>289</v>
      </c>
      <c r="C157" s="4" t="s">
        <v>287</v>
      </c>
    </row>
    <row r="158" ht="15.75" customHeight="1">
      <c r="B158" s="4" t="s">
        <v>295</v>
      </c>
      <c r="C158" s="4" t="s">
        <v>292</v>
      </c>
    </row>
    <row r="159" ht="15.75" customHeight="1">
      <c r="B159" s="4" t="s">
        <v>295</v>
      </c>
      <c r="C159" s="4" t="s">
        <v>292</v>
      </c>
    </row>
    <row r="160" ht="15.75" customHeight="1">
      <c r="B160" s="4" t="s">
        <v>295</v>
      </c>
      <c r="C160" s="4" t="s">
        <v>292</v>
      </c>
    </row>
    <row r="161" ht="15.75" customHeight="1">
      <c r="B161" s="4" t="s">
        <v>300</v>
      </c>
      <c r="C161" s="4" t="s">
        <v>298</v>
      </c>
    </row>
    <row r="162" ht="15.75" customHeight="1">
      <c r="B162" s="4" t="s">
        <v>300</v>
      </c>
      <c r="C162" s="4" t="s">
        <v>298</v>
      </c>
    </row>
    <row r="163" ht="15.75" customHeight="1">
      <c r="B163" s="4" t="s">
        <v>300</v>
      </c>
      <c r="C163" s="4" t="s">
        <v>298</v>
      </c>
    </row>
    <row r="164" ht="15.75" customHeight="1">
      <c r="B164" s="4" t="s">
        <v>305</v>
      </c>
      <c r="C164" s="4" t="s">
        <v>303</v>
      </c>
    </row>
    <row r="165" ht="15.75" customHeight="1">
      <c r="B165" s="4" t="s">
        <v>305</v>
      </c>
      <c r="C165" s="4" t="s">
        <v>303</v>
      </c>
    </row>
    <row r="166" ht="15.75" customHeight="1">
      <c r="B166" s="4" t="s">
        <v>305</v>
      </c>
      <c r="C166" s="4" t="s">
        <v>303</v>
      </c>
    </row>
    <row r="167" ht="15.75" customHeight="1">
      <c r="B167" s="4" t="s">
        <v>310</v>
      </c>
      <c r="C167" s="4" t="s">
        <v>308</v>
      </c>
    </row>
    <row r="168" ht="15.75" customHeight="1">
      <c r="B168" s="4" t="s">
        <v>310</v>
      </c>
      <c r="C168" s="4" t="s">
        <v>308</v>
      </c>
    </row>
    <row r="169" ht="15.75" customHeight="1">
      <c r="B169" s="4" t="s">
        <v>310</v>
      </c>
      <c r="C169" s="4" t="s">
        <v>308</v>
      </c>
    </row>
    <row r="170" ht="15.75" customHeight="1">
      <c r="B170" s="4" t="s">
        <v>315</v>
      </c>
      <c r="C170" s="4" t="s">
        <v>313</v>
      </c>
    </row>
    <row r="171" ht="15.75" customHeight="1">
      <c r="B171" s="4" t="s">
        <v>315</v>
      </c>
      <c r="C171" s="4" t="s">
        <v>313</v>
      </c>
    </row>
    <row r="172" ht="15.75" customHeight="1">
      <c r="B172" s="4" t="s">
        <v>315</v>
      </c>
      <c r="C172" s="4" t="s">
        <v>313</v>
      </c>
    </row>
    <row r="173" ht="15.75" customHeight="1">
      <c r="B173" s="4" t="s">
        <v>321</v>
      </c>
      <c r="C173" s="4" t="s">
        <v>318</v>
      </c>
    </row>
    <row r="174" ht="15.75" customHeight="1">
      <c r="B174" s="4" t="s">
        <v>321</v>
      </c>
      <c r="C174" s="4" t="s">
        <v>318</v>
      </c>
    </row>
    <row r="175" ht="15.75" customHeight="1">
      <c r="B175" s="4" t="s">
        <v>321</v>
      </c>
      <c r="C175" s="4" t="s">
        <v>318</v>
      </c>
    </row>
    <row r="176" ht="15.75" customHeight="1">
      <c r="B176" s="4" t="s">
        <v>326</v>
      </c>
      <c r="C176" s="4" t="s">
        <v>324</v>
      </c>
    </row>
    <row r="177" ht="15.75" customHeight="1">
      <c r="B177" s="4" t="s">
        <v>326</v>
      </c>
      <c r="C177" s="4" t="s">
        <v>324</v>
      </c>
    </row>
    <row r="178" ht="15.75" customHeight="1">
      <c r="B178" s="4" t="s">
        <v>326</v>
      </c>
      <c r="C178" s="4" t="s">
        <v>324</v>
      </c>
    </row>
    <row r="179" ht="15.75" customHeight="1">
      <c r="B179" s="4" t="s">
        <v>331</v>
      </c>
      <c r="C179" s="4" t="s">
        <v>329</v>
      </c>
    </row>
    <row r="180" ht="15.75" customHeight="1">
      <c r="B180" s="4" t="s">
        <v>331</v>
      </c>
      <c r="C180" s="4" t="s">
        <v>329</v>
      </c>
    </row>
    <row r="181" ht="15.75" customHeight="1">
      <c r="B181" s="4" t="s">
        <v>331</v>
      </c>
      <c r="C181" s="4" t="s">
        <v>329</v>
      </c>
    </row>
    <row r="182" ht="15.75" customHeight="1">
      <c r="B182" s="4" t="s">
        <v>337</v>
      </c>
      <c r="C182" s="4" t="s">
        <v>334</v>
      </c>
    </row>
    <row r="183" ht="15.75" customHeight="1">
      <c r="B183" s="4" t="s">
        <v>337</v>
      </c>
      <c r="C183" s="4" t="s">
        <v>334</v>
      </c>
    </row>
    <row r="184" ht="15.75" customHeight="1">
      <c r="B184" s="4" t="s">
        <v>337</v>
      </c>
      <c r="C184" s="4" t="s">
        <v>334</v>
      </c>
    </row>
    <row r="185" ht="15.75" customHeight="1">
      <c r="B185" s="4" t="s">
        <v>342</v>
      </c>
      <c r="C185" s="4" t="s">
        <v>340</v>
      </c>
    </row>
    <row r="186" ht="15.75" customHeight="1">
      <c r="B186" s="4" t="s">
        <v>342</v>
      </c>
      <c r="C186" s="4" t="s">
        <v>340</v>
      </c>
    </row>
    <row r="187" ht="15.75" customHeight="1">
      <c r="B187" s="4" t="s">
        <v>342</v>
      </c>
      <c r="C187" s="4" t="s">
        <v>340</v>
      </c>
    </row>
    <row r="188" ht="15.75" customHeight="1">
      <c r="B188" s="4" t="s">
        <v>347</v>
      </c>
      <c r="C188" s="4" t="s">
        <v>345</v>
      </c>
    </row>
    <row r="189" ht="15.75" customHeight="1">
      <c r="B189" s="4" t="s">
        <v>347</v>
      </c>
      <c r="C189" s="4" t="s">
        <v>345</v>
      </c>
    </row>
    <row r="190" ht="15.75" customHeight="1">
      <c r="B190" s="4" t="s">
        <v>347</v>
      </c>
      <c r="C190" s="4" t="s">
        <v>345</v>
      </c>
    </row>
    <row r="191" ht="15.75" customHeight="1">
      <c r="B191" s="4" t="s">
        <v>352</v>
      </c>
      <c r="C191" s="4" t="s">
        <v>350</v>
      </c>
    </row>
    <row r="192" ht="15.75" customHeight="1">
      <c r="B192" s="4" t="s">
        <v>352</v>
      </c>
      <c r="C192" s="4" t="s">
        <v>350</v>
      </c>
    </row>
    <row r="193" ht="15.75" customHeight="1">
      <c r="B193" s="4" t="s">
        <v>352</v>
      </c>
      <c r="C193" s="4" t="s">
        <v>350</v>
      </c>
    </row>
    <row r="194" ht="15.75" customHeight="1">
      <c r="B194" s="4" t="s">
        <v>357</v>
      </c>
      <c r="C194" s="4" t="s">
        <v>355</v>
      </c>
    </row>
    <row r="195" ht="15.75" customHeight="1">
      <c r="B195" s="4" t="s">
        <v>357</v>
      </c>
      <c r="C195" s="4" t="s">
        <v>355</v>
      </c>
    </row>
    <row r="196" ht="15.75" customHeight="1">
      <c r="B196" s="4" t="s">
        <v>357</v>
      </c>
      <c r="C196" s="4" t="s">
        <v>355</v>
      </c>
    </row>
    <row r="197" ht="15.75" customHeight="1">
      <c r="B197" s="4" t="s">
        <v>363</v>
      </c>
      <c r="C197" s="4" t="s">
        <v>360</v>
      </c>
    </row>
    <row r="198" ht="15.75" customHeight="1">
      <c r="B198" s="4" t="s">
        <v>363</v>
      </c>
      <c r="C198" s="4" t="s">
        <v>360</v>
      </c>
    </row>
    <row r="199" ht="15.75" customHeight="1">
      <c r="B199" s="4" t="s">
        <v>363</v>
      </c>
      <c r="C199" s="4" t="s">
        <v>360</v>
      </c>
    </row>
    <row r="200" ht="15.75" customHeight="1">
      <c r="B200" s="4" t="s">
        <v>368</v>
      </c>
      <c r="C200" s="4" t="s">
        <v>366</v>
      </c>
    </row>
    <row r="201" ht="15.75" customHeight="1">
      <c r="B201" s="4" t="s">
        <v>368</v>
      </c>
      <c r="C201" s="4" t="s">
        <v>366</v>
      </c>
    </row>
    <row r="202" ht="15.75" customHeight="1">
      <c r="B202" s="4" t="s">
        <v>368</v>
      </c>
      <c r="C202" s="4" t="s">
        <v>366</v>
      </c>
    </row>
    <row r="203" ht="15.75" customHeight="1">
      <c r="B203" s="4" t="s">
        <v>373</v>
      </c>
      <c r="C203" s="4" t="s">
        <v>371</v>
      </c>
    </row>
    <row r="204" ht="15.75" customHeight="1">
      <c r="B204" s="4" t="s">
        <v>373</v>
      </c>
      <c r="C204" s="4" t="s">
        <v>371</v>
      </c>
    </row>
    <row r="205" ht="15.75" customHeight="1">
      <c r="B205" s="4" t="s">
        <v>373</v>
      </c>
      <c r="C205" s="4" t="s">
        <v>371</v>
      </c>
    </row>
    <row r="206" ht="15.75" customHeight="1">
      <c r="B206" s="4" t="s">
        <v>379</v>
      </c>
      <c r="C206" s="4" t="s">
        <v>376</v>
      </c>
    </row>
    <row r="207" ht="15.75" customHeight="1">
      <c r="B207" s="4" t="s">
        <v>379</v>
      </c>
      <c r="C207" s="4" t="s">
        <v>376</v>
      </c>
    </row>
    <row r="208" ht="15.75" customHeight="1">
      <c r="B208" s="4" t="s">
        <v>379</v>
      </c>
      <c r="C208" s="4" t="s">
        <v>376</v>
      </c>
    </row>
    <row r="209" ht="15.75" customHeight="1">
      <c r="B209" s="4" t="s">
        <v>384</v>
      </c>
      <c r="C209" s="4" t="s">
        <v>382</v>
      </c>
    </row>
    <row r="210" ht="15.75" customHeight="1">
      <c r="B210" s="4" t="s">
        <v>384</v>
      </c>
      <c r="C210" s="4" t="s">
        <v>382</v>
      </c>
    </row>
    <row r="211" ht="15.75" customHeight="1">
      <c r="B211" s="4" t="s">
        <v>384</v>
      </c>
      <c r="C211" s="4" t="s">
        <v>382</v>
      </c>
    </row>
    <row r="212" ht="15.75" customHeight="1">
      <c r="B212" s="4" t="s">
        <v>389</v>
      </c>
      <c r="C212" s="4" t="s">
        <v>387</v>
      </c>
    </row>
    <row r="213" ht="15.75" customHeight="1">
      <c r="B213" s="4" t="s">
        <v>389</v>
      </c>
      <c r="C213" s="4" t="s">
        <v>387</v>
      </c>
    </row>
    <row r="214" ht="15.75" customHeight="1">
      <c r="B214" s="4" t="s">
        <v>389</v>
      </c>
      <c r="C214" s="4" t="s">
        <v>387</v>
      </c>
    </row>
    <row r="215" ht="15.75" customHeight="1">
      <c r="B215" s="4" t="s">
        <v>395</v>
      </c>
      <c r="C215" s="4" t="s">
        <v>392</v>
      </c>
    </row>
    <row r="216" ht="15.75" customHeight="1">
      <c r="B216" s="4" t="s">
        <v>395</v>
      </c>
      <c r="C216" s="4" t="s">
        <v>392</v>
      </c>
    </row>
    <row r="217" ht="15.75" customHeight="1">
      <c r="B217" s="4" t="s">
        <v>395</v>
      </c>
      <c r="C217" s="4" t="s">
        <v>392</v>
      </c>
    </row>
    <row r="218" ht="15.75" customHeight="1">
      <c r="B218" s="4" t="s">
        <v>400</v>
      </c>
      <c r="C218" s="4" t="s">
        <v>398</v>
      </c>
    </row>
    <row r="219" ht="15.75" customHeight="1">
      <c r="B219" s="4" t="s">
        <v>400</v>
      </c>
      <c r="C219" s="4" t="s">
        <v>398</v>
      </c>
    </row>
    <row r="220" ht="15.75" customHeight="1">
      <c r="B220" s="4" t="s">
        <v>400</v>
      </c>
      <c r="C220" s="4" t="s">
        <v>398</v>
      </c>
    </row>
    <row r="221" ht="15.75" customHeight="1">
      <c r="B221" s="4" t="s">
        <v>405</v>
      </c>
      <c r="C221" s="4" t="s">
        <v>403</v>
      </c>
    </row>
    <row r="222" ht="15.75" customHeight="1">
      <c r="B222" s="4" t="s">
        <v>405</v>
      </c>
      <c r="C222" s="4" t="s">
        <v>403</v>
      </c>
    </row>
    <row r="223" ht="15.75" customHeight="1">
      <c r="B223" s="4" t="s">
        <v>405</v>
      </c>
      <c r="C223" s="4" t="s">
        <v>403</v>
      </c>
    </row>
    <row r="224" ht="15.75" customHeight="1">
      <c r="B224" s="4" t="s">
        <v>410</v>
      </c>
      <c r="C224" s="4" t="s">
        <v>408</v>
      </c>
    </row>
    <row r="225" ht="15.75" customHeight="1">
      <c r="B225" s="4" t="s">
        <v>410</v>
      </c>
      <c r="C225" s="4" t="s">
        <v>408</v>
      </c>
    </row>
    <row r="226" ht="15.75" customHeight="1">
      <c r="B226" s="4" t="s">
        <v>410</v>
      </c>
      <c r="C226" s="4" t="s">
        <v>408</v>
      </c>
    </row>
    <row r="227" ht="15.75" customHeight="1">
      <c r="B227" s="4" t="s">
        <v>415</v>
      </c>
      <c r="C227" s="4" t="s">
        <v>413</v>
      </c>
    </row>
    <row r="228" ht="15.75" customHeight="1">
      <c r="B228" s="4" t="s">
        <v>415</v>
      </c>
      <c r="C228" s="4" t="s">
        <v>413</v>
      </c>
    </row>
    <row r="229" ht="15.75" customHeight="1">
      <c r="B229" s="4" t="s">
        <v>415</v>
      </c>
      <c r="C229" s="4" t="s">
        <v>413</v>
      </c>
    </row>
    <row r="230" ht="15.75" customHeight="1">
      <c r="B230" s="4" t="s">
        <v>420</v>
      </c>
      <c r="C230" s="4" t="s">
        <v>418</v>
      </c>
    </row>
    <row r="231" ht="15.75" customHeight="1">
      <c r="B231" s="4" t="s">
        <v>420</v>
      </c>
      <c r="C231" s="4" t="s">
        <v>418</v>
      </c>
    </row>
    <row r="232" ht="15.75" customHeight="1">
      <c r="B232" s="4" t="s">
        <v>420</v>
      </c>
      <c r="C232" s="4" t="s">
        <v>418</v>
      </c>
    </row>
    <row r="233" ht="15.75" customHeight="1">
      <c r="B233" s="4" t="s">
        <v>426</v>
      </c>
      <c r="C233" s="4" t="s">
        <v>423</v>
      </c>
    </row>
    <row r="234" ht="15.75" customHeight="1">
      <c r="B234" s="4" t="s">
        <v>426</v>
      </c>
      <c r="C234" s="4" t="s">
        <v>423</v>
      </c>
    </row>
    <row r="235" ht="15.75" customHeight="1">
      <c r="B235" s="4" t="s">
        <v>426</v>
      </c>
      <c r="C235" s="4" t="s">
        <v>423</v>
      </c>
    </row>
    <row r="236" ht="15.75" customHeight="1">
      <c r="B236" s="4" t="s">
        <v>431</v>
      </c>
      <c r="C236" s="4" t="s">
        <v>429</v>
      </c>
    </row>
    <row r="237" ht="15.75" customHeight="1">
      <c r="B237" s="4" t="s">
        <v>431</v>
      </c>
      <c r="C237" s="4" t="s">
        <v>429</v>
      </c>
    </row>
    <row r="238" ht="15.75" customHeight="1">
      <c r="B238" s="4" t="s">
        <v>431</v>
      </c>
      <c r="C238" s="4" t="s">
        <v>429</v>
      </c>
    </row>
    <row r="239" ht="15.75" customHeight="1">
      <c r="B239" s="4" t="s">
        <v>436</v>
      </c>
      <c r="C239" s="4" t="s">
        <v>434</v>
      </c>
    </row>
    <row r="240" ht="15.75" customHeight="1">
      <c r="B240" s="4" t="s">
        <v>436</v>
      </c>
      <c r="C240" s="4" t="s">
        <v>434</v>
      </c>
    </row>
    <row r="241" ht="15.75" customHeight="1">
      <c r="B241" s="4" t="s">
        <v>436</v>
      </c>
      <c r="C241" s="4" t="s">
        <v>434</v>
      </c>
    </row>
    <row r="242" ht="15.75" customHeight="1">
      <c r="B242" s="4" t="s">
        <v>441</v>
      </c>
      <c r="C242" s="4" t="s">
        <v>439</v>
      </c>
    </row>
    <row r="243" ht="15.75" customHeight="1">
      <c r="B243" s="4" t="s">
        <v>441</v>
      </c>
      <c r="C243" s="4" t="s">
        <v>439</v>
      </c>
    </row>
    <row r="244" ht="15.75" customHeight="1">
      <c r="B244" s="4" t="s">
        <v>441</v>
      </c>
      <c r="C244" s="4" t="s">
        <v>439</v>
      </c>
    </row>
    <row r="245" ht="15.75" customHeight="1">
      <c r="B245" s="4" t="s">
        <v>446</v>
      </c>
      <c r="C245" s="4" t="s">
        <v>444</v>
      </c>
    </row>
    <row r="246" ht="15.75" customHeight="1">
      <c r="B246" s="4" t="s">
        <v>446</v>
      </c>
      <c r="C246" s="4" t="s">
        <v>444</v>
      </c>
    </row>
    <row r="247" ht="15.75" customHeight="1">
      <c r="B247" s="4" t="s">
        <v>446</v>
      </c>
      <c r="C247" s="4" t="s">
        <v>444</v>
      </c>
    </row>
    <row r="248" ht="15.75" customHeight="1">
      <c r="B248" s="4" t="s">
        <v>452</v>
      </c>
      <c r="C248" s="4" t="s">
        <v>449</v>
      </c>
    </row>
    <row r="249" ht="15.75" customHeight="1">
      <c r="B249" s="4" t="s">
        <v>452</v>
      </c>
      <c r="C249" s="4" t="s">
        <v>449</v>
      </c>
    </row>
    <row r="250" ht="15.75" customHeight="1">
      <c r="B250" s="4" t="s">
        <v>452</v>
      </c>
      <c r="C250" s="4" t="s">
        <v>449</v>
      </c>
    </row>
    <row r="251" ht="15.75" customHeight="1">
      <c r="B251" s="4" t="s">
        <v>457</v>
      </c>
      <c r="C251" s="4" t="s">
        <v>455</v>
      </c>
    </row>
    <row r="252" ht="15.75" customHeight="1">
      <c r="B252" s="4" t="s">
        <v>457</v>
      </c>
      <c r="C252" s="4" t="s">
        <v>455</v>
      </c>
    </row>
    <row r="253" ht="15.75" customHeight="1">
      <c r="B253" s="4" t="s">
        <v>457</v>
      </c>
      <c r="C253" s="4" t="s">
        <v>455</v>
      </c>
    </row>
    <row r="254" ht="15.75" customHeight="1">
      <c r="B254" s="4" t="s">
        <v>462</v>
      </c>
      <c r="C254" s="4" t="s">
        <v>460</v>
      </c>
    </row>
    <row r="255" ht="15.75" customHeight="1">
      <c r="B255" s="4" t="s">
        <v>462</v>
      </c>
      <c r="C255" s="4" t="s">
        <v>460</v>
      </c>
    </row>
    <row r="256" ht="15.75" customHeight="1">
      <c r="B256" s="4" t="s">
        <v>462</v>
      </c>
      <c r="C256" s="4" t="s">
        <v>460</v>
      </c>
    </row>
    <row r="257" ht="15.75" customHeight="1">
      <c r="B257" s="4" t="s">
        <v>467</v>
      </c>
      <c r="C257" s="4" t="s">
        <v>465</v>
      </c>
    </row>
    <row r="258" ht="15.75" customHeight="1">
      <c r="B258" s="4" t="s">
        <v>467</v>
      </c>
      <c r="C258" s="4" t="s">
        <v>465</v>
      </c>
    </row>
    <row r="259" ht="15.75" customHeight="1">
      <c r="B259" s="4" t="s">
        <v>467</v>
      </c>
      <c r="C259" s="4" t="s">
        <v>465</v>
      </c>
    </row>
    <row r="260" ht="15.75" customHeight="1">
      <c r="B260" s="4" t="s">
        <v>472</v>
      </c>
      <c r="C260" s="4" t="s">
        <v>470</v>
      </c>
    </row>
    <row r="261" ht="15.75" customHeight="1">
      <c r="B261" s="4" t="s">
        <v>472</v>
      </c>
      <c r="C261" s="4" t="s">
        <v>470</v>
      </c>
    </row>
    <row r="262" ht="15.75" customHeight="1">
      <c r="B262" s="4" t="s">
        <v>472</v>
      </c>
      <c r="C262" s="4" t="s">
        <v>470</v>
      </c>
    </row>
    <row r="263" ht="15.75" customHeight="1">
      <c r="B263" s="4" t="s">
        <v>477</v>
      </c>
      <c r="C263" s="4" t="s">
        <v>475</v>
      </c>
    </row>
    <row r="264" ht="15.75" customHeight="1">
      <c r="B264" s="4" t="s">
        <v>477</v>
      </c>
      <c r="C264" s="4" t="s">
        <v>475</v>
      </c>
    </row>
    <row r="265" ht="15.75" customHeight="1">
      <c r="B265" s="4" t="s">
        <v>477</v>
      </c>
      <c r="C265" s="4" t="s">
        <v>475</v>
      </c>
    </row>
    <row r="266" ht="15.75" customHeight="1">
      <c r="B266" s="4" t="s">
        <v>483</v>
      </c>
      <c r="C266" s="4" t="s">
        <v>480</v>
      </c>
    </row>
    <row r="267" ht="15.75" customHeight="1">
      <c r="B267" s="4" t="s">
        <v>483</v>
      </c>
      <c r="C267" s="4" t="s">
        <v>480</v>
      </c>
    </row>
    <row r="268" ht="15.75" customHeight="1">
      <c r="B268" s="4" t="s">
        <v>483</v>
      </c>
      <c r="C268" s="4" t="s">
        <v>480</v>
      </c>
    </row>
    <row r="269" ht="15.75" customHeight="1">
      <c r="B269" s="4" t="s">
        <v>488</v>
      </c>
      <c r="C269" s="4" t="s">
        <v>486</v>
      </c>
    </row>
    <row r="270" ht="15.75" customHeight="1">
      <c r="B270" s="4" t="s">
        <v>488</v>
      </c>
      <c r="C270" s="4" t="s">
        <v>486</v>
      </c>
    </row>
    <row r="271" ht="15.75" customHeight="1">
      <c r="B271" s="4" t="s">
        <v>488</v>
      </c>
      <c r="C271" s="4" t="s">
        <v>486</v>
      </c>
    </row>
    <row r="272" ht="15.75" customHeight="1">
      <c r="B272" s="4" t="s">
        <v>493</v>
      </c>
      <c r="C272" s="4" t="s">
        <v>491</v>
      </c>
    </row>
    <row r="273" ht="15.75" customHeight="1">
      <c r="B273" s="4" t="s">
        <v>493</v>
      </c>
      <c r="C273" s="4" t="s">
        <v>491</v>
      </c>
    </row>
    <row r="274" ht="15.75" customHeight="1">
      <c r="B274" s="4" t="s">
        <v>493</v>
      </c>
      <c r="C274" s="4" t="s">
        <v>491</v>
      </c>
    </row>
    <row r="275" ht="15.75" customHeight="1">
      <c r="B275" s="4" t="s">
        <v>498</v>
      </c>
      <c r="C275" s="4" t="s">
        <v>496</v>
      </c>
    </row>
    <row r="276" ht="15.75" customHeight="1">
      <c r="B276" s="4" t="s">
        <v>498</v>
      </c>
      <c r="C276" s="4" t="s">
        <v>496</v>
      </c>
    </row>
    <row r="277" ht="15.75" customHeight="1">
      <c r="B277" s="4" t="s">
        <v>498</v>
      </c>
      <c r="C277" s="4" t="s">
        <v>496</v>
      </c>
    </row>
    <row r="278" ht="15.75" customHeight="1">
      <c r="B278" s="4" t="s">
        <v>504</v>
      </c>
      <c r="C278" s="4" t="s">
        <v>501</v>
      </c>
    </row>
    <row r="279" ht="15.75" customHeight="1">
      <c r="B279" s="4" t="s">
        <v>504</v>
      </c>
      <c r="C279" s="4" t="s">
        <v>501</v>
      </c>
    </row>
    <row r="280" ht="15.75" customHeight="1">
      <c r="B280" s="4" t="s">
        <v>504</v>
      </c>
      <c r="C280" s="4" t="s">
        <v>501</v>
      </c>
    </row>
    <row r="281" ht="15.75" customHeight="1">
      <c r="B281" s="4" t="s">
        <v>509</v>
      </c>
      <c r="C281" s="4" t="s">
        <v>507</v>
      </c>
    </row>
    <row r="282" ht="15.75" customHeight="1">
      <c r="B282" s="4" t="s">
        <v>509</v>
      </c>
      <c r="C282" s="4" t="s">
        <v>507</v>
      </c>
    </row>
    <row r="283" ht="15.75" customHeight="1">
      <c r="B283" s="4" t="s">
        <v>509</v>
      </c>
      <c r="C283" s="4" t="s">
        <v>507</v>
      </c>
    </row>
    <row r="284" ht="15.75" customHeight="1">
      <c r="B284" s="4" t="s">
        <v>514</v>
      </c>
      <c r="C284" s="4" t="s">
        <v>512</v>
      </c>
    </row>
    <row r="285" ht="15.75" customHeight="1">
      <c r="B285" s="4" t="s">
        <v>514</v>
      </c>
      <c r="C285" s="4" t="s">
        <v>512</v>
      </c>
    </row>
    <row r="286" ht="15.75" customHeight="1">
      <c r="B286" s="4" t="s">
        <v>514</v>
      </c>
      <c r="C286" s="4" t="s">
        <v>512</v>
      </c>
    </row>
    <row r="287" ht="15.75" customHeight="1">
      <c r="B287" s="4" t="s">
        <v>519</v>
      </c>
      <c r="C287" s="4" t="s">
        <v>517</v>
      </c>
    </row>
    <row r="288" ht="15.75" customHeight="1">
      <c r="B288" s="4" t="s">
        <v>519</v>
      </c>
      <c r="C288" s="4" t="s">
        <v>517</v>
      </c>
    </row>
    <row r="289" ht="15.75" customHeight="1">
      <c r="B289" s="4" t="s">
        <v>519</v>
      </c>
      <c r="C289" s="4" t="s">
        <v>517</v>
      </c>
    </row>
    <row r="290" ht="15.75" customHeight="1">
      <c r="B290" s="4" t="s">
        <v>524</v>
      </c>
      <c r="C290" s="4" t="s">
        <v>522</v>
      </c>
    </row>
    <row r="291" ht="15.75" customHeight="1">
      <c r="B291" s="4" t="s">
        <v>524</v>
      </c>
      <c r="C291" s="4" t="s">
        <v>522</v>
      </c>
    </row>
    <row r="292" ht="15.75" customHeight="1">
      <c r="B292" s="4" t="s">
        <v>524</v>
      </c>
      <c r="C292" s="4" t="s">
        <v>522</v>
      </c>
    </row>
    <row r="293" ht="15.75" customHeight="1">
      <c r="B293" s="4" t="s">
        <v>530</v>
      </c>
      <c r="C293" s="4" t="s">
        <v>527</v>
      </c>
    </row>
    <row r="294" ht="15.75" customHeight="1">
      <c r="B294" s="4" t="s">
        <v>530</v>
      </c>
      <c r="C294" s="4" t="s">
        <v>527</v>
      </c>
    </row>
    <row r="295" ht="15.75" customHeight="1">
      <c r="B295" s="4" t="s">
        <v>530</v>
      </c>
      <c r="C295" s="4" t="s">
        <v>527</v>
      </c>
    </row>
    <row r="296" ht="15.75" customHeight="1">
      <c r="B296" s="4" t="s">
        <v>535</v>
      </c>
      <c r="C296" s="4" t="s">
        <v>533</v>
      </c>
    </row>
    <row r="297" ht="15.75" customHeight="1">
      <c r="B297" s="4" t="s">
        <v>535</v>
      </c>
      <c r="C297" s="4" t="s">
        <v>533</v>
      </c>
    </row>
    <row r="298" ht="15.75" customHeight="1">
      <c r="B298" s="4" t="s">
        <v>535</v>
      </c>
      <c r="C298" s="4" t="s">
        <v>533</v>
      </c>
    </row>
    <row r="299" ht="15.75" customHeight="1">
      <c r="B299" s="4" t="s">
        <v>540</v>
      </c>
      <c r="C299" s="4" t="s">
        <v>538</v>
      </c>
    </row>
    <row r="300" ht="15.75" customHeight="1">
      <c r="B300" s="4" t="s">
        <v>540</v>
      </c>
      <c r="C300" s="4" t="s">
        <v>538</v>
      </c>
    </row>
    <row r="301" ht="15.75" customHeight="1">
      <c r="B301" s="4" t="s">
        <v>540</v>
      </c>
      <c r="C301" s="4" t="s">
        <v>538</v>
      </c>
    </row>
    <row r="302" ht="15.75" customHeight="1">
      <c r="B302" s="4" t="s">
        <v>545</v>
      </c>
      <c r="C302" s="4" t="s">
        <v>543</v>
      </c>
    </row>
    <row r="303" ht="15.75" customHeight="1">
      <c r="B303" s="4" t="s">
        <v>545</v>
      </c>
      <c r="C303" s="4" t="s">
        <v>543</v>
      </c>
    </row>
    <row r="304" ht="15.75" customHeight="1">
      <c r="B304" s="4" t="s">
        <v>545</v>
      </c>
      <c r="C304" s="4" t="s">
        <v>543</v>
      </c>
    </row>
    <row r="305" ht="15.75" customHeight="1">
      <c r="B305" s="4" t="s">
        <v>550</v>
      </c>
      <c r="C305" s="4" t="s">
        <v>548</v>
      </c>
    </row>
    <row r="306" ht="15.75" customHeight="1">
      <c r="B306" s="4" t="s">
        <v>550</v>
      </c>
      <c r="C306" s="4" t="s">
        <v>548</v>
      </c>
    </row>
    <row r="307" ht="15.75" customHeight="1">
      <c r="B307" s="4" t="s">
        <v>550</v>
      </c>
      <c r="C307" s="4" t="s">
        <v>548</v>
      </c>
    </row>
    <row r="308" ht="15.75" customHeight="1">
      <c r="B308" s="4" t="s">
        <v>556</v>
      </c>
      <c r="C308" s="4" t="s">
        <v>553</v>
      </c>
    </row>
    <row r="309" ht="15.75" customHeight="1">
      <c r="B309" s="4" t="s">
        <v>556</v>
      </c>
      <c r="C309" s="4" t="s">
        <v>553</v>
      </c>
    </row>
    <row r="310" ht="15.75" customHeight="1">
      <c r="B310" s="4" t="s">
        <v>556</v>
      </c>
      <c r="C310" s="4" t="s">
        <v>553</v>
      </c>
    </row>
    <row r="311" ht="15.75" customHeight="1">
      <c r="B311" s="4" t="s">
        <v>561</v>
      </c>
      <c r="C311" s="4" t="s">
        <v>559</v>
      </c>
    </row>
    <row r="312" ht="15.75" customHeight="1">
      <c r="B312" s="4" t="s">
        <v>561</v>
      </c>
      <c r="C312" s="4" t="s">
        <v>559</v>
      </c>
    </row>
    <row r="313" ht="15.75" customHeight="1">
      <c r="B313" s="4" t="s">
        <v>561</v>
      </c>
      <c r="C313" s="4" t="s">
        <v>559</v>
      </c>
    </row>
    <row r="314" ht="15.75" customHeight="1">
      <c r="B314" s="4" t="s">
        <v>566</v>
      </c>
      <c r="C314" s="4" t="s">
        <v>564</v>
      </c>
    </row>
    <row r="315" ht="15.75" customHeight="1">
      <c r="B315" s="4" t="s">
        <v>566</v>
      </c>
      <c r="C315" s="4" t="s">
        <v>564</v>
      </c>
    </row>
    <row r="316" ht="15.75" customHeight="1">
      <c r="B316" s="4" t="s">
        <v>566</v>
      </c>
      <c r="C316" s="4" t="s">
        <v>564</v>
      </c>
    </row>
    <row r="317" ht="15.75" customHeight="1">
      <c r="B317" s="4" t="s">
        <v>571</v>
      </c>
      <c r="C317" s="4" t="s">
        <v>569</v>
      </c>
    </row>
    <row r="318" ht="15.75" customHeight="1">
      <c r="B318" s="4" t="s">
        <v>571</v>
      </c>
      <c r="C318" s="4" t="s">
        <v>569</v>
      </c>
    </row>
    <row r="319" ht="15.75" customHeight="1">
      <c r="B319" s="4" t="s">
        <v>571</v>
      </c>
      <c r="C319" s="4" t="s">
        <v>569</v>
      </c>
    </row>
    <row r="320" ht="15.75" customHeight="1">
      <c r="B320" s="4" t="s">
        <v>576</v>
      </c>
      <c r="C320" s="4" t="s">
        <v>574</v>
      </c>
    </row>
    <row r="321" ht="15.75" customHeight="1">
      <c r="B321" s="4" t="s">
        <v>576</v>
      </c>
      <c r="C321" s="4" t="s">
        <v>574</v>
      </c>
    </row>
    <row r="322" ht="15.75" customHeight="1">
      <c r="B322" s="4" t="s">
        <v>576</v>
      </c>
      <c r="C322" s="4" t="s">
        <v>574</v>
      </c>
    </row>
    <row r="323" ht="15.75" customHeight="1">
      <c r="B323" s="4" t="s">
        <v>581</v>
      </c>
      <c r="C323" s="4" t="s">
        <v>579</v>
      </c>
    </row>
    <row r="324" ht="15.75" customHeight="1">
      <c r="B324" s="4" t="s">
        <v>581</v>
      </c>
      <c r="C324" s="4" t="s">
        <v>579</v>
      </c>
    </row>
    <row r="325" ht="15.75" customHeight="1">
      <c r="B325" s="4" t="s">
        <v>581</v>
      </c>
      <c r="C325" s="4" t="s">
        <v>579</v>
      </c>
    </row>
    <row r="326" ht="15.75" customHeight="1">
      <c r="B326" s="4" t="s">
        <v>586</v>
      </c>
      <c r="C326" s="4" t="s">
        <v>584</v>
      </c>
    </row>
    <row r="327" ht="15.75" customHeight="1">
      <c r="B327" s="4" t="s">
        <v>586</v>
      </c>
      <c r="C327" s="4" t="s">
        <v>584</v>
      </c>
    </row>
    <row r="328" ht="15.75" customHeight="1">
      <c r="B328" s="4" t="s">
        <v>586</v>
      </c>
      <c r="C328" s="4" t="s">
        <v>584</v>
      </c>
    </row>
    <row r="329" ht="15.75" customHeight="1">
      <c r="B329" s="4" t="s">
        <v>591</v>
      </c>
      <c r="C329" s="4" t="s">
        <v>589</v>
      </c>
    </row>
    <row r="330" ht="15.75" customHeight="1">
      <c r="B330" s="4" t="s">
        <v>591</v>
      </c>
      <c r="C330" s="4" t="s">
        <v>589</v>
      </c>
    </row>
    <row r="331" ht="15.75" customHeight="1">
      <c r="B331" s="4" t="s">
        <v>591</v>
      </c>
      <c r="C331" s="4" t="s">
        <v>589</v>
      </c>
    </row>
    <row r="332" ht="15.75" customHeight="1">
      <c r="B332" s="4" t="s">
        <v>596</v>
      </c>
      <c r="C332" s="4" t="s">
        <v>594</v>
      </c>
    </row>
    <row r="333" ht="15.75" customHeight="1">
      <c r="B333" s="4" t="s">
        <v>596</v>
      </c>
      <c r="C333" s="4" t="s">
        <v>594</v>
      </c>
    </row>
    <row r="334" ht="15.75" customHeight="1">
      <c r="B334" s="4" t="s">
        <v>596</v>
      </c>
      <c r="C334" s="4" t="s">
        <v>594</v>
      </c>
    </row>
    <row r="335" ht="15.75" customHeight="1">
      <c r="B335" s="4" t="s">
        <v>601</v>
      </c>
      <c r="C335" s="4" t="s">
        <v>599</v>
      </c>
    </row>
    <row r="336" ht="15.75" customHeight="1">
      <c r="B336" s="4" t="s">
        <v>601</v>
      </c>
      <c r="C336" s="4" t="s">
        <v>599</v>
      </c>
    </row>
    <row r="337" ht="15.75" customHeight="1">
      <c r="B337" s="4" t="s">
        <v>601</v>
      </c>
      <c r="C337" s="4" t="s">
        <v>599</v>
      </c>
    </row>
    <row r="338" ht="15.75" customHeight="1">
      <c r="B338" s="4" t="s">
        <v>606</v>
      </c>
      <c r="C338" s="4" t="s">
        <v>604</v>
      </c>
    </row>
    <row r="339" ht="15.75" customHeight="1">
      <c r="B339" s="4" t="s">
        <v>606</v>
      </c>
      <c r="C339" s="4" t="s">
        <v>604</v>
      </c>
    </row>
    <row r="340" ht="15.75" customHeight="1">
      <c r="B340" s="4" t="s">
        <v>606</v>
      </c>
      <c r="C340" s="4" t="s">
        <v>604</v>
      </c>
    </row>
    <row r="341" ht="15.75" customHeight="1">
      <c r="B341" s="4" t="s">
        <v>611</v>
      </c>
      <c r="C341" s="4" t="s">
        <v>609</v>
      </c>
    </row>
    <row r="342" ht="15.75" customHeight="1">
      <c r="B342" s="4" t="s">
        <v>611</v>
      </c>
      <c r="C342" s="4" t="s">
        <v>609</v>
      </c>
    </row>
    <row r="343" ht="15.75" customHeight="1">
      <c r="B343" s="4" t="s">
        <v>611</v>
      </c>
      <c r="C343" s="4" t="s">
        <v>609</v>
      </c>
    </row>
    <row r="344" ht="15.75" customHeight="1">
      <c r="B344" s="4" t="s">
        <v>616</v>
      </c>
      <c r="C344" s="4" t="s">
        <v>614</v>
      </c>
    </row>
    <row r="345" ht="15.75" customHeight="1">
      <c r="B345" s="4" t="s">
        <v>616</v>
      </c>
      <c r="C345" s="4" t="s">
        <v>614</v>
      </c>
    </row>
    <row r="346" ht="15.75" customHeight="1">
      <c r="B346" s="4" t="s">
        <v>616</v>
      </c>
      <c r="C346" s="4" t="s">
        <v>614</v>
      </c>
    </row>
    <row r="347" ht="15.75" customHeight="1">
      <c r="B347" s="4" t="s">
        <v>621</v>
      </c>
      <c r="C347" s="4" t="s">
        <v>619</v>
      </c>
    </row>
    <row r="348" ht="15.75" customHeight="1">
      <c r="B348" s="4" t="s">
        <v>621</v>
      </c>
      <c r="C348" s="4" t="s">
        <v>619</v>
      </c>
    </row>
    <row r="349" ht="15.75" customHeight="1">
      <c r="B349" s="4" t="s">
        <v>621</v>
      </c>
      <c r="C349" s="4" t="s">
        <v>619</v>
      </c>
    </row>
    <row r="350" ht="15.75" customHeight="1">
      <c r="B350" s="4" t="s">
        <v>626</v>
      </c>
      <c r="C350" s="4" t="s">
        <v>624</v>
      </c>
    </row>
    <row r="351" ht="15.75" customHeight="1">
      <c r="B351" s="4" t="s">
        <v>626</v>
      </c>
      <c r="C351" s="4" t="s">
        <v>624</v>
      </c>
    </row>
    <row r="352" ht="15.75" customHeight="1">
      <c r="B352" s="4" t="s">
        <v>626</v>
      </c>
      <c r="C352" s="4" t="s">
        <v>624</v>
      </c>
    </row>
    <row r="353" ht="15.75" customHeight="1">
      <c r="B353" s="4" t="s">
        <v>631</v>
      </c>
      <c r="C353" s="4" t="s">
        <v>629</v>
      </c>
    </row>
    <row r="354" ht="15.75" customHeight="1">
      <c r="B354" s="4" t="s">
        <v>631</v>
      </c>
      <c r="C354" s="4" t="s">
        <v>629</v>
      </c>
    </row>
    <row r="355" ht="15.75" customHeight="1">
      <c r="B355" s="4" t="s">
        <v>631</v>
      </c>
      <c r="C355" s="4" t="s">
        <v>629</v>
      </c>
    </row>
    <row r="356" ht="15.75" customHeight="1">
      <c r="B356" s="4" t="s">
        <v>636</v>
      </c>
      <c r="C356" s="4" t="s">
        <v>634</v>
      </c>
    </row>
    <row r="357" ht="15.75" customHeight="1">
      <c r="B357" s="4" t="s">
        <v>636</v>
      </c>
      <c r="C357" s="4" t="s">
        <v>634</v>
      </c>
    </row>
    <row r="358" ht="15.75" customHeight="1">
      <c r="B358" s="4" t="s">
        <v>636</v>
      </c>
      <c r="C358" s="4" t="s">
        <v>634</v>
      </c>
    </row>
    <row r="359" ht="15.75" customHeight="1">
      <c r="B359" s="4" t="s">
        <v>641</v>
      </c>
      <c r="C359" s="4" t="s">
        <v>639</v>
      </c>
    </row>
    <row r="360" ht="15.75" customHeight="1">
      <c r="B360" s="4" t="s">
        <v>641</v>
      </c>
      <c r="C360" s="4" t="s">
        <v>639</v>
      </c>
    </row>
    <row r="361" ht="15.75" customHeight="1">
      <c r="B361" s="4" t="s">
        <v>641</v>
      </c>
      <c r="C361" s="4" t="s">
        <v>639</v>
      </c>
    </row>
    <row r="362" ht="15.75" customHeight="1">
      <c r="B362" s="4" t="s">
        <v>646</v>
      </c>
      <c r="C362" s="4" t="s">
        <v>644</v>
      </c>
    </row>
    <row r="363" ht="15.75" customHeight="1">
      <c r="B363" s="4" t="s">
        <v>646</v>
      </c>
      <c r="C363" s="4" t="s">
        <v>644</v>
      </c>
    </row>
    <row r="364" ht="15.75" customHeight="1">
      <c r="B364" s="4" t="s">
        <v>646</v>
      </c>
      <c r="C364" s="4" t="s">
        <v>644</v>
      </c>
    </row>
    <row r="365" ht="15.75" customHeight="1">
      <c r="B365" s="4" t="s">
        <v>651</v>
      </c>
      <c r="C365" s="4" t="s">
        <v>649</v>
      </c>
    </row>
    <row r="366" ht="15.75" customHeight="1">
      <c r="B366" s="4" t="s">
        <v>651</v>
      </c>
      <c r="C366" s="4" t="s">
        <v>649</v>
      </c>
    </row>
    <row r="367" ht="15.75" customHeight="1">
      <c r="B367" s="4" t="s">
        <v>651</v>
      </c>
      <c r="C367" s="4" t="s">
        <v>649</v>
      </c>
    </row>
    <row r="368" ht="15.75" customHeight="1">
      <c r="B368" s="4" t="s">
        <v>656</v>
      </c>
      <c r="C368" s="4" t="s">
        <v>654</v>
      </c>
    </row>
    <row r="369" ht="15.75" customHeight="1">
      <c r="B369" s="4" t="s">
        <v>656</v>
      </c>
      <c r="C369" s="4" t="s">
        <v>654</v>
      </c>
    </row>
    <row r="370" ht="15.75" customHeight="1">
      <c r="B370" s="4" t="s">
        <v>656</v>
      </c>
      <c r="C370" s="4" t="s">
        <v>654</v>
      </c>
    </row>
    <row r="371" ht="15.75" customHeight="1">
      <c r="B371" s="4" t="s">
        <v>661</v>
      </c>
      <c r="C371" s="4" t="s">
        <v>659</v>
      </c>
    </row>
    <row r="372" ht="15.75" customHeight="1">
      <c r="B372" s="4" t="s">
        <v>661</v>
      </c>
      <c r="C372" s="4" t="s">
        <v>659</v>
      </c>
    </row>
    <row r="373" ht="15.75" customHeight="1">
      <c r="B373" s="4" t="s">
        <v>661</v>
      </c>
      <c r="C373" s="4" t="s">
        <v>659</v>
      </c>
    </row>
    <row r="374" ht="15.75" customHeight="1">
      <c r="B374" s="4" t="s">
        <v>667</v>
      </c>
      <c r="C374" s="4" t="s">
        <v>664</v>
      </c>
    </row>
    <row r="375" ht="15.75" customHeight="1">
      <c r="B375" s="4" t="s">
        <v>667</v>
      </c>
      <c r="C375" s="4" t="s">
        <v>664</v>
      </c>
    </row>
    <row r="376" ht="15.75" customHeight="1">
      <c r="B376" s="4" t="s">
        <v>667</v>
      </c>
      <c r="C376" s="4" t="s">
        <v>664</v>
      </c>
    </row>
    <row r="377" ht="15.75" customHeight="1">
      <c r="B377" s="4" t="s">
        <v>672</v>
      </c>
      <c r="C377" s="4" t="s">
        <v>670</v>
      </c>
    </row>
    <row r="378" ht="15.75" customHeight="1">
      <c r="B378" s="4" t="s">
        <v>672</v>
      </c>
      <c r="C378" s="4" t="s">
        <v>670</v>
      </c>
    </row>
    <row r="379" ht="15.75" customHeight="1">
      <c r="B379" s="4" t="s">
        <v>672</v>
      </c>
      <c r="C379" s="4" t="s">
        <v>670</v>
      </c>
    </row>
    <row r="380" ht="15.75" customHeight="1">
      <c r="B380" s="4" t="s">
        <v>677</v>
      </c>
      <c r="C380" s="4" t="s">
        <v>675</v>
      </c>
    </row>
    <row r="381" ht="15.75" customHeight="1">
      <c r="B381" s="4" t="s">
        <v>677</v>
      </c>
      <c r="C381" s="4" t="s">
        <v>675</v>
      </c>
    </row>
    <row r="382" ht="15.75" customHeight="1">
      <c r="B382" s="4" t="s">
        <v>677</v>
      </c>
      <c r="C382" s="4" t="s">
        <v>675</v>
      </c>
    </row>
    <row r="383" ht="15.75" customHeight="1">
      <c r="B383" s="4" t="s">
        <v>682</v>
      </c>
      <c r="C383" s="4" t="s">
        <v>680</v>
      </c>
    </row>
    <row r="384" ht="15.75" customHeight="1">
      <c r="B384" s="4" t="s">
        <v>682</v>
      </c>
      <c r="C384" s="4" t="s">
        <v>680</v>
      </c>
    </row>
    <row r="385" ht="15.75" customHeight="1">
      <c r="B385" s="4" t="s">
        <v>682</v>
      </c>
      <c r="C385" s="4" t="s">
        <v>680</v>
      </c>
    </row>
    <row r="386" ht="15.75" customHeight="1">
      <c r="B386" s="4" t="s">
        <v>687</v>
      </c>
      <c r="C386" s="4" t="s">
        <v>685</v>
      </c>
    </row>
    <row r="387" ht="15.75" customHeight="1">
      <c r="B387" s="4" t="s">
        <v>687</v>
      </c>
      <c r="C387" s="4" t="s">
        <v>685</v>
      </c>
    </row>
    <row r="388" ht="15.75" customHeight="1">
      <c r="B388" s="4" t="s">
        <v>687</v>
      </c>
      <c r="C388" s="4" t="s">
        <v>685</v>
      </c>
    </row>
    <row r="389" ht="15.75" customHeight="1">
      <c r="B389" s="4" t="s">
        <v>692</v>
      </c>
      <c r="C389" s="4" t="s">
        <v>690</v>
      </c>
    </row>
    <row r="390" ht="15.75" customHeight="1">
      <c r="B390" s="4" t="s">
        <v>692</v>
      </c>
      <c r="C390" s="4" t="s">
        <v>690</v>
      </c>
    </row>
    <row r="391" ht="15.75" customHeight="1">
      <c r="B391" s="4" t="s">
        <v>692</v>
      </c>
      <c r="C391" s="4" t="s">
        <v>690</v>
      </c>
    </row>
    <row r="392" ht="15.75" customHeight="1">
      <c r="B392" s="4" t="s">
        <v>697</v>
      </c>
      <c r="C392" s="4" t="s">
        <v>695</v>
      </c>
    </row>
    <row r="393" ht="15.75" customHeight="1">
      <c r="B393" s="4" t="s">
        <v>697</v>
      </c>
      <c r="C393" s="4" t="s">
        <v>695</v>
      </c>
    </row>
    <row r="394" ht="15.75" customHeight="1">
      <c r="B394" s="4" t="s">
        <v>697</v>
      </c>
      <c r="C394" s="4" t="s">
        <v>695</v>
      </c>
    </row>
    <row r="395" ht="15.75" customHeight="1">
      <c r="B395" s="4" t="s">
        <v>702</v>
      </c>
      <c r="C395" s="4" t="s">
        <v>700</v>
      </c>
    </row>
    <row r="396" ht="15.75" customHeight="1">
      <c r="B396" s="4" t="s">
        <v>702</v>
      </c>
      <c r="C396" s="4" t="s">
        <v>700</v>
      </c>
    </row>
    <row r="397" ht="15.75" customHeight="1">
      <c r="B397" s="4" t="s">
        <v>702</v>
      </c>
      <c r="C397" s="4" t="s">
        <v>700</v>
      </c>
    </row>
    <row r="398" ht="15.75" customHeight="1">
      <c r="B398" s="4" t="s">
        <v>707</v>
      </c>
      <c r="C398" s="4" t="s">
        <v>705</v>
      </c>
    </row>
    <row r="399" ht="15.75" customHeight="1">
      <c r="B399" s="4" t="s">
        <v>707</v>
      </c>
      <c r="C399" s="4" t="s">
        <v>705</v>
      </c>
    </row>
    <row r="400" ht="15.75" customHeight="1">
      <c r="B400" s="4" t="s">
        <v>707</v>
      </c>
      <c r="C400" s="4" t="s">
        <v>705</v>
      </c>
    </row>
    <row r="401" ht="15.75" customHeight="1">
      <c r="B401" s="4" t="s">
        <v>712</v>
      </c>
      <c r="C401" s="4" t="s">
        <v>710</v>
      </c>
    </row>
    <row r="402" ht="15.75" customHeight="1">
      <c r="B402" s="4" t="s">
        <v>712</v>
      </c>
      <c r="C402" s="4" t="s">
        <v>710</v>
      </c>
    </row>
    <row r="403" ht="15.75" customHeight="1">
      <c r="B403" s="4" t="s">
        <v>712</v>
      </c>
      <c r="C403" s="4" t="s">
        <v>710</v>
      </c>
    </row>
    <row r="404" ht="15.75" customHeight="1">
      <c r="B404" s="4" t="s">
        <v>718</v>
      </c>
      <c r="C404" s="4" t="s">
        <v>715</v>
      </c>
    </row>
    <row r="405" ht="15.75" customHeight="1">
      <c r="B405" s="4" t="s">
        <v>718</v>
      </c>
      <c r="C405" s="4" t="s">
        <v>715</v>
      </c>
    </row>
    <row r="406" ht="15.75" customHeight="1">
      <c r="B406" s="4" t="s">
        <v>718</v>
      </c>
      <c r="C406" s="4" t="s">
        <v>715</v>
      </c>
    </row>
    <row r="407" ht="15.75" customHeight="1">
      <c r="B407" s="4" t="s">
        <v>723</v>
      </c>
      <c r="C407" s="4" t="s">
        <v>721</v>
      </c>
    </row>
    <row r="408" ht="15.75" customHeight="1">
      <c r="B408" s="4" t="s">
        <v>723</v>
      </c>
      <c r="C408" s="4" t="s">
        <v>721</v>
      </c>
    </row>
    <row r="409" ht="15.75" customHeight="1">
      <c r="B409" s="4" t="s">
        <v>723</v>
      </c>
      <c r="C409" s="4" t="s">
        <v>721</v>
      </c>
    </row>
    <row r="410" ht="15.75" customHeight="1">
      <c r="B410" s="4" t="s">
        <v>728</v>
      </c>
      <c r="C410" s="4" t="s">
        <v>726</v>
      </c>
    </row>
    <row r="411" ht="15.75" customHeight="1">
      <c r="B411" s="4" t="s">
        <v>728</v>
      </c>
      <c r="C411" s="4" t="s">
        <v>726</v>
      </c>
    </row>
    <row r="412" ht="15.75" customHeight="1">
      <c r="B412" s="4" t="s">
        <v>728</v>
      </c>
      <c r="C412" s="4" t="s">
        <v>726</v>
      </c>
    </row>
    <row r="413" ht="15.75" customHeight="1">
      <c r="B413" s="4" t="s">
        <v>733</v>
      </c>
      <c r="C413" s="4" t="s">
        <v>731</v>
      </c>
    </row>
    <row r="414" ht="15.75" customHeight="1">
      <c r="B414" s="4" t="s">
        <v>733</v>
      </c>
      <c r="C414" s="4" t="s">
        <v>731</v>
      </c>
    </row>
    <row r="415" ht="15.75" customHeight="1">
      <c r="B415" s="4" t="s">
        <v>733</v>
      </c>
      <c r="C415" s="4" t="s">
        <v>731</v>
      </c>
    </row>
    <row r="416" ht="15.75" customHeight="1">
      <c r="B416" s="4" t="s">
        <v>738</v>
      </c>
      <c r="C416" s="4" t="s">
        <v>736</v>
      </c>
    </row>
    <row r="417" ht="15.75" customHeight="1">
      <c r="B417" s="4" t="s">
        <v>738</v>
      </c>
      <c r="C417" s="4" t="s">
        <v>736</v>
      </c>
    </row>
    <row r="418" ht="15.75" customHeight="1">
      <c r="B418" s="4" t="s">
        <v>738</v>
      </c>
      <c r="C418" s="4" t="s">
        <v>736</v>
      </c>
    </row>
    <row r="419" ht="15.75" customHeight="1">
      <c r="B419" s="4" t="s">
        <v>743</v>
      </c>
      <c r="C419" s="4" t="s">
        <v>741</v>
      </c>
    </row>
    <row r="420" ht="15.75" customHeight="1">
      <c r="B420" s="4" t="s">
        <v>743</v>
      </c>
      <c r="C420" s="4" t="s">
        <v>741</v>
      </c>
    </row>
    <row r="421" ht="15.75" customHeight="1">
      <c r="B421" s="4" t="s">
        <v>743</v>
      </c>
      <c r="C421" s="4" t="s">
        <v>741</v>
      </c>
    </row>
    <row r="422" ht="15.75" customHeight="1">
      <c r="B422" s="4" t="s">
        <v>748</v>
      </c>
      <c r="C422" s="4" t="s">
        <v>746</v>
      </c>
    </row>
    <row r="423" ht="15.75" customHeight="1">
      <c r="B423" s="4" t="s">
        <v>748</v>
      </c>
      <c r="C423" s="4" t="s">
        <v>746</v>
      </c>
    </row>
    <row r="424" ht="15.75" customHeight="1">
      <c r="B424" s="4" t="s">
        <v>748</v>
      </c>
      <c r="C424" s="4" t="s">
        <v>746</v>
      </c>
    </row>
    <row r="425" ht="15.75" customHeight="1">
      <c r="B425" s="4" t="s">
        <v>753</v>
      </c>
      <c r="C425" s="4" t="s">
        <v>751</v>
      </c>
    </row>
    <row r="426" ht="15.75" customHeight="1">
      <c r="B426" s="4" t="s">
        <v>753</v>
      </c>
      <c r="C426" s="4" t="s">
        <v>751</v>
      </c>
    </row>
    <row r="427" ht="15.75" customHeight="1">
      <c r="B427" s="4" t="s">
        <v>753</v>
      </c>
      <c r="C427" s="4" t="s">
        <v>751</v>
      </c>
    </row>
    <row r="428" ht="15.75" customHeight="1">
      <c r="B428" s="4" t="s">
        <v>759</v>
      </c>
      <c r="C428" s="4" t="s">
        <v>756</v>
      </c>
    </row>
    <row r="429" ht="15.75" customHeight="1">
      <c r="B429" s="4" t="s">
        <v>759</v>
      </c>
      <c r="C429" s="4" t="s">
        <v>756</v>
      </c>
    </row>
    <row r="430" ht="15.75" customHeight="1">
      <c r="B430" s="4" t="s">
        <v>759</v>
      </c>
      <c r="C430" s="4" t="s">
        <v>756</v>
      </c>
    </row>
    <row r="431" ht="15.75" customHeight="1">
      <c r="B431" s="4" t="s">
        <v>765</v>
      </c>
      <c r="C431" s="4" t="s">
        <v>762</v>
      </c>
    </row>
    <row r="432" ht="15.75" customHeight="1">
      <c r="B432" s="4" t="s">
        <v>765</v>
      </c>
      <c r="C432" s="4" t="s">
        <v>762</v>
      </c>
    </row>
    <row r="433" ht="15.75" customHeight="1">
      <c r="B433" s="4" t="s">
        <v>765</v>
      </c>
      <c r="C433" s="4" t="s">
        <v>762</v>
      </c>
    </row>
    <row r="434" ht="15.75" customHeight="1">
      <c r="B434" s="4" t="s">
        <v>770</v>
      </c>
      <c r="C434" s="4" t="s">
        <v>768</v>
      </c>
    </row>
    <row r="435" ht="15.75" customHeight="1">
      <c r="B435" s="4" t="s">
        <v>770</v>
      </c>
      <c r="C435" s="4" t="s">
        <v>768</v>
      </c>
    </row>
    <row r="436" ht="15.75" customHeight="1">
      <c r="B436" s="4" t="s">
        <v>770</v>
      </c>
      <c r="C436" s="4" t="s">
        <v>768</v>
      </c>
    </row>
    <row r="437" ht="15.75" customHeight="1">
      <c r="B437" s="4" t="s">
        <v>774</v>
      </c>
      <c r="C437" s="4" t="s">
        <v>773</v>
      </c>
    </row>
    <row r="438" ht="15.75" customHeight="1">
      <c r="B438" s="4" t="s">
        <v>774</v>
      </c>
      <c r="C438" s="4" t="s">
        <v>773</v>
      </c>
    </row>
    <row r="439" ht="15.75" customHeight="1">
      <c r="B439" s="4" t="s">
        <v>774</v>
      </c>
      <c r="C439" s="4" t="s">
        <v>773</v>
      </c>
    </row>
    <row r="440" ht="15.75" customHeight="1">
      <c r="B440" s="4" t="s">
        <v>779</v>
      </c>
      <c r="C440" s="4" t="s">
        <v>777</v>
      </c>
    </row>
    <row r="441" ht="15.75" customHeight="1">
      <c r="B441" s="4" t="s">
        <v>779</v>
      </c>
      <c r="C441" s="4" t="s">
        <v>777</v>
      </c>
    </row>
    <row r="442" ht="15.75" customHeight="1">
      <c r="B442" s="4" t="s">
        <v>779</v>
      </c>
      <c r="C442" s="4" t="s">
        <v>777</v>
      </c>
    </row>
    <row r="443" ht="15.75" customHeight="1">
      <c r="B443" s="4" t="s">
        <v>784</v>
      </c>
      <c r="C443" s="4" t="s">
        <v>782</v>
      </c>
    </row>
    <row r="444" ht="15.75" customHeight="1">
      <c r="B444" s="4" t="s">
        <v>784</v>
      </c>
      <c r="C444" s="4" t="s">
        <v>782</v>
      </c>
    </row>
    <row r="445" ht="15.75" customHeight="1">
      <c r="B445" s="4" t="s">
        <v>784</v>
      </c>
      <c r="C445" s="4" t="s">
        <v>782</v>
      </c>
    </row>
    <row r="446" ht="15.75" customHeight="1">
      <c r="B446" s="4" t="s">
        <v>789</v>
      </c>
      <c r="C446" s="4" t="s">
        <v>787</v>
      </c>
    </row>
    <row r="447" ht="15.75" customHeight="1">
      <c r="B447" s="4" t="s">
        <v>789</v>
      </c>
      <c r="C447" s="4" t="s">
        <v>787</v>
      </c>
    </row>
    <row r="448" ht="15.75" customHeight="1">
      <c r="B448" s="4" t="s">
        <v>789</v>
      </c>
      <c r="C448" s="4" t="s">
        <v>787</v>
      </c>
    </row>
    <row r="449" ht="15.75" customHeight="1">
      <c r="B449" s="4" t="s">
        <v>794</v>
      </c>
      <c r="C449" s="4" t="s">
        <v>792</v>
      </c>
    </row>
    <row r="450" ht="15.75" customHeight="1">
      <c r="B450" s="4" t="s">
        <v>794</v>
      </c>
      <c r="C450" s="4" t="s">
        <v>792</v>
      </c>
    </row>
    <row r="451" ht="15.75" customHeight="1">
      <c r="B451" s="4" t="s">
        <v>794</v>
      </c>
      <c r="C451" s="4" t="s">
        <v>792</v>
      </c>
    </row>
    <row r="452" ht="15.75" customHeight="1">
      <c r="B452" s="4" t="s">
        <v>799</v>
      </c>
      <c r="C452" s="4" t="s">
        <v>797</v>
      </c>
    </row>
    <row r="453" ht="15.75" customHeight="1">
      <c r="B453" s="4" t="s">
        <v>799</v>
      </c>
      <c r="C453" s="4" t="s">
        <v>797</v>
      </c>
    </row>
    <row r="454" ht="15.75" customHeight="1">
      <c r="B454" s="4" t="s">
        <v>799</v>
      </c>
      <c r="C454" s="4" t="s">
        <v>797</v>
      </c>
    </row>
    <row r="455" ht="15.75" customHeight="1">
      <c r="B455" s="4" t="s">
        <v>804</v>
      </c>
      <c r="C455" s="4" t="s">
        <v>802</v>
      </c>
    </row>
    <row r="456" ht="15.75" customHeight="1">
      <c r="B456" s="4" t="s">
        <v>804</v>
      </c>
      <c r="C456" s="4" t="s">
        <v>802</v>
      </c>
    </row>
    <row r="457" ht="15.75" customHeight="1">
      <c r="B457" s="4" t="s">
        <v>804</v>
      </c>
      <c r="C457" s="4" t="s">
        <v>802</v>
      </c>
    </row>
    <row r="458" ht="15.75" customHeight="1">
      <c r="B458" s="4" t="s">
        <v>809</v>
      </c>
      <c r="C458" s="4" t="s">
        <v>807</v>
      </c>
    </row>
    <row r="459" ht="15.75" customHeight="1">
      <c r="B459" s="4" t="s">
        <v>809</v>
      </c>
      <c r="C459" s="4" t="s">
        <v>807</v>
      </c>
    </row>
    <row r="460" ht="15.75" customHeight="1">
      <c r="B460" s="4" t="s">
        <v>809</v>
      </c>
      <c r="C460" s="4" t="s">
        <v>807</v>
      </c>
    </row>
    <row r="461" ht="15.75" customHeight="1">
      <c r="B461" s="4" t="s">
        <v>814</v>
      </c>
      <c r="C461" s="4" t="s">
        <v>812</v>
      </c>
    </row>
    <row r="462" ht="15.75" customHeight="1">
      <c r="B462" s="4" t="s">
        <v>814</v>
      </c>
      <c r="C462" s="4" t="s">
        <v>812</v>
      </c>
    </row>
    <row r="463" ht="15.75" customHeight="1">
      <c r="B463" s="4" t="s">
        <v>814</v>
      </c>
      <c r="C463" s="4" t="s">
        <v>812</v>
      </c>
    </row>
    <row r="464" ht="15.75" customHeight="1">
      <c r="B464" s="4" t="s">
        <v>819</v>
      </c>
      <c r="C464" s="4" t="s">
        <v>817</v>
      </c>
    </row>
    <row r="465" ht="15.75" customHeight="1">
      <c r="B465" s="4" t="s">
        <v>819</v>
      </c>
      <c r="C465" s="4" t="s">
        <v>817</v>
      </c>
    </row>
    <row r="466" ht="15.75" customHeight="1">
      <c r="B466" s="4" t="s">
        <v>819</v>
      </c>
      <c r="C466" s="4" t="s">
        <v>817</v>
      </c>
    </row>
    <row r="467" ht="15.75" customHeight="1">
      <c r="B467" s="4" t="s">
        <v>824</v>
      </c>
      <c r="C467" s="4" t="s">
        <v>822</v>
      </c>
    </row>
    <row r="468" ht="15.75" customHeight="1">
      <c r="B468" s="4" t="s">
        <v>824</v>
      </c>
      <c r="C468" s="4" t="s">
        <v>822</v>
      </c>
    </row>
    <row r="469" ht="15.75" customHeight="1">
      <c r="B469" s="4" t="s">
        <v>824</v>
      </c>
      <c r="C469" s="4" t="s">
        <v>822</v>
      </c>
    </row>
    <row r="470" ht="15.75" customHeight="1">
      <c r="B470" s="4" t="s">
        <v>829</v>
      </c>
      <c r="C470" s="4" t="s">
        <v>827</v>
      </c>
    </row>
    <row r="471" ht="15.75" customHeight="1">
      <c r="B471" s="4" t="s">
        <v>829</v>
      </c>
      <c r="C471" s="4" t="s">
        <v>827</v>
      </c>
    </row>
    <row r="472" ht="15.75" customHeight="1">
      <c r="B472" s="4" t="s">
        <v>829</v>
      </c>
      <c r="C472" s="4" t="s">
        <v>827</v>
      </c>
    </row>
    <row r="473" ht="15.75" customHeight="1">
      <c r="B473" s="4" t="s">
        <v>833</v>
      </c>
      <c r="C473" s="4" t="s">
        <v>832</v>
      </c>
    </row>
    <row r="474" ht="15.75" customHeight="1">
      <c r="B474" s="4" t="s">
        <v>833</v>
      </c>
      <c r="C474" s="4" t="s">
        <v>832</v>
      </c>
    </row>
    <row r="475" ht="15.75" customHeight="1">
      <c r="B475" s="4" t="s">
        <v>833</v>
      </c>
      <c r="C475" s="4" t="s">
        <v>832</v>
      </c>
    </row>
    <row r="476" ht="15.75" customHeight="1">
      <c r="B476" s="4" t="s">
        <v>838</v>
      </c>
      <c r="C476" s="4" t="s">
        <v>836</v>
      </c>
    </row>
    <row r="477" ht="15.75" customHeight="1">
      <c r="B477" s="4" t="s">
        <v>838</v>
      </c>
      <c r="C477" s="4" t="s">
        <v>836</v>
      </c>
    </row>
    <row r="478" ht="15.75" customHeight="1">
      <c r="B478" s="4" t="s">
        <v>838</v>
      </c>
      <c r="C478" s="4" t="s">
        <v>836</v>
      </c>
    </row>
    <row r="479" ht="15.75" customHeight="1">
      <c r="B479" s="4" t="s">
        <v>844</v>
      </c>
      <c r="C479" s="4" t="s">
        <v>841</v>
      </c>
    </row>
    <row r="480" ht="15.75" customHeight="1">
      <c r="B480" s="4" t="s">
        <v>844</v>
      </c>
      <c r="C480" s="4" t="s">
        <v>841</v>
      </c>
    </row>
    <row r="481" ht="15.75" customHeight="1">
      <c r="B481" s="4" t="s">
        <v>844</v>
      </c>
      <c r="C481" s="4" t="s">
        <v>841</v>
      </c>
    </row>
    <row r="482" ht="15.75" customHeight="1">
      <c r="B482" s="4" t="s">
        <v>849</v>
      </c>
      <c r="C482" s="4" t="s">
        <v>847</v>
      </c>
    </row>
    <row r="483" ht="15.75" customHeight="1">
      <c r="B483" s="4" t="s">
        <v>849</v>
      </c>
      <c r="C483" s="4" t="s">
        <v>847</v>
      </c>
    </row>
    <row r="484" ht="15.75" customHeight="1">
      <c r="B484" s="4" t="s">
        <v>849</v>
      </c>
      <c r="C484" s="4" t="s">
        <v>847</v>
      </c>
    </row>
    <row r="485" ht="15.75" customHeight="1">
      <c r="B485" s="4" t="s">
        <v>854</v>
      </c>
      <c r="C485" s="4" t="s">
        <v>852</v>
      </c>
    </row>
    <row r="486" ht="15.75" customHeight="1">
      <c r="B486" s="4" t="s">
        <v>854</v>
      </c>
      <c r="C486" s="4" t="s">
        <v>852</v>
      </c>
    </row>
    <row r="487" ht="15.75" customHeight="1">
      <c r="B487" s="4" t="s">
        <v>854</v>
      </c>
      <c r="C487" s="4" t="s">
        <v>852</v>
      </c>
    </row>
    <row r="488" ht="15.75" customHeight="1">
      <c r="B488" s="4" t="s">
        <v>859</v>
      </c>
      <c r="C488" s="4" t="s">
        <v>857</v>
      </c>
    </row>
    <row r="489" ht="15.75" customHeight="1">
      <c r="B489" s="4" t="s">
        <v>859</v>
      </c>
      <c r="C489" s="4" t="s">
        <v>857</v>
      </c>
    </row>
    <row r="490" ht="15.75" customHeight="1">
      <c r="B490" s="4" t="s">
        <v>859</v>
      </c>
      <c r="C490" s="4" t="s">
        <v>857</v>
      </c>
    </row>
    <row r="491" ht="15.75" customHeight="1">
      <c r="B491" s="4" t="s">
        <v>864</v>
      </c>
      <c r="C491" s="4" t="s">
        <v>862</v>
      </c>
    </row>
    <row r="492" ht="15.75" customHeight="1">
      <c r="B492" s="4" t="s">
        <v>864</v>
      </c>
      <c r="C492" s="4" t="s">
        <v>862</v>
      </c>
    </row>
    <row r="493" ht="15.75" customHeight="1">
      <c r="B493" s="4" t="s">
        <v>864</v>
      </c>
      <c r="C493" s="4" t="s">
        <v>862</v>
      </c>
    </row>
    <row r="494" ht="15.75" customHeight="1">
      <c r="B494" s="4" t="s">
        <v>869</v>
      </c>
      <c r="C494" s="4" t="s">
        <v>867</v>
      </c>
    </row>
    <row r="495" ht="15.75" customHeight="1">
      <c r="B495" s="4" t="s">
        <v>869</v>
      </c>
      <c r="C495" s="4" t="s">
        <v>867</v>
      </c>
    </row>
    <row r="496" ht="15.75" customHeight="1">
      <c r="B496" s="4" t="s">
        <v>869</v>
      </c>
      <c r="C496" s="4" t="s">
        <v>867</v>
      </c>
    </row>
    <row r="497" ht="15.75" customHeight="1">
      <c r="B497" s="4" t="s">
        <v>875</v>
      </c>
      <c r="C497" s="4" t="s">
        <v>872</v>
      </c>
    </row>
    <row r="498" ht="15.75" customHeight="1">
      <c r="B498" s="4" t="s">
        <v>875</v>
      </c>
      <c r="C498" s="4" t="s">
        <v>872</v>
      </c>
    </row>
    <row r="499" ht="15.75" customHeight="1">
      <c r="B499" s="4" t="s">
        <v>875</v>
      </c>
      <c r="C499" s="4" t="s">
        <v>872</v>
      </c>
    </row>
    <row r="500" ht="15.75" customHeight="1">
      <c r="B500" s="4" t="s">
        <v>880</v>
      </c>
      <c r="C500" s="4" t="s">
        <v>878</v>
      </c>
    </row>
    <row r="501" ht="15.75" customHeight="1">
      <c r="B501" s="4" t="s">
        <v>880</v>
      </c>
      <c r="C501" s="4" t="s">
        <v>878</v>
      </c>
    </row>
    <row r="502" ht="15.75" customHeight="1">
      <c r="B502" s="4" t="s">
        <v>880</v>
      </c>
      <c r="C502" s="4" t="s">
        <v>878</v>
      </c>
    </row>
    <row r="503" ht="15.75" customHeight="1">
      <c r="B503" s="4" t="s">
        <v>885</v>
      </c>
      <c r="C503" s="4" t="s">
        <v>883</v>
      </c>
    </row>
    <row r="504" ht="15.75" customHeight="1">
      <c r="B504" s="4" t="s">
        <v>885</v>
      </c>
      <c r="C504" s="4" t="s">
        <v>883</v>
      </c>
    </row>
    <row r="505" ht="15.75" customHeight="1">
      <c r="B505" s="4" t="s">
        <v>885</v>
      </c>
      <c r="C505" s="4" t="s">
        <v>883</v>
      </c>
    </row>
    <row r="506" ht="15.75" customHeight="1">
      <c r="B506" s="4" t="s">
        <v>890</v>
      </c>
      <c r="C506" s="4" t="s">
        <v>888</v>
      </c>
    </row>
    <row r="507" ht="15.75" customHeight="1">
      <c r="B507" s="4" t="s">
        <v>890</v>
      </c>
      <c r="C507" s="4" t="s">
        <v>888</v>
      </c>
    </row>
    <row r="508" ht="15.75" customHeight="1">
      <c r="B508" s="4" t="s">
        <v>890</v>
      </c>
      <c r="C508" s="4" t="s">
        <v>888</v>
      </c>
    </row>
    <row r="509" ht="15.75" customHeight="1">
      <c r="B509" s="4" t="s">
        <v>895</v>
      </c>
      <c r="C509" s="4" t="s">
        <v>893</v>
      </c>
    </row>
    <row r="510" ht="15.75" customHeight="1">
      <c r="B510" s="4" t="s">
        <v>895</v>
      </c>
      <c r="C510" s="4" t="s">
        <v>893</v>
      </c>
    </row>
    <row r="511" ht="15.75" customHeight="1">
      <c r="B511" s="4" t="s">
        <v>895</v>
      </c>
      <c r="C511" s="4" t="s">
        <v>893</v>
      </c>
    </row>
    <row r="512" ht="15.75" customHeight="1">
      <c r="B512" s="4" t="s">
        <v>900</v>
      </c>
      <c r="C512" s="4" t="s">
        <v>898</v>
      </c>
    </row>
    <row r="513" ht="15.75" customHeight="1">
      <c r="B513" s="4" t="s">
        <v>900</v>
      </c>
      <c r="C513" s="4" t="s">
        <v>898</v>
      </c>
    </row>
    <row r="514" ht="15.75" customHeight="1">
      <c r="B514" s="4" t="s">
        <v>900</v>
      </c>
      <c r="C514" s="4" t="s">
        <v>898</v>
      </c>
    </row>
    <row r="515" ht="15.75" customHeight="1">
      <c r="B515" s="4" t="s">
        <v>906</v>
      </c>
      <c r="C515" s="4" t="s">
        <v>903</v>
      </c>
    </row>
    <row r="516" ht="15.75" customHeight="1">
      <c r="B516" s="4" t="s">
        <v>906</v>
      </c>
      <c r="C516" s="4" t="s">
        <v>903</v>
      </c>
    </row>
    <row r="517" ht="15.75" customHeight="1">
      <c r="B517" s="4" t="s">
        <v>906</v>
      </c>
      <c r="C517" s="4" t="s">
        <v>903</v>
      </c>
    </row>
    <row r="518" ht="15.75" customHeight="1">
      <c r="B518" s="4" t="s">
        <v>911</v>
      </c>
      <c r="C518" s="4" t="s">
        <v>909</v>
      </c>
    </row>
    <row r="519" ht="15.75" customHeight="1">
      <c r="B519" s="4" t="s">
        <v>911</v>
      </c>
      <c r="C519" s="4" t="s">
        <v>909</v>
      </c>
    </row>
    <row r="520" ht="15.75" customHeight="1">
      <c r="B520" s="4" t="s">
        <v>911</v>
      </c>
      <c r="C520" s="4" t="s">
        <v>909</v>
      </c>
    </row>
    <row r="521" ht="15.75" customHeight="1">
      <c r="B521" s="4" t="s">
        <v>916</v>
      </c>
      <c r="C521" s="4" t="s">
        <v>914</v>
      </c>
    </row>
    <row r="522" ht="15.75" customHeight="1">
      <c r="B522" s="4" t="s">
        <v>916</v>
      </c>
      <c r="C522" s="4" t="s">
        <v>914</v>
      </c>
    </row>
    <row r="523" ht="15.75" customHeight="1">
      <c r="B523" s="4" t="s">
        <v>916</v>
      </c>
      <c r="C523" s="4" t="s">
        <v>914</v>
      </c>
    </row>
    <row r="524" ht="15.75" customHeight="1">
      <c r="B524" s="4" t="s">
        <v>921</v>
      </c>
      <c r="C524" s="4" t="s">
        <v>919</v>
      </c>
    </row>
    <row r="525" ht="15.75" customHeight="1">
      <c r="B525" s="4" t="s">
        <v>921</v>
      </c>
      <c r="C525" s="4" t="s">
        <v>919</v>
      </c>
    </row>
    <row r="526" ht="15.75" customHeight="1">
      <c r="B526" s="4" t="s">
        <v>921</v>
      </c>
      <c r="C526" s="4" t="s">
        <v>919</v>
      </c>
    </row>
    <row r="527" ht="15.75" customHeight="1">
      <c r="B527" s="4" t="s">
        <v>926</v>
      </c>
      <c r="C527" s="4" t="s">
        <v>924</v>
      </c>
    </row>
    <row r="528" ht="15.75" customHeight="1">
      <c r="B528" s="4" t="s">
        <v>926</v>
      </c>
      <c r="C528" s="4" t="s">
        <v>924</v>
      </c>
    </row>
    <row r="529" ht="15.75" customHeight="1">
      <c r="B529" s="4" t="s">
        <v>926</v>
      </c>
      <c r="C529" s="4" t="s">
        <v>924</v>
      </c>
    </row>
    <row r="530" ht="15.75" customHeight="1">
      <c r="B530" s="4" t="s">
        <v>931</v>
      </c>
      <c r="C530" s="4" t="s">
        <v>929</v>
      </c>
    </row>
    <row r="531" ht="15.75" customHeight="1">
      <c r="B531" s="4" t="s">
        <v>931</v>
      </c>
      <c r="C531" s="4" t="s">
        <v>929</v>
      </c>
    </row>
    <row r="532" ht="15.75" customHeight="1">
      <c r="B532" s="4" t="s">
        <v>931</v>
      </c>
      <c r="C532" s="4" t="s">
        <v>929</v>
      </c>
    </row>
    <row r="533" ht="15.75" customHeight="1">
      <c r="B533" s="4" t="s">
        <v>936</v>
      </c>
      <c r="C533" s="4" t="s">
        <v>934</v>
      </c>
    </row>
    <row r="534" ht="15.75" customHeight="1">
      <c r="B534" s="4" t="s">
        <v>936</v>
      </c>
      <c r="C534" s="4" t="s">
        <v>934</v>
      </c>
    </row>
    <row r="535" ht="15.75" customHeight="1">
      <c r="B535" s="4" t="s">
        <v>936</v>
      </c>
      <c r="C535" s="4" t="s">
        <v>934</v>
      </c>
    </row>
    <row r="536" ht="15.75" customHeight="1">
      <c r="B536" s="4" t="s">
        <v>941</v>
      </c>
      <c r="C536" s="4" t="s">
        <v>939</v>
      </c>
    </row>
    <row r="537" ht="15.75" customHeight="1">
      <c r="B537" s="4" t="s">
        <v>941</v>
      </c>
      <c r="C537" s="4" t="s">
        <v>939</v>
      </c>
    </row>
    <row r="538" ht="15.75" customHeight="1">
      <c r="B538" s="4" t="s">
        <v>941</v>
      </c>
      <c r="C538" s="4" t="s">
        <v>939</v>
      </c>
    </row>
    <row r="539" ht="15.75" customHeight="1">
      <c r="B539" s="4" t="s">
        <v>946</v>
      </c>
      <c r="C539" s="4" t="s">
        <v>944</v>
      </c>
    </row>
    <row r="540" ht="15.75" customHeight="1">
      <c r="B540" s="4" t="s">
        <v>946</v>
      </c>
      <c r="C540" s="4" t="s">
        <v>944</v>
      </c>
    </row>
    <row r="541" ht="15.75" customHeight="1">
      <c r="B541" s="4" t="s">
        <v>946</v>
      </c>
      <c r="C541" s="4" t="s">
        <v>944</v>
      </c>
    </row>
    <row r="542" ht="15.75" customHeight="1">
      <c r="B542" s="4" t="s">
        <v>951</v>
      </c>
      <c r="C542" s="4" t="s">
        <v>949</v>
      </c>
    </row>
    <row r="543" ht="15.75" customHeight="1">
      <c r="B543" s="4" t="s">
        <v>951</v>
      </c>
      <c r="C543" s="4" t="s">
        <v>949</v>
      </c>
    </row>
    <row r="544" ht="15.75" customHeight="1">
      <c r="B544" s="4" t="s">
        <v>951</v>
      </c>
      <c r="C544" s="4" t="s">
        <v>949</v>
      </c>
    </row>
    <row r="545" ht="15.75" customHeight="1">
      <c r="B545" s="4" t="s">
        <v>956</v>
      </c>
      <c r="C545" s="4" t="s">
        <v>954</v>
      </c>
    </row>
    <row r="546" ht="15.75" customHeight="1">
      <c r="B546" s="4" t="s">
        <v>956</v>
      </c>
      <c r="C546" s="4" t="s">
        <v>954</v>
      </c>
    </row>
    <row r="547" ht="15.75" customHeight="1">
      <c r="B547" s="4" t="s">
        <v>956</v>
      </c>
      <c r="C547" s="4" t="s">
        <v>954</v>
      </c>
    </row>
    <row r="548" ht="15.75" customHeight="1">
      <c r="B548" s="4" t="s">
        <v>961</v>
      </c>
      <c r="C548" s="4" t="s">
        <v>959</v>
      </c>
    </row>
    <row r="549" ht="15.75" customHeight="1">
      <c r="B549" s="4" t="s">
        <v>961</v>
      </c>
      <c r="C549" s="4" t="s">
        <v>959</v>
      </c>
    </row>
    <row r="550" ht="15.75" customHeight="1">
      <c r="B550" s="4" t="s">
        <v>961</v>
      </c>
      <c r="C550" s="4" t="s">
        <v>959</v>
      </c>
    </row>
    <row r="551" ht="15.75" customHeight="1">
      <c r="B551" s="4" t="s">
        <v>965</v>
      </c>
      <c r="C551" s="4" t="s">
        <v>964</v>
      </c>
    </row>
    <row r="552" ht="15.75" customHeight="1">
      <c r="B552" s="4" t="s">
        <v>965</v>
      </c>
      <c r="C552" s="4" t="s">
        <v>964</v>
      </c>
    </row>
    <row r="553" ht="15.75" customHeight="1">
      <c r="B553" s="4" t="s">
        <v>965</v>
      </c>
      <c r="C553" s="4" t="s">
        <v>964</v>
      </c>
    </row>
    <row r="554" ht="15.75" customHeight="1">
      <c r="B554" s="4" t="s">
        <v>970</v>
      </c>
      <c r="C554" s="4" t="s">
        <v>968</v>
      </c>
    </row>
    <row r="555" ht="15.75" customHeight="1">
      <c r="B555" s="4" t="s">
        <v>970</v>
      </c>
      <c r="C555" s="4" t="s">
        <v>968</v>
      </c>
    </row>
    <row r="556" ht="15.75" customHeight="1">
      <c r="B556" s="4" t="s">
        <v>970</v>
      </c>
      <c r="C556" s="4" t="s">
        <v>968</v>
      </c>
    </row>
    <row r="557" ht="15.75" customHeight="1">
      <c r="B557" s="4" t="s">
        <v>975</v>
      </c>
      <c r="C557" s="4" t="s">
        <v>973</v>
      </c>
    </row>
    <row r="558" ht="15.75" customHeight="1">
      <c r="B558" s="4" t="s">
        <v>975</v>
      </c>
      <c r="C558" s="4" t="s">
        <v>973</v>
      </c>
    </row>
    <row r="559" ht="15.75" customHeight="1">
      <c r="B559" s="4" t="s">
        <v>975</v>
      </c>
      <c r="C559" s="4" t="s">
        <v>973</v>
      </c>
    </row>
    <row r="560" ht="15.75" customHeight="1">
      <c r="B560" s="4" t="s">
        <v>981</v>
      </c>
      <c r="C560" s="4" t="s">
        <v>978</v>
      </c>
    </row>
    <row r="561" ht="15.75" customHeight="1">
      <c r="B561" s="4" t="s">
        <v>981</v>
      </c>
      <c r="C561" s="4" t="s">
        <v>978</v>
      </c>
    </row>
    <row r="562" ht="15.75" customHeight="1">
      <c r="B562" s="4" t="s">
        <v>981</v>
      </c>
      <c r="C562" s="4" t="s">
        <v>978</v>
      </c>
    </row>
    <row r="563" ht="15.75" customHeight="1">
      <c r="B563" s="4" t="s">
        <v>986</v>
      </c>
      <c r="C563" s="4" t="s">
        <v>984</v>
      </c>
    </row>
    <row r="564" ht="15.75" customHeight="1">
      <c r="B564" s="4" t="s">
        <v>986</v>
      </c>
      <c r="C564" s="4" t="s">
        <v>984</v>
      </c>
    </row>
    <row r="565" ht="15.75" customHeight="1">
      <c r="B565" s="4" t="s">
        <v>986</v>
      </c>
      <c r="C565" s="4" t="s">
        <v>984</v>
      </c>
    </row>
    <row r="566" ht="15.75" customHeight="1">
      <c r="B566" s="4" t="s">
        <v>991</v>
      </c>
      <c r="C566" s="4" t="s">
        <v>989</v>
      </c>
    </row>
    <row r="567" ht="15.75" customHeight="1">
      <c r="B567" s="4" t="s">
        <v>991</v>
      </c>
      <c r="C567" s="4" t="s">
        <v>989</v>
      </c>
    </row>
    <row r="568" ht="15.75" customHeight="1">
      <c r="B568" s="4" t="s">
        <v>991</v>
      </c>
      <c r="C568" s="4" t="s">
        <v>989</v>
      </c>
    </row>
    <row r="569" ht="15.75" customHeight="1">
      <c r="B569" s="4" t="s">
        <v>996</v>
      </c>
      <c r="C569" s="4" t="s">
        <v>994</v>
      </c>
    </row>
    <row r="570" ht="15.75" customHeight="1">
      <c r="B570" s="4" t="s">
        <v>996</v>
      </c>
      <c r="C570" s="4" t="s">
        <v>994</v>
      </c>
    </row>
    <row r="571" ht="15.75" customHeight="1">
      <c r="B571" s="4" t="s">
        <v>996</v>
      </c>
      <c r="C571" s="4" t="s">
        <v>994</v>
      </c>
    </row>
    <row r="572" ht="15.75" customHeight="1">
      <c r="B572" s="4" t="s">
        <v>1001</v>
      </c>
      <c r="C572" s="4" t="s">
        <v>999</v>
      </c>
    </row>
    <row r="573" ht="15.75" customHeight="1">
      <c r="B573" s="4" t="s">
        <v>1001</v>
      </c>
      <c r="C573" s="4" t="s">
        <v>999</v>
      </c>
    </row>
    <row r="574" ht="15.75" customHeight="1">
      <c r="B574" s="4" t="s">
        <v>1001</v>
      </c>
      <c r="C574" s="4" t="s">
        <v>999</v>
      </c>
    </row>
    <row r="575" ht="15.75" customHeight="1">
      <c r="B575" s="4" t="s">
        <v>1006</v>
      </c>
      <c r="C575" s="4" t="s">
        <v>1004</v>
      </c>
    </row>
    <row r="576" ht="15.75" customHeight="1">
      <c r="B576" s="4" t="s">
        <v>1006</v>
      </c>
      <c r="C576" s="4" t="s">
        <v>1004</v>
      </c>
    </row>
    <row r="577" ht="15.75" customHeight="1">
      <c r="B577" s="4" t="s">
        <v>1006</v>
      </c>
      <c r="C577" s="4" t="s">
        <v>1004</v>
      </c>
    </row>
    <row r="578" ht="15.75" customHeight="1">
      <c r="B578" s="4" t="s">
        <v>1011</v>
      </c>
      <c r="C578" s="4" t="s">
        <v>1009</v>
      </c>
    </row>
    <row r="579" ht="15.75" customHeight="1">
      <c r="B579" s="4" t="s">
        <v>1011</v>
      </c>
      <c r="C579" s="4" t="s">
        <v>1009</v>
      </c>
    </row>
    <row r="580" ht="15.75" customHeight="1">
      <c r="B580" s="4" t="s">
        <v>1011</v>
      </c>
      <c r="C580" s="4" t="s">
        <v>1009</v>
      </c>
    </row>
    <row r="581" ht="15.75" customHeight="1">
      <c r="B581" s="4" t="s">
        <v>1016</v>
      </c>
      <c r="C581" s="4" t="s">
        <v>1014</v>
      </c>
    </row>
    <row r="582" ht="15.75" customHeight="1">
      <c r="B582" s="4" t="s">
        <v>1016</v>
      </c>
      <c r="C582" s="4" t="s">
        <v>1014</v>
      </c>
    </row>
    <row r="583" ht="15.75" customHeight="1">
      <c r="B583" s="4" t="s">
        <v>1016</v>
      </c>
      <c r="C583" s="4" t="s">
        <v>1014</v>
      </c>
    </row>
    <row r="584" ht="15.75" customHeight="1">
      <c r="B584" s="4" t="s">
        <v>1021</v>
      </c>
      <c r="C584" s="4" t="s">
        <v>1019</v>
      </c>
    </row>
    <row r="585" ht="15.75" customHeight="1">
      <c r="B585" s="4" t="s">
        <v>1021</v>
      </c>
      <c r="C585" s="4" t="s">
        <v>1019</v>
      </c>
    </row>
    <row r="586" ht="15.75" customHeight="1">
      <c r="B586" s="4" t="s">
        <v>1021</v>
      </c>
      <c r="C586" s="4" t="s">
        <v>1019</v>
      </c>
    </row>
    <row r="587" ht="15.75" customHeight="1">
      <c r="B587" s="4" t="s">
        <v>1026</v>
      </c>
      <c r="C587" s="4" t="s">
        <v>1024</v>
      </c>
    </row>
    <row r="588" ht="15.75" customHeight="1">
      <c r="B588" s="4" t="s">
        <v>1026</v>
      </c>
      <c r="C588" s="4" t="s">
        <v>1024</v>
      </c>
    </row>
    <row r="589" ht="15.75" customHeight="1">
      <c r="B589" s="4" t="s">
        <v>1026</v>
      </c>
      <c r="C589" s="4" t="s">
        <v>1024</v>
      </c>
    </row>
    <row r="590" ht="15.75" customHeight="1">
      <c r="B590" s="4" t="s">
        <v>1031</v>
      </c>
      <c r="C590" s="4" t="s">
        <v>1029</v>
      </c>
    </row>
    <row r="591" ht="15.75" customHeight="1">
      <c r="B591" s="4" t="s">
        <v>1031</v>
      </c>
      <c r="C591" s="4" t="s">
        <v>1029</v>
      </c>
    </row>
    <row r="592" ht="15.75" customHeight="1">
      <c r="B592" s="4" t="s">
        <v>1031</v>
      </c>
      <c r="C592" s="4" t="s">
        <v>1029</v>
      </c>
    </row>
    <row r="593" ht="15.75" customHeight="1">
      <c r="B593" s="4" t="s">
        <v>1036</v>
      </c>
      <c r="C593" s="4" t="s">
        <v>1034</v>
      </c>
    </row>
    <row r="594" ht="15.75" customHeight="1">
      <c r="B594" s="4" t="s">
        <v>1036</v>
      </c>
      <c r="C594" s="4" t="s">
        <v>1034</v>
      </c>
    </row>
    <row r="595" ht="15.75" customHeight="1">
      <c r="B595" s="4" t="s">
        <v>1036</v>
      </c>
      <c r="C595" s="4" t="s">
        <v>1034</v>
      </c>
    </row>
    <row r="596" ht="15.75" customHeight="1">
      <c r="B596" s="4" t="s">
        <v>1042</v>
      </c>
      <c r="C596" s="4" t="s">
        <v>1039</v>
      </c>
    </row>
    <row r="597" ht="15.75" customHeight="1">
      <c r="B597" s="4" t="s">
        <v>1042</v>
      </c>
      <c r="C597" s="4" t="s">
        <v>1039</v>
      </c>
    </row>
    <row r="598" ht="15.75" customHeight="1">
      <c r="B598" s="4" t="s">
        <v>1042</v>
      </c>
      <c r="C598" s="4" t="s">
        <v>1039</v>
      </c>
    </row>
    <row r="599" ht="15.75" customHeight="1">
      <c r="B599" s="4" t="s">
        <v>1047</v>
      </c>
      <c r="C599" s="4" t="s">
        <v>1045</v>
      </c>
    </row>
    <row r="600" ht="15.75" customHeight="1">
      <c r="B600" s="4" t="s">
        <v>1047</v>
      </c>
      <c r="C600" s="4" t="s">
        <v>1045</v>
      </c>
    </row>
    <row r="601" ht="15.75" customHeight="1">
      <c r="B601" s="4" t="s">
        <v>1047</v>
      </c>
      <c r="C601" s="4" t="s">
        <v>1045</v>
      </c>
    </row>
    <row r="602" ht="15.75" customHeight="1">
      <c r="B602" s="4" t="s">
        <v>1053</v>
      </c>
      <c r="C602" s="4" t="s">
        <v>1050</v>
      </c>
    </row>
    <row r="603" ht="15.75" customHeight="1">
      <c r="B603" s="4" t="s">
        <v>1053</v>
      </c>
      <c r="C603" s="4" t="s">
        <v>1050</v>
      </c>
    </row>
    <row r="604" ht="15.75" customHeight="1">
      <c r="B604" s="4" t="s">
        <v>1053</v>
      </c>
      <c r="C604" s="4" t="s">
        <v>1050</v>
      </c>
    </row>
    <row r="605" ht="15.75" customHeight="1">
      <c r="B605" s="4" t="s">
        <v>1058</v>
      </c>
      <c r="C605" s="4" t="s">
        <v>1056</v>
      </c>
    </row>
    <row r="606" ht="15.75" customHeight="1">
      <c r="B606" s="4" t="s">
        <v>1058</v>
      </c>
      <c r="C606" s="4" t="s">
        <v>1056</v>
      </c>
    </row>
    <row r="607" ht="15.75" customHeight="1">
      <c r="B607" s="4" t="s">
        <v>1058</v>
      </c>
      <c r="C607" s="4" t="s">
        <v>1056</v>
      </c>
    </row>
    <row r="608" ht="15.75" customHeight="1">
      <c r="B608" s="4" t="s">
        <v>1063</v>
      </c>
      <c r="C608" s="4" t="s">
        <v>1061</v>
      </c>
    </row>
    <row r="609" ht="15.75" customHeight="1">
      <c r="B609" s="4" t="s">
        <v>1063</v>
      </c>
      <c r="C609" s="4" t="s">
        <v>1061</v>
      </c>
    </row>
    <row r="610" ht="15.75" customHeight="1">
      <c r="B610" s="4" t="s">
        <v>1063</v>
      </c>
      <c r="C610" s="4" t="s">
        <v>1061</v>
      </c>
    </row>
    <row r="611" ht="15.75" customHeight="1">
      <c r="B611" s="4" t="s">
        <v>1068</v>
      </c>
      <c r="C611" s="4" t="s">
        <v>1066</v>
      </c>
    </row>
    <row r="612" ht="15.75" customHeight="1">
      <c r="B612" s="4" t="s">
        <v>1068</v>
      </c>
      <c r="C612" s="4" t="s">
        <v>1066</v>
      </c>
    </row>
    <row r="613" ht="15.75" customHeight="1">
      <c r="B613" s="4" t="s">
        <v>1068</v>
      </c>
      <c r="C613" s="4" t="s">
        <v>1066</v>
      </c>
    </row>
    <row r="614" ht="15.75" customHeight="1">
      <c r="B614" s="4" t="s">
        <v>1073</v>
      </c>
      <c r="C614" s="4" t="s">
        <v>1071</v>
      </c>
    </row>
    <row r="615" ht="15.75" customHeight="1">
      <c r="B615" s="4" t="s">
        <v>1073</v>
      </c>
      <c r="C615" s="4" t="s">
        <v>1071</v>
      </c>
    </row>
    <row r="616" ht="15.75" customHeight="1">
      <c r="B616" s="4" t="s">
        <v>1073</v>
      </c>
      <c r="C616" s="4" t="s">
        <v>1071</v>
      </c>
    </row>
    <row r="617" ht="15.75" customHeight="1">
      <c r="B617" s="4" t="s">
        <v>1079</v>
      </c>
      <c r="C617" s="4" t="s">
        <v>1076</v>
      </c>
    </row>
    <row r="618" ht="15.75" customHeight="1">
      <c r="B618" s="4" t="s">
        <v>1079</v>
      </c>
      <c r="C618" s="4" t="s">
        <v>1076</v>
      </c>
    </row>
    <row r="619" ht="15.75" customHeight="1">
      <c r="B619" s="4" t="s">
        <v>1079</v>
      </c>
      <c r="C619" s="4" t="s">
        <v>1076</v>
      </c>
    </row>
    <row r="620" ht="15.75" customHeight="1">
      <c r="B620" s="4" t="s">
        <v>1084</v>
      </c>
      <c r="C620" s="4" t="s">
        <v>1082</v>
      </c>
    </row>
    <row r="621" ht="15.75" customHeight="1">
      <c r="B621" s="4" t="s">
        <v>1084</v>
      </c>
      <c r="C621" s="4" t="s">
        <v>1082</v>
      </c>
    </row>
    <row r="622" ht="15.75" customHeight="1">
      <c r="B622" s="4" t="s">
        <v>1084</v>
      </c>
      <c r="C622" s="4" t="s">
        <v>1082</v>
      </c>
    </row>
    <row r="623" ht="15.75" customHeight="1">
      <c r="B623" s="4" t="s">
        <v>1089</v>
      </c>
      <c r="C623" s="4" t="s">
        <v>1087</v>
      </c>
    </row>
    <row r="624" ht="15.75" customHeight="1">
      <c r="B624" s="4" t="s">
        <v>1089</v>
      </c>
      <c r="C624" s="4" t="s">
        <v>1087</v>
      </c>
    </row>
    <row r="625" ht="15.75" customHeight="1">
      <c r="B625" s="4" t="s">
        <v>1089</v>
      </c>
      <c r="C625" s="4" t="s">
        <v>1087</v>
      </c>
    </row>
    <row r="626" ht="15.75" customHeight="1">
      <c r="B626" s="4" t="s">
        <v>1094</v>
      </c>
      <c r="C626" s="4" t="s">
        <v>1092</v>
      </c>
    </row>
    <row r="627" ht="15.75" customHeight="1">
      <c r="B627" s="4" t="s">
        <v>1094</v>
      </c>
      <c r="C627" s="4" t="s">
        <v>1092</v>
      </c>
    </row>
    <row r="628" ht="15.75" customHeight="1">
      <c r="B628" s="4" t="s">
        <v>1094</v>
      </c>
      <c r="C628" s="4" t="s">
        <v>1092</v>
      </c>
    </row>
    <row r="629" ht="15.75" customHeight="1">
      <c r="B629" s="4" t="s">
        <v>1099</v>
      </c>
      <c r="C629" s="4" t="s">
        <v>1097</v>
      </c>
    </row>
    <row r="630" ht="15.75" customHeight="1">
      <c r="B630" s="4" t="s">
        <v>1099</v>
      </c>
      <c r="C630" s="4" t="s">
        <v>1097</v>
      </c>
    </row>
    <row r="631" ht="15.75" customHeight="1">
      <c r="B631" s="4" t="s">
        <v>1099</v>
      </c>
      <c r="C631" s="4" t="s">
        <v>1097</v>
      </c>
    </row>
    <row r="632" ht="15.75" customHeight="1">
      <c r="B632" s="4" t="s">
        <v>1103</v>
      </c>
      <c r="C632" s="4" t="s">
        <v>1102</v>
      </c>
    </row>
    <row r="633" ht="15.75" customHeight="1">
      <c r="B633" s="4" t="s">
        <v>1103</v>
      </c>
      <c r="C633" s="4" t="s">
        <v>1102</v>
      </c>
    </row>
    <row r="634" ht="15.75" customHeight="1">
      <c r="B634" s="4" t="s">
        <v>1103</v>
      </c>
      <c r="C634" s="4" t="s">
        <v>1102</v>
      </c>
    </row>
    <row r="635" ht="15.75" customHeight="1">
      <c r="B635" s="4" t="s">
        <v>1108</v>
      </c>
      <c r="C635" s="4" t="s">
        <v>1106</v>
      </c>
    </row>
    <row r="636" ht="15.75" customHeight="1">
      <c r="B636" s="4" t="s">
        <v>1108</v>
      </c>
      <c r="C636" s="4" t="s">
        <v>1106</v>
      </c>
    </row>
    <row r="637" ht="15.75" customHeight="1">
      <c r="B637" s="4" t="s">
        <v>1108</v>
      </c>
      <c r="C637" s="4" t="s">
        <v>1106</v>
      </c>
    </row>
    <row r="638" ht="15.75" customHeight="1">
      <c r="B638" s="4" t="s">
        <v>1113</v>
      </c>
      <c r="C638" s="4" t="s">
        <v>1111</v>
      </c>
    </row>
    <row r="639" ht="15.75" customHeight="1">
      <c r="B639" s="4" t="s">
        <v>1113</v>
      </c>
      <c r="C639" s="4" t="s">
        <v>1111</v>
      </c>
    </row>
    <row r="640" ht="15.75" customHeight="1">
      <c r="B640" s="4" t="s">
        <v>1113</v>
      </c>
      <c r="C640" s="4" t="s">
        <v>1111</v>
      </c>
    </row>
    <row r="641" ht="15.75" customHeight="1">
      <c r="B641" s="4" t="s">
        <v>1118</v>
      </c>
      <c r="C641" s="4" t="s">
        <v>1116</v>
      </c>
    </row>
    <row r="642" ht="15.75" customHeight="1">
      <c r="B642" s="4" t="s">
        <v>1118</v>
      </c>
      <c r="C642" s="4" t="s">
        <v>1116</v>
      </c>
    </row>
    <row r="643" ht="15.75" customHeight="1">
      <c r="B643" s="4" t="s">
        <v>1118</v>
      </c>
      <c r="C643" s="4" t="s">
        <v>1116</v>
      </c>
    </row>
    <row r="644" ht="15.75" customHeight="1">
      <c r="B644" s="4" t="s">
        <v>1123</v>
      </c>
      <c r="C644" s="4" t="s">
        <v>1121</v>
      </c>
    </row>
    <row r="645" ht="15.75" customHeight="1">
      <c r="B645" s="4" t="s">
        <v>1123</v>
      </c>
      <c r="C645" s="4" t="s">
        <v>1121</v>
      </c>
    </row>
    <row r="646" ht="15.75" customHeight="1">
      <c r="B646" s="4" t="s">
        <v>1123</v>
      </c>
      <c r="C646" s="4" t="s">
        <v>1121</v>
      </c>
    </row>
    <row r="647" ht="15.75" customHeight="1">
      <c r="B647" s="4" t="s">
        <v>1128</v>
      </c>
      <c r="C647" s="4" t="s">
        <v>1126</v>
      </c>
    </row>
    <row r="648" ht="15.75" customHeight="1">
      <c r="B648" s="4" t="s">
        <v>1128</v>
      </c>
      <c r="C648" s="4" t="s">
        <v>1126</v>
      </c>
    </row>
    <row r="649" ht="15.75" customHeight="1">
      <c r="B649" s="4" t="s">
        <v>1128</v>
      </c>
      <c r="C649" s="4" t="s">
        <v>1126</v>
      </c>
    </row>
    <row r="650" ht="15.75" customHeight="1">
      <c r="B650" s="4" t="s">
        <v>1133</v>
      </c>
      <c r="C650" s="4" t="s">
        <v>1131</v>
      </c>
    </row>
    <row r="651" ht="15.75" customHeight="1">
      <c r="B651" s="4" t="s">
        <v>1133</v>
      </c>
      <c r="C651" s="4" t="s">
        <v>1131</v>
      </c>
    </row>
    <row r="652" ht="15.75" customHeight="1">
      <c r="B652" s="4" t="s">
        <v>1133</v>
      </c>
      <c r="C652" s="4" t="s">
        <v>1131</v>
      </c>
    </row>
    <row r="653" ht="15.75" customHeight="1">
      <c r="B653" s="4" t="s">
        <v>1138</v>
      </c>
      <c r="C653" s="4" t="s">
        <v>1136</v>
      </c>
    </row>
    <row r="654" ht="15.75" customHeight="1">
      <c r="B654" s="4" t="s">
        <v>1138</v>
      </c>
      <c r="C654" s="4" t="s">
        <v>1136</v>
      </c>
    </row>
    <row r="655" ht="15.75" customHeight="1">
      <c r="B655" s="4" t="s">
        <v>1138</v>
      </c>
      <c r="C655" s="4" t="s">
        <v>1136</v>
      </c>
    </row>
    <row r="656" ht="15.75" customHeight="1">
      <c r="B656" s="4" t="s">
        <v>1143</v>
      </c>
      <c r="C656" s="4" t="s">
        <v>1141</v>
      </c>
    </row>
    <row r="657" ht="15.75" customHeight="1">
      <c r="B657" s="4" t="s">
        <v>1143</v>
      </c>
      <c r="C657" s="4" t="s">
        <v>1141</v>
      </c>
    </row>
    <row r="658" ht="15.75" customHeight="1">
      <c r="B658" s="4" t="s">
        <v>1143</v>
      </c>
      <c r="C658" s="4" t="s">
        <v>1141</v>
      </c>
    </row>
    <row r="659" ht="15.75" customHeight="1">
      <c r="B659" s="4" t="s">
        <v>1148</v>
      </c>
      <c r="C659" s="4" t="s">
        <v>1146</v>
      </c>
    </row>
    <row r="660" ht="15.75" customHeight="1">
      <c r="B660" s="4" t="s">
        <v>1148</v>
      </c>
      <c r="C660" s="4" t="s">
        <v>1146</v>
      </c>
    </row>
    <row r="661" ht="15.75" customHeight="1">
      <c r="B661" s="4" t="s">
        <v>1148</v>
      </c>
      <c r="C661" s="4" t="s">
        <v>1146</v>
      </c>
    </row>
    <row r="662" ht="15.75" customHeight="1">
      <c r="B662" s="4" t="s">
        <v>1153</v>
      </c>
      <c r="C662" s="4" t="s">
        <v>1151</v>
      </c>
    </row>
    <row r="663" ht="15.75" customHeight="1">
      <c r="B663" s="4" t="s">
        <v>1153</v>
      </c>
      <c r="C663" s="4" t="s">
        <v>1151</v>
      </c>
    </row>
    <row r="664" ht="15.75" customHeight="1">
      <c r="B664" s="4" t="s">
        <v>1153</v>
      </c>
      <c r="C664" s="4" t="s">
        <v>1151</v>
      </c>
    </row>
    <row r="665" ht="15.75" customHeight="1">
      <c r="B665" s="4" t="s">
        <v>1158</v>
      </c>
      <c r="C665" s="4" t="s">
        <v>1156</v>
      </c>
    </row>
    <row r="666" ht="15.75" customHeight="1">
      <c r="B666" s="4" t="s">
        <v>1158</v>
      </c>
      <c r="C666" s="4" t="s">
        <v>1156</v>
      </c>
    </row>
    <row r="667" ht="15.75" customHeight="1">
      <c r="B667" s="4" t="s">
        <v>1158</v>
      </c>
      <c r="C667" s="4" t="s">
        <v>1156</v>
      </c>
    </row>
    <row r="668" ht="15.75" customHeight="1">
      <c r="B668" s="4" t="s">
        <v>1164</v>
      </c>
      <c r="C668" s="4" t="s">
        <v>1161</v>
      </c>
    </row>
    <row r="669" ht="15.75" customHeight="1">
      <c r="B669" s="4" t="s">
        <v>1164</v>
      </c>
      <c r="C669" s="4" t="s">
        <v>1161</v>
      </c>
    </row>
    <row r="670" ht="15.75" customHeight="1">
      <c r="B670" s="4" t="s">
        <v>1164</v>
      </c>
      <c r="C670" s="4" t="s">
        <v>1161</v>
      </c>
    </row>
    <row r="671" ht="15.75" customHeight="1">
      <c r="B671" s="4" t="s">
        <v>1169</v>
      </c>
      <c r="C671" s="4" t="s">
        <v>1167</v>
      </c>
    </row>
    <row r="672" ht="15.75" customHeight="1">
      <c r="B672" s="4" t="s">
        <v>1169</v>
      </c>
      <c r="C672" s="4" t="s">
        <v>1167</v>
      </c>
    </row>
    <row r="673" ht="15.75" customHeight="1">
      <c r="B673" s="4" t="s">
        <v>1169</v>
      </c>
      <c r="C673" s="4" t="s">
        <v>1167</v>
      </c>
    </row>
    <row r="674" ht="15.75" customHeight="1">
      <c r="B674" s="4" t="s">
        <v>1174</v>
      </c>
      <c r="C674" s="4" t="s">
        <v>1172</v>
      </c>
    </row>
    <row r="675" ht="15.75" customHeight="1">
      <c r="B675" s="4" t="s">
        <v>1174</v>
      </c>
      <c r="C675" s="4" t="s">
        <v>1172</v>
      </c>
    </row>
    <row r="676" ht="15.75" customHeight="1">
      <c r="B676" s="4" t="s">
        <v>1174</v>
      </c>
      <c r="C676" s="4" t="s">
        <v>1172</v>
      </c>
    </row>
    <row r="677" ht="15.75" customHeight="1">
      <c r="B677" s="4" t="s">
        <v>1179</v>
      </c>
      <c r="C677" s="4" t="s">
        <v>1177</v>
      </c>
    </row>
    <row r="678" ht="15.75" customHeight="1">
      <c r="B678" s="4" t="s">
        <v>1179</v>
      </c>
      <c r="C678" s="4" t="s">
        <v>1177</v>
      </c>
    </row>
    <row r="679" ht="15.75" customHeight="1">
      <c r="B679" s="4" t="s">
        <v>1179</v>
      </c>
      <c r="C679" s="4" t="s">
        <v>1177</v>
      </c>
    </row>
    <row r="680" ht="15.75" customHeight="1">
      <c r="B680" s="4" t="s">
        <v>1184</v>
      </c>
      <c r="C680" s="4" t="s">
        <v>1182</v>
      </c>
    </row>
    <row r="681" ht="15.75" customHeight="1">
      <c r="B681" s="4" t="s">
        <v>1184</v>
      </c>
      <c r="C681" s="4" t="s">
        <v>1182</v>
      </c>
    </row>
    <row r="682" ht="15.75" customHeight="1">
      <c r="B682" s="4" t="s">
        <v>1184</v>
      </c>
      <c r="C682" s="4" t="s">
        <v>1182</v>
      </c>
    </row>
    <row r="683" ht="15.75" customHeight="1">
      <c r="B683" s="4" t="s">
        <v>1190</v>
      </c>
      <c r="C683" s="4" t="s">
        <v>1187</v>
      </c>
    </row>
    <row r="684" ht="15.75" customHeight="1">
      <c r="B684" s="4" t="s">
        <v>1190</v>
      </c>
      <c r="C684" s="4" t="s">
        <v>1187</v>
      </c>
    </row>
    <row r="685" ht="15.75" customHeight="1">
      <c r="B685" s="4" t="s">
        <v>1190</v>
      </c>
      <c r="C685" s="4" t="s">
        <v>1187</v>
      </c>
    </row>
    <row r="686" ht="15.75" customHeight="1">
      <c r="B686" s="4" t="s">
        <v>1195</v>
      </c>
      <c r="C686" s="4" t="s">
        <v>1193</v>
      </c>
    </row>
    <row r="687" ht="15.75" customHeight="1">
      <c r="B687" s="4" t="s">
        <v>1195</v>
      </c>
      <c r="C687" s="4" t="s">
        <v>1193</v>
      </c>
    </row>
    <row r="688" ht="15.75" customHeight="1">
      <c r="B688" s="4" t="s">
        <v>1195</v>
      </c>
      <c r="C688" s="4" t="s">
        <v>1193</v>
      </c>
    </row>
    <row r="689" ht="15.75" customHeight="1">
      <c r="B689" s="4" t="s">
        <v>1200</v>
      </c>
      <c r="C689" s="4" t="s">
        <v>1198</v>
      </c>
    </row>
    <row r="690" ht="15.75" customHeight="1">
      <c r="B690" s="4" t="s">
        <v>1200</v>
      </c>
      <c r="C690" s="4" t="s">
        <v>1198</v>
      </c>
    </row>
    <row r="691" ht="15.75" customHeight="1">
      <c r="B691" s="4" t="s">
        <v>1200</v>
      </c>
      <c r="C691" s="4" t="s">
        <v>1198</v>
      </c>
    </row>
    <row r="692" ht="15.75" customHeight="1">
      <c r="B692" s="4" t="s">
        <v>1205</v>
      </c>
      <c r="C692" s="4" t="s">
        <v>1203</v>
      </c>
    </row>
    <row r="693" ht="15.75" customHeight="1">
      <c r="B693" s="4" t="s">
        <v>1205</v>
      </c>
      <c r="C693" s="4" t="s">
        <v>1203</v>
      </c>
    </row>
    <row r="694" ht="15.75" customHeight="1">
      <c r="B694" s="4" t="s">
        <v>1205</v>
      </c>
      <c r="C694" s="4" t="s">
        <v>1203</v>
      </c>
    </row>
    <row r="695" ht="15.75" customHeight="1">
      <c r="B695" s="4" t="s">
        <v>1210</v>
      </c>
      <c r="C695" s="4" t="s">
        <v>1208</v>
      </c>
    </row>
    <row r="696" ht="15.75" customHeight="1">
      <c r="B696" s="4" t="s">
        <v>1210</v>
      </c>
      <c r="C696" s="4" t="s">
        <v>1208</v>
      </c>
    </row>
    <row r="697" ht="15.75" customHeight="1">
      <c r="B697" s="4" t="s">
        <v>1210</v>
      </c>
      <c r="C697" s="4" t="s">
        <v>1208</v>
      </c>
    </row>
    <row r="698" ht="15.75" customHeight="1">
      <c r="B698" s="4" t="s">
        <v>1215</v>
      </c>
      <c r="C698" s="4" t="s">
        <v>1213</v>
      </c>
    </row>
    <row r="699" ht="15.75" customHeight="1">
      <c r="B699" s="4" t="s">
        <v>1215</v>
      </c>
      <c r="C699" s="4" t="s">
        <v>1213</v>
      </c>
    </row>
    <row r="700" ht="15.75" customHeight="1">
      <c r="B700" s="4" t="s">
        <v>1215</v>
      </c>
      <c r="C700" s="4" t="s">
        <v>1213</v>
      </c>
    </row>
    <row r="701" ht="15.75" customHeight="1">
      <c r="B701" s="4" t="s">
        <v>1220</v>
      </c>
      <c r="C701" s="4" t="s">
        <v>1218</v>
      </c>
    </row>
    <row r="702" ht="15.75" customHeight="1">
      <c r="B702" s="4" t="s">
        <v>1220</v>
      </c>
      <c r="C702" s="4" t="s">
        <v>1218</v>
      </c>
    </row>
    <row r="703" ht="15.75" customHeight="1">
      <c r="B703" s="4" t="s">
        <v>1220</v>
      </c>
      <c r="C703" s="4" t="s">
        <v>1218</v>
      </c>
    </row>
    <row r="704" ht="15.75" customHeight="1">
      <c r="B704" s="4" t="s">
        <v>1225</v>
      </c>
      <c r="C704" s="4" t="s">
        <v>1223</v>
      </c>
    </row>
    <row r="705" ht="15.75" customHeight="1">
      <c r="B705" s="4" t="s">
        <v>1225</v>
      </c>
      <c r="C705" s="4" t="s">
        <v>1223</v>
      </c>
    </row>
    <row r="706" ht="15.75" customHeight="1">
      <c r="B706" s="4" t="s">
        <v>1225</v>
      </c>
      <c r="C706" s="4" t="s">
        <v>1223</v>
      </c>
    </row>
    <row r="707" ht="15.75" customHeight="1">
      <c r="B707" s="4" t="s">
        <v>1230</v>
      </c>
      <c r="C707" s="4" t="s">
        <v>1228</v>
      </c>
    </row>
    <row r="708" ht="15.75" customHeight="1">
      <c r="B708" s="4" t="s">
        <v>1230</v>
      </c>
      <c r="C708" s="4" t="s">
        <v>1228</v>
      </c>
    </row>
    <row r="709" ht="15.75" customHeight="1">
      <c r="B709" s="4" t="s">
        <v>1230</v>
      </c>
      <c r="C709" s="4" t="s">
        <v>1228</v>
      </c>
    </row>
    <row r="710" ht="15.75" customHeight="1">
      <c r="B710" s="4" t="s">
        <v>1235</v>
      </c>
      <c r="C710" s="4" t="s">
        <v>1233</v>
      </c>
    </row>
    <row r="711" ht="15.75" customHeight="1">
      <c r="B711" s="4" t="s">
        <v>1235</v>
      </c>
      <c r="C711" s="4" t="s">
        <v>1233</v>
      </c>
    </row>
    <row r="712" ht="15.75" customHeight="1">
      <c r="B712" s="4" t="s">
        <v>1235</v>
      </c>
      <c r="C712" s="4" t="s">
        <v>1233</v>
      </c>
    </row>
    <row r="713" ht="15.75" customHeight="1">
      <c r="B713" s="4" t="s">
        <v>1241</v>
      </c>
      <c r="C713" s="4" t="s">
        <v>1238</v>
      </c>
    </row>
    <row r="714" ht="15.75" customHeight="1">
      <c r="B714" s="4" t="s">
        <v>1241</v>
      </c>
      <c r="C714" s="4" t="s">
        <v>1238</v>
      </c>
    </row>
    <row r="715" ht="15.75" customHeight="1">
      <c r="B715" s="4" t="s">
        <v>1241</v>
      </c>
      <c r="C715" s="4" t="s">
        <v>1238</v>
      </c>
    </row>
    <row r="716" ht="15.75" customHeight="1">
      <c r="B716" s="4" t="s">
        <v>1246</v>
      </c>
      <c r="C716" s="4" t="s">
        <v>1244</v>
      </c>
    </row>
    <row r="717" ht="15.75" customHeight="1">
      <c r="B717" s="4" t="s">
        <v>1246</v>
      </c>
      <c r="C717" s="4" t="s">
        <v>1244</v>
      </c>
    </row>
    <row r="718" ht="15.75" customHeight="1">
      <c r="B718" s="4" t="s">
        <v>1246</v>
      </c>
      <c r="C718" s="4" t="s">
        <v>1244</v>
      </c>
    </row>
    <row r="719" ht="15.75" customHeight="1">
      <c r="B719" s="4" t="s">
        <v>1251</v>
      </c>
      <c r="C719" s="4" t="s">
        <v>1249</v>
      </c>
    </row>
    <row r="720" ht="15.75" customHeight="1">
      <c r="B720" s="4" t="s">
        <v>1251</v>
      </c>
      <c r="C720" s="4" t="s">
        <v>1249</v>
      </c>
    </row>
    <row r="721" ht="15.75" customHeight="1">
      <c r="B721" s="4" t="s">
        <v>1251</v>
      </c>
      <c r="C721" s="4" t="s">
        <v>1249</v>
      </c>
    </row>
    <row r="722" ht="15.75" customHeight="1">
      <c r="B722" s="4" t="s">
        <v>1256</v>
      </c>
      <c r="C722" s="4" t="s">
        <v>1254</v>
      </c>
    </row>
    <row r="723" ht="15.75" customHeight="1">
      <c r="B723" s="4" t="s">
        <v>1256</v>
      </c>
      <c r="C723" s="4" t="s">
        <v>1254</v>
      </c>
    </row>
    <row r="724" ht="15.75" customHeight="1">
      <c r="B724" s="4" t="s">
        <v>1256</v>
      </c>
      <c r="C724" s="4" t="s">
        <v>1254</v>
      </c>
    </row>
    <row r="725" ht="15.75" customHeight="1">
      <c r="B725" s="4" t="s">
        <v>1261</v>
      </c>
      <c r="C725" s="4" t="s">
        <v>1259</v>
      </c>
    </row>
    <row r="726" ht="15.75" customHeight="1">
      <c r="B726" s="4" t="s">
        <v>1261</v>
      </c>
      <c r="C726" s="4" t="s">
        <v>1259</v>
      </c>
    </row>
    <row r="727" ht="15.75" customHeight="1">
      <c r="B727" s="4" t="s">
        <v>1261</v>
      </c>
      <c r="C727" s="4" t="s">
        <v>1259</v>
      </c>
    </row>
    <row r="728" ht="15.75" customHeight="1">
      <c r="B728" s="4" t="s">
        <v>1266</v>
      </c>
      <c r="C728" s="4" t="s">
        <v>1264</v>
      </c>
    </row>
    <row r="729" ht="15.75" customHeight="1">
      <c r="B729" s="4" t="s">
        <v>1266</v>
      </c>
      <c r="C729" s="4" t="s">
        <v>1264</v>
      </c>
    </row>
    <row r="730" ht="15.75" customHeight="1">
      <c r="B730" s="4" t="s">
        <v>1266</v>
      </c>
      <c r="C730" s="4" t="s">
        <v>1264</v>
      </c>
    </row>
    <row r="731" ht="15.75" customHeight="1">
      <c r="B731" s="4" t="s">
        <v>1271</v>
      </c>
      <c r="C731" s="4" t="s">
        <v>1269</v>
      </c>
    </row>
    <row r="732" ht="15.75" customHeight="1">
      <c r="B732" s="4" t="s">
        <v>1271</v>
      </c>
      <c r="C732" s="4" t="s">
        <v>1269</v>
      </c>
    </row>
    <row r="733" ht="15.75" customHeight="1">
      <c r="B733" s="4" t="s">
        <v>1271</v>
      </c>
      <c r="C733" s="4" t="s">
        <v>1269</v>
      </c>
    </row>
    <row r="734" ht="15.75" customHeight="1">
      <c r="B734" s="4" t="s">
        <v>1276</v>
      </c>
      <c r="C734" s="4" t="s">
        <v>1274</v>
      </c>
    </row>
    <row r="735" ht="15.75" customHeight="1">
      <c r="B735" s="4" t="s">
        <v>1276</v>
      </c>
      <c r="C735" s="4" t="s">
        <v>1274</v>
      </c>
    </row>
    <row r="736" ht="15.75" customHeight="1">
      <c r="B736" s="4" t="s">
        <v>1276</v>
      </c>
      <c r="C736" s="4" t="s">
        <v>1274</v>
      </c>
    </row>
    <row r="737" ht="15.75" customHeight="1">
      <c r="B737" s="4" t="s">
        <v>1281</v>
      </c>
      <c r="C737" s="4" t="s">
        <v>1279</v>
      </c>
    </row>
    <row r="738" ht="15.75" customHeight="1">
      <c r="B738" s="4" t="s">
        <v>1281</v>
      </c>
      <c r="C738" s="4" t="s">
        <v>1279</v>
      </c>
    </row>
    <row r="739" ht="15.75" customHeight="1">
      <c r="B739" s="4" t="s">
        <v>1281</v>
      </c>
      <c r="C739" s="4" t="s">
        <v>1279</v>
      </c>
    </row>
    <row r="740" ht="15.75" customHeight="1">
      <c r="B740" s="4" t="s">
        <v>1285</v>
      </c>
      <c r="C740" s="4" t="s">
        <v>1284</v>
      </c>
    </row>
    <row r="741" ht="15.75" customHeight="1">
      <c r="B741" s="4" t="s">
        <v>1285</v>
      </c>
      <c r="C741" s="4" t="s">
        <v>1284</v>
      </c>
    </row>
    <row r="742" ht="15.75" customHeight="1">
      <c r="B742" s="4" t="s">
        <v>1285</v>
      </c>
      <c r="C742" s="4" t="s">
        <v>1284</v>
      </c>
    </row>
    <row r="743" ht="15.75" customHeight="1">
      <c r="B743" s="4" t="s">
        <v>1289</v>
      </c>
      <c r="C743" s="4" t="s">
        <v>1288</v>
      </c>
    </row>
    <row r="744" ht="15.75" customHeight="1">
      <c r="B744" s="4" t="s">
        <v>1289</v>
      </c>
      <c r="C744" s="4" t="s">
        <v>1288</v>
      </c>
    </row>
    <row r="745" ht="15.75" customHeight="1">
      <c r="B745" s="4" t="s">
        <v>1289</v>
      </c>
      <c r="C745" s="4" t="s">
        <v>1288</v>
      </c>
    </row>
    <row r="746" ht="15.75" customHeight="1">
      <c r="B746" s="4" t="s">
        <v>1294</v>
      </c>
      <c r="C746" s="4" t="s">
        <v>1292</v>
      </c>
    </row>
    <row r="747" ht="15.75" customHeight="1">
      <c r="B747" s="4" t="s">
        <v>1294</v>
      </c>
      <c r="C747" s="4" t="s">
        <v>1292</v>
      </c>
    </row>
    <row r="748" ht="15.75" customHeight="1">
      <c r="B748" s="4" t="s">
        <v>1294</v>
      </c>
      <c r="C748" s="4" t="s">
        <v>1292</v>
      </c>
    </row>
    <row r="749" ht="15.75" customHeight="1">
      <c r="B749" s="4" t="s">
        <v>1299</v>
      </c>
      <c r="C749" s="4" t="s">
        <v>1297</v>
      </c>
    </row>
    <row r="750" ht="15.75" customHeight="1">
      <c r="B750" s="4" t="s">
        <v>1299</v>
      </c>
      <c r="C750" s="4" t="s">
        <v>1297</v>
      </c>
    </row>
    <row r="751" ht="15.75" customHeight="1">
      <c r="B751" s="4" t="s">
        <v>1299</v>
      </c>
      <c r="C751" s="4" t="s">
        <v>1297</v>
      </c>
    </row>
    <row r="752" ht="15.75" customHeight="1">
      <c r="B752" s="4" t="s">
        <v>1304</v>
      </c>
      <c r="C752" s="4" t="s">
        <v>1302</v>
      </c>
    </row>
    <row r="753" ht="15.75" customHeight="1">
      <c r="B753" s="4" t="s">
        <v>1304</v>
      </c>
      <c r="C753" s="4" t="s">
        <v>1302</v>
      </c>
    </row>
    <row r="754" ht="15.75" customHeight="1">
      <c r="B754" s="4" t="s">
        <v>1304</v>
      </c>
      <c r="C754" s="4" t="s">
        <v>1302</v>
      </c>
    </row>
    <row r="755" ht="15.75" customHeight="1">
      <c r="B755" s="4" t="s">
        <v>1308</v>
      </c>
      <c r="C755" s="4" t="s">
        <v>1307</v>
      </c>
    </row>
    <row r="756" ht="15.75" customHeight="1">
      <c r="B756" s="4" t="s">
        <v>1308</v>
      </c>
      <c r="C756" s="4" t="s">
        <v>1307</v>
      </c>
    </row>
    <row r="757" ht="15.75" customHeight="1">
      <c r="B757" s="4" t="s">
        <v>1308</v>
      </c>
      <c r="C757" s="4" t="s">
        <v>1307</v>
      </c>
    </row>
    <row r="758" ht="15.75" customHeight="1">
      <c r="B758" s="4" t="s">
        <v>1313</v>
      </c>
      <c r="C758" s="4" t="s">
        <v>1311</v>
      </c>
    </row>
    <row r="759" ht="15.75" customHeight="1">
      <c r="B759" s="4" t="s">
        <v>1313</v>
      </c>
      <c r="C759" s="4" t="s">
        <v>1311</v>
      </c>
    </row>
    <row r="760" ht="15.75" customHeight="1">
      <c r="B760" s="4" t="s">
        <v>1313</v>
      </c>
      <c r="C760" s="4" t="s">
        <v>1311</v>
      </c>
    </row>
    <row r="761" ht="15.75" customHeight="1">
      <c r="B761" s="4" t="s">
        <v>1318</v>
      </c>
      <c r="C761" s="4" t="s">
        <v>1316</v>
      </c>
    </row>
    <row r="762" ht="15.75" customHeight="1">
      <c r="B762" s="4" t="s">
        <v>1318</v>
      </c>
      <c r="C762" s="4" t="s">
        <v>1316</v>
      </c>
    </row>
    <row r="763" ht="15.75" customHeight="1">
      <c r="B763" s="4" t="s">
        <v>1318</v>
      </c>
      <c r="C763" s="4" t="s">
        <v>1316</v>
      </c>
    </row>
    <row r="764" ht="15.75" customHeight="1">
      <c r="B764" s="4" t="s">
        <v>1323</v>
      </c>
      <c r="C764" s="4" t="s">
        <v>1321</v>
      </c>
    </row>
    <row r="765" ht="15.75" customHeight="1">
      <c r="B765" s="4" t="s">
        <v>1323</v>
      </c>
      <c r="C765" s="4" t="s">
        <v>1321</v>
      </c>
    </row>
    <row r="766" ht="15.75" customHeight="1">
      <c r="B766" s="4" t="s">
        <v>1323</v>
      </c>
      <c r="C766" s="4" t="s">
        <v>1321</v>
      </c>
    </row>
    <row r="767" ht="15.75" customHeight="1">
      <c r="B767" s="4" t="s">
        <v>1328</v>
      </c>
      <c r="C767" s="4" t="s">
        <v>1326</v>
      </c>
    </row>
    <row r="768" ht="15.75" customHeight="1">
      <c r="B768" s="4" t="s">
        <v>1328</v>
      </c>
      <c r="C768" s="4" t="s">
        <v>1326</v>
      </c>
    </row>
    <row r="769" ht="15.75" customHeight="1">
      <c r="B769" s="4" t="s">
        <v>1328</v>
      </c>
      <c r="C769" s="4" t="s">
        <v>1326</v>
      </c>
    </row>
    <row r="770" ht="15.75" customHeight="1">
      <c r="B770" s="4" t="s">
        <v>1332</v>
      </c>
      <c r="C770" s="4" t="s">
        <v>1331</v>
      </c>
    </row>
    <row r="771" ht="15.75" customHeight="1">
      <c r="B771" s="4" t="s">
        <v>1332</v>
      </c>
      <c r="C771" s="4" t="s">
        <v>1331</v>
      </c>
    </row>
    <row r="772" ht="15.75" customHeight="1">
      <c r="B772" s="4" t="s">
        <v>1332</v>
      </c>
      <c r="C772" s="4" t="s">
        <v>1331</v>
      </c>
    </row>
    <row r="773" ht="15.75" customHeight="1">
      <c r="B773" s="4" t="s">
        <v>1337</v>
      </c>
      <c r="C773" s="4" t="s">
        <v>1335</v>
      </c>
    </row>
    <row r="774" ht="15.75" customHeight="1">
      <c r="B774" s="4" t="s">
        <v>1337</v>
      </c>
      <c r="C774" s="4" t="s">
        <v>1335</v>
      </c>
    </row>
    <row r="775" ht="15.75" customHeight="1">
      <c r="B775" s="4" t="s">
        <v>1337</v>
      </c>
      <c r="C775" s="4" t="s">
        <v>1335</v>
      </c>
    </row>
    <row r="776" ht="15.75" customHeight="1">
      <c r="B776" s="4" t="s">
        <v>1343</v>
      </c>
      <c r="C776" s="4" t="s">
        <v>1340</v>
      </c>
    </row>
    <row r="777" ht="15.75" customHeight="1">
      <c r="B777" s="4" t="s">
        <v>1343</v>
      </c>
      <c r="C777" s="4" t="s">
        <v>1340</v>
      </c>
    </row>
    <row r="778" ht="15.75" customHeight="1">
      <c r="B778" s="4" t="s">
        <v>1343</v>
      </c>
      <c r="C778" s="4" t="s">
        <v>1340</v>
      </c>
    </row>
    <row r="779" ht="15.75" customHeight="1">
      <c r="B779" s="4" t="s">
        <v>1348</v>
      </c>
      <c r="C779" s="4" t="s">
        <v>1346</v>
      </c>
    </row>
    <row r="780" ht="15.75" customHeight="1">
      <c r="B780" s="4" t="s">
        <v>1348</v>
      </c>
      <c r="C780" s="4" t="s">
        <v>1346</v>
      </c>
    </row>
    <row r="781" ht="15.75" customHeight="1">
      <c r="B781" s="4" t="s">
        <v>1348</v>
      </c>
      <c r="C781" s="4" t="s">
        <v>1346</v>
      </c>
    </row>
    <row r="782" ht="15.75" customHeight="1">
      <c r="B782" s="4" t="s">
        <v>1353</v>
      </c>
      <c r="C782" s="4" t="s">
        <v>1351</v>
      </c>
    </row>
    <row r="783" ht="15.75" customHeight="1">
      <c r="B783" s="4" t="s">
        <v>1353</v>
      </c>
      <c r="C783" s="4" t="s">
        <v>1351</v>
      </c>
    </row>
    <row r="784" ht="15.75" customHeight="1">
      <c r="B784" s="4" t="s">
        <v>1353</v>
      </c>
      <c r="C784" s="4" t="s">
        <v>1351</v>
      </c>
    </row>
    <row r="785" ht="15.75" customHeight="1">
      <c r="B785" s="4" t="s">
        <v>1358</v>
      </c>
      <c r="C785" s="4" t="s">
        <v>1356</v>
      </c>
    </row>
    <row r="786" ht="15.75" customHeight="1">
      <c r="B786" s="4" t="s">
        <v>1358</v>
      </c>
      <c r="C786" s="4" t="s">
        <v>1356</v>
      </c>
    </row>
    <row r="787" ht="15.75" customHeight="1">
      <c r="B787" s="4" t="s">
        <v>1358</v>
      </c>
      <c r="C787" s="4" t="s">
        <v>1356</v>
      </c>
    </row>
    <row r="788" ht="15.75" customHeight="1">
      <c r="B788" s="4" t="s">
        <v>1363</v>
      </c>
      <c r="C788" s="4" t="s">
        <v>1361</v>
      </c>
    </row>
    <row r="789" ht="15.75" customHeight="1">
      <c r="B789" s="4" t="s">
        <v>1363</v>
      </c>
      <c r="C789" s="4" t="s">
        <v>1361</v>
      </c>
    </row>
    <row r="790" ht="15.75" customHeight="1">
      <c r="B790" s="4" t="s">
        <v>1363</v>
      </c>
      <c r="C790" s="4" t="s">
        <v>1361</v>
      </c>
    </row>
    <row r="791" ht="15.75" customHeight="1">
      <c r="B791" s="4" t="s">
        <v>1368</v>
      </c>
      <c r="C791" s="4" t="s">
        <v>1366</v>
      </c>
    </row>
    <row r="792" ht="15.75" customHeight="1">
      <c r="B792" s="4" t="s">
        <v>1368</v>
      </c>
      <c r="C792" s="4" t="s">
        <v>1366</v>
      </c>
    </row>
    <row r="793" ht="15.75" customHeight="1">
      <c r="B793" s="4" t="s">
        <v>1368</v>
      </c>
      <c r="C793" s="4" t="s">
        <v>1366</v>
      </c>
    </row>
    <row r="794" ht="15.75" customHeight="1">
      <c r="B794" s="4" t="s">
        <v>1373</v>
      </c>
      <c r="C794" s="4" t="s">
        <v>1371</v>
      </c>
    </row>
    <row r="795" ht="15.75" customHeight="1">
      <c r="B795" s="4" t="s">
        <v>1373</v>
      </c>
      <c r="C795" s="4" t="s">
        <v>1371</v>
      </c>
    </row>
    <row r="796" ht="15.75" customHeight="1">
      <c r="B796" s="4" t="s">
        <v>1373</v>
      </c>
      <c r="C796" s="4" t="s">
        <v>1371</v>
      </c>
    </row>
    <row r="797" ht="15.75" customHeight="1">
      <c r="B797" s="4" t="s">
        <v>1378</v>
      </c>
      <c r="C797" s="4" t="s">
        <v>1376</v>
      </c>
    </row>
    <row r="798" ht="15.75" customHeight="1">
      <c r="B798" s="4" t="s">
        <v>1378</v>
      </c>
      <c r="C798" s="4" t="s">
        <v>1376</v>
      </c>
    </row>
    <row r="799" ht="15.75" customHeight="1">
      <c r="B799" s="4" t="s">
        <v>1378</v>
      </c>
      <c r="C799" s="4" t="s">
        <v>1376</v>
      </c>
    </row>
    <row r="800" ht="15.75" customHeight="1">
      <c r="B800" s="4" t="s">
        <v>1383</v>
      </c>
      <c r="C800" s="4" t="s">
        <v>1381</v>
      </c>
    </row>
    <row r="801" ht="15.75" customHeight="1">
      <c r="B801" s="4" t="s">
        <v>1383</v>
      </c>
      <c r="C801" s="4" t="s">
        <v>1381</v>
      </c>
    </row>
    <row r="802" ht="15.75" customHeight="1">
      <c r="B802" s="4" t="s">
        <v>1383</v>
      </c>
      <c r="C802" s="4" t="s">
        <v>1381</v>
      </c>
    </row>
    <row r="803" ht="15.75" customHeight="1">
      <c r="B803" s="4" t="s">
        <v>1388</v>
      </c>
      <c r="C803" s="4" t="s">
        <v>1386</v>
      </c>
    </row>
    <row r="804" ht="15.75" customHeight="1">
      <c r="B804" s="4" t="s">
        <v>1388</v>
      </c>
      <c r="C804" s="4" t="s">
        <v>1386</v>
      </c>
    </row>
    <row r="805" ht="15.75" customHeight="1">
      <c r="B805" s="4" t="s">
        <v>1388</v>
      </c>
      <c r="C805" s="4" t="s">
        <v>1386</v>
      </c>
    </row>
    <row r="806" ht="15.75" customHeight="1">
      <c r="B806" s="4" t="s">
        <v>1393</v>
      </c>
      <c r="C806" s="4" t="s">
        <v>1391</v>
      </c>
    </row>
    <row r="807" ht="15.75" customHeight="1">
      <c r="B807" s="4" t="s">
        <v>1393</v>
      </c>
      <c r="C807" s="4" t="s">
        <v>1391</v>
      </c>
    </row>
    <row r="808" ht="15.75" customHeight="1">
      <c r="B808" s="4" t="s">
        <v>1393</v>
      </c>
      <c r="C808" s="4" t="s">
        <v>1391</v>
      </c>
    </row>
    <row r="809" ht="15.75" customHeight="1">
      <c r="B809" s="4" t="s">
        <v>1398</v>
      </c>
      <c r="C809" s="4" t="s">
        <v>1396</v>
      </c>
    </row>
    <row r="810" ht="15.75" customHeight="1">
      <c r="B810" s="4" t="s">
        <v>1398</v>
      </c>
      <c r="C810" s="4" t="s">
        <v>1396</v>
      </c>
    </row>
    <row r="811" ht="15.75" customHeight="1">
      <c r="B811" s="4" t="s">
        <v>1398</v>
      </c>
      <c r="C811" s="4" t="s">
        <v>1396</v>
      </c>
    </row>
    <row r="812" ht="15.75" customHeight="1">
      <c r="B812" s="4" t="s">
        <v>1403</v>
      </c>
      <c r="C812" s="4" t="s">
        <v>1401</v>
      </c>
    </row>
    <row r="813" ht="15.75" customHeight="1">
      <c r="B813" s="4" t="s">
        <v>1403</v>
      </c>
      <c r="C813" s="4" t="s">
        <v>1401</v>
      </c>
    </row>
    <row r="814" ht="15.75" customHeight="1">
      <c r="B814" s="4" t="s">
        <v>1403</v>
      </c>
      <c r="C814" s="4" t="s">
        <v>1401</v>
      </c>
    </row>
    <row r="815" ht="15.75" customHeight="1">
      <c r="B815" s="4" t="s">
        <v>1407</v>
      </c>
      <c r="C815" s="4" t="s">
        <v>1406</v>
      </c>
    </row>
    <row r="816" ht="15.75" customHeight="1">
      <c r="B816" s="4" t="s">
        <v>1407</v>
      </c>
      <c r="C816" s="4" t="s">
        <v>1406</v>
      </c>
    </row>
    <row r="817" ht="15.75" customHeight="1">
      <c r="B817" s="4" t="s">
        <v>1407</v>
      </c>
      <c r="C817" s="4" t="s">
        <v>1406</v>
      </c>
    </row>
    <row r="818" ht="15.75" customHeight="1">
      <c r="B818" s="4" t="s">
        <v>1413</v>
      </c>
      <c r="C818" s="4" t="s">
        <v>1410</v>
      </c>
    </row>
    <row r="819" ht="15.75" customHeight="1">
      <c r="B819" s="4" t="s">
        <v>1413</v>
      </c>
      <c r="C819" s="4" t="s">
        <v>1410</v>
      </c>
    </row>
    <row r="820" ht="15.75" customHeight="1">
      <c r="B820" s="4" t="s">
        <v>1413</v>
      </c>
      <c r="C820" s="4" t="s">
        <v>1410</v>
      </c>
    </row>
    <row r="821" ht="15.75" customHeight="1">
      <c r="B821" s="4" t="s">
        <v>1417</v>
      </c>
      <c r="C821" s="4" t="s">
        <v>1416</v>
      </c>
    </row>
    <row r="822" ht="15.75" customHeight="1">
      <c r="B822" s="4" t="s">
        <v>1417</v>
      </c>
      <c r="C822" s="4" t="s">
        <v>1416</v>
      </c>
    </row>
    <row r="823" ht="15.75" customHeight="1">
      <c r="B823" s="4" t="s">
        <v>1417</v>
      </c>
      <c r="C823" s="4" t="s">
        <v>1416</v>
      </c>
    </row>
    <row r="824" ht="15.75" customHeight="1">
      <c r="B824" s="4" t="s">
        <v>1421</v>
      </c>
      <c r="C824" s="4" t="s">
        <v>1420</v>
      </c>
    </row>
    <row r="825" ht="15.75" customHeight="1">
      <c r="B825" s="4" t="s">
        <v>1421</v>
      </c>
      <c r="C825" s="4" t="s">
        <v>1420</v>
      </c>
    </row>
    <row r="826" ht="15.75" customHeight="1">
      <c r="B826" s="4" t="s">
        <v>1421</v>
      </c>
      <c r="C826" s="4" t="s">
        <v>1420</v>
      </c>
    </row>
    <row r="827" ht="15.75" customHeight="1">
      <c r="B827" s="4" t="s">
        <v>1426</v>
      </c>
      <c r="C827" s="4" t="s">
        <v>1424</v>
      </c>
    </row>
    <row r="828" ht="15.75" customHeight="1">
      <c r="B828" s="4" t="s">
        <v>1426</v>
      </c>
      <c r="C828" s="4" t="s">
        <v>1424</v>
      </c>
    </row>
    <row r="829" ht="15.75" customHeight="1">
      <c r="B829" s="4" t="s">
        <v>1426</v>
      </c>
      <c r="C829" s="4" t="s">
        <v>1424</v>
      </c>
    </row>
    <row r="830" ht="15.75" customHeight="1">
      <c r="B830" s="4" t="s">
        <v>1430</v>
      </c>
      <c r="C830" s="4" t="s">
        <v>1429</v>
      </c>
    </row>
    <row r="831" ht="15.75" customHeight="1">
      <c r="B831" s="4" t="s">
        <v>1430</v>
      </c>
      <c r="C831" s="4" t="s">
        <v>1429</v>
      </c>
    </row>
    <row r="832" ht="15.75" customHeight="1">
      <c r="B832" s="4" t="s">
        <v>1430</v>
      </c>
      <c r="C832" s="4" t="s">
        <v>1429</v>
      </c>
    </row>
    <row r="833" ht="15.75" customHeight="1">
      <c r="B833" s="4" t="s">
        <v>1435</v>
      </c>
      <c r="C833" s="4" t="s">
        <v>1433</v>
      </c>
    </row>
    <row r="834" ht="15.75" customHeight="1">
      <c r="B834" s="4" t="s">
        <v>1435</v>
      </c>
      <c r="C834" s="4" t="s">
        <v>1433</v>
      </c>
    </row>
    <row r="835" ht="15.75" customHeight="1">
      <c r="B835" s="4" t="s">
        <v>1435</v>
      </c>
      <c r="C835" s="4" t="s">
        <v>1433</v>
      </c>
    </row>
    <row r="836" ht="15.75" customHeight="1">
      <c r="B836" s="4" t="s">
        <v>1440</v>
      </c>
      <c r="C836" s="4" t="s">
        <v>1438</v>
      </c>
    </row>
    <row r="837" ht="15.75" customHeight="1">
      <c r="B837" s="4" t="s">
        <v>1440</v>
      </c>
      <c r="C837" s="4" t="s">
        <v>1438</v>
      </c>
    </row>
    <row r="838" ht="15.75" customHeight="1">
      <c r="B838" s="4" t="s">
        <v>1440</v>
      </c>
      <c r="C838" s="4" t="s">
        <v>1438</v>
      </c>
    </row>
    <row r="839" ht="15.75" customHeight="1">
      <c r="B839" s="4" t="s">
        <v>1445</v>
      </c>
      <c r="C839" s="4" t="s">
        <v>1443</v>
      </c>
    </row>
    <row r="840" ht="15.75" customHeight="1">
      <c r="B840" s="4" t="s">
        <v>1445</v>
      </c>
      <c r="C840" s="4" t="s">
        <v>1443</v>
      </c>
    </row>
    <row r="841" ht="15.75" customHeight="1">
      <c r="B841" s="4" t="s">
        <v>1445</v>
      </c>
      <c r="C841" s="4" t="s">
        <v>1443</v>
      </c>
    </row>
    <row r="842" ht="15.75" customHeight="1">
      <c r="B842" s="4" t="s">
        <v>1450</v>
      </c>
      <c r="C842" s="4" t="s">
        <v>1448</v>
      </c>
    </row>
    <row r="843" ht="15.75" customHeight="1">
      <c r="B843" s="4" t="s">
        <v>1450</v>
      </c>
      <c r="C843" s="4" t="s">
        <v>1448</v>
      </c>
    </row>
    <row r="844" ht="15.75" customHeight="1">
      <c r="B844" s="4" t="s">
        <v>1450</v>
      </c>
      <c r="C844" s="4" t="s">
        <v>1448</v>
      </c>
    </row>
    <row r="845" ht="15.75" customHeight="1">
      <c r="B845" s="4" t="s">
        <v>1455</v>
      </c>
      <c r="C845" s="4" t="s">
        <v>1453</v>
      </c>
    </row>
    <row r="846" ht="15.75" customHeight="1">
      <c r="B846" s="4" t="s">
        <v>1455</v>
      </c>
      <c r="C846" s="4" t="s">
        <v>1453</v>
      </c>
    </row>
    <row r="847" ht="15.75" customHeight="1">
      <c r="B847" s="4" t="s">
        <v>1455</v>
      </c>
      <c r="C847" s="4" t="s">
        <v>1453</v>
      </c>
    </row>
    <row r="848" ht="15.75" customHeight="1">
      <c r="B848" s="4" t="s">
        <v>1459</v>
      </c>
      <c r="C848" s="4" t="s">
        <v>1458</v>
      </c>
    </row>
    <row r="849" ht="15.75" customHeight="1">
      <c r="B849" s="4" t="s">
        <v>1459</v>
      </c>
      <c r="C849" s="4" t="s">
        <v>1458</v>
      </c>
    </row>
    <row r="850" ht="15.75" customHeight="1">
      <c r="B850" s="4" t="s">
        <v>1459</v>
      </c>
      <c r="C850" s="4" t="s">
        <v>1458</v>
      </c>
    </row>
    <row r="851" ht="15.75" customHeight="1">
      <c r="B851" s="4" t="s">
        <v>1464</v>
      </c>
      <c r="C851" s="4" t="s">
        <v>1462</v>
      </c>
    </row>
    <row r="852" ht="15.75" customHeight="1">
      <c r="B852" s="4" t="s">
        <v>1464</v>
      </c>
      <c r="C852" s="4" t="s">
        <v>1462</v>
      </c>
    </row>
    <row r="853" ht="15.75" customHeight="1">
      <c r="B853" s="4" t="s">
        <v>1464</v>
      </c>
      <c r="C853" s="4" t="s">
        <v>1462</v>
      </c>
    </row>
    <row r="854" ht="15.75" customHeight="1">
      <c r="B854" s="4" t="s">
        <v>1469</v>
      </c>
      <c r="C854" s="4" t="s">
        <v>1467</v>
      </c>
    </row>
    <row r="855" ht="15.75" customHeight="1">
      <c r="B855" s="4" t="s">
        <v>1469</v>
      </c>
      <c r="C855" s="4" t="s">
        <v>1467</v>
      </c>
    </row>
    <row r="856" ht="15.75" customHeight="1">
      <c r="B856" s="4" t="s">
        <v>1469</v>
      </c>
      <c r="C856" s="4" t="s">
        <v>1467</v>
      </c>
    </row>
    <row r="857" ht="15.75" customHeight="1">
      <c r="B857" s="4" t="s">
        <v>1474</v>
      </c>
      <c r="C857" s="4" t="s">
        <v>1472</v>
      </c>
    </row>
    <row r="858" ht="15.75" customHeight="1">
      <c r="B858" s="4" t="s">
        <v>1474</v>
      </c>
      <c r="C858" s="4" t="s">
        <v>1472</v>
      </c>
    </row>
    <row r="859" ht="15.75" customHeight="1">
      <c r="B859" s="4" t="s">
        <v>1474</v>
      </c>
      <c r="C859" s="4" t="s">
        <v>1472</v>
      </c>
    </row>
    <row r="860" ht="15.75" customHeight="1">
      <c r="B860" s="4" t="s">
        <v>1479</v>
      </c>
      <c r="C860" s="4" t="s">
        <v>1477</v>
      </c>
    </row>
    <row r="861" ht="15.75" customHeight="1">
      <c r="B861" s="4" t="s">
        <v>1479</v>
      </c>
      <c r="C861" s="4" t="s">
        <v>1477</v>
      </c>
    </row>
    <row r="862" ht="15.75" customHeight="1">
      <c r="B862" s="4" t="s">
        <v>1479</v>
      </c>
      <c r="C862" s="4" t="s">
        <v>1477</v>
      </c>
    </row>
    <row r="863" ht="15.75" customHeight="1">
      <c r="B863" s="4" t="s">
        <v>1484</v>
      </c>
      <c r="C863" s="4" t="s">
        <v>1482</v>
      </c>
    </row>
    <row r="864" ht="15.75" customHeight="1">
      <c r="B864" s="4" t="s">
        <v>1484</v>
      </c>
      <c r="C864" s="4" t="s">
        <v>1482</v>
      </c>
    </row>
    <row r="865" ht="15.75" customHeight="1">
      <c r="B865" s="4" t="s">
        <v>1484</v>
      </c>
      <c r="C865" s="4" t="s">
        <v>1482</v>
      </c>
    </row>
    <row r="866" ht="15.75" customHeight="1">
      <c r="B866" s="4" t="s">
        <v>1489</v>
      </c>
      <c r="C866" s="4" t="s">
        <v>1487</v>
      </c>
    </row>
    <row r="867" ht="15.75" customHeight="1">
      <c r="B867" s="4" t="s">
        <v>1489</v>
      </c>
      <c r="C867" s="4" t="s">
        <v>1487</v>
      </c>
    </row>
    <row r="868" ht="15.75" customHeight="1">
      <c r="B868" s="4" t="s">
        <v>1489</v>
      </c>
      <c r="C868" s="4" t="s">
        <v>1487</v>
      </c>
    </row>
    <row r="869" ht="15.75" customHeight="1">
      <c r="B869" s="4" t="s">
        <v>1494</v>
      </c>
      <c r="C869" s="4" t="s">
        <v>1492</v>
      </c>
    </row>
    <row r="870" ht="15.75" customHeight="1">
      <c r="B870" s="4" t="s">
        <v>1494</v>
      </c>
      <c r="C870" s="4" t="s">
        <v>1492</v>
      </c>
    </row>
    <row r="871" ht="15.75" customHeight="1">
      <c r="B871" s="4" t="s">
        <v>1494</v>
      </c>
      <c r="C871" s="4" t="s">
        <v>1492</v>
      </c>
    </row>
    <row r="872" ht="15.75" customHeight="1">
      <c r="B872" s="4" t="s">
        <v>1499</v>
      </c>
      <c r="C872" s="4" t="s">
        <v>1497</v>
      </c>
    </row>
    <row r="873" ht="15.75" customHeight="1">
      <c r="B873" s="4" t="s">
        <v>1499</v>
      </c>
      <c r="C873" s="4" t="s">
        <v>1497</v>
      </c>
    </row>
    <row r="874" ht="15.75" customHeight="1">
      <c r="B874" s="4" t="s">
        <v>1499</v>
      </c>
      <c r="C874" s="4" t="s">
        <v>1497</v>
      </c>
    </row>
    <row r="875" ht="15.75" customHeight="1">
      <c r="B875" s="4" t="s">
        <v>1504</v>
      </c>
      <c r="C875" s="4" t="s">
        <v>1502</v>
      </c>
    </row>
    <row r="876" ht="15.75" customHeight="1">
      <c r="B876" s="4" t="s">
        <v>1504</v>
      </c>
      <c r="C876" s="4" t="s">
        <v>1502</v>
      </c>
    </row>
    <row r="877" ht="15.75" customHeight="1">
      <c r="B877" s="4" t="s">
        <v>1504</v>
      </c>
      <c r="C877" s="4" t="s">
        <v>1502</v>
      </c>
    </row>
    <row r="878" ht="15.75" customHeight="1">
      <c r="B878" s="4" t="s">
        <v>1509</v>
      </c>
      <c r="C878" s="4" t="s">
        <v>1507</v>
      </c>
    </row>
    <row r="879" ht="15.75" customHeight="1">
      <c r="B879" s="4" t="s">
        <v>1509</v>
      </c>
      <c r="C879" s="4" t="s">
        <v>1507</v>
      </c>
    </row>
    <row r="880" ht="15.75" customHeight="1">
      <c r="B880" s="4" t="s">
        <v>1509</v>
      </c>
      <c r="C880" s="4" t="s">
        <v>1507</v>
      </c>
    </row>
    <row r="881" ht="15.75" customHeight="1">
      <c r="B881" s="4" t="s">
        <v>1514</v>
      </c>
      <c r="C881" s="4" t="s">
        <v>1512</v>
      </c>
    </row>
    <row r="882" ht="15.75" customHeight="1">
      <c r="B882" s="4" t="s">
        <v>1514</v>
      </c>
      <c r="C882" s="4" t="s">
        <v>1512</v>
      </c>
    </row>
    <row r="883" ht="15.75" customHeight="1">
      <c r="B883" s="4" t="s">
        <v>1514</v>
      </c>
      <c r="C883" s="4" t="s">
        <v>1512</v>
      </c>
    </row>
    <row r="884" ht="15.75" customHeight="1">
      <c r="B884" s="4" t="s">
        <v>1519</v>
      </c>
      <c r="C884" s="4" t="s">
        <v>1517</v>
      </c>
    </row>
    <row r="885" ht="15.75" customHeight="1">
      <c r="B885" s="4" t="s">
        <v>1519</v>
      </c>
      <c r="C885" s="4" t="s">
        <v>1517</v>
      </c>
    </row>
    <row r="886" ht="15.75" customHeight="1">
      <c r="B886" s="4" t="s">
        <v>1519</v>
      </c>
      <c r="C886" s="4" t="s">
        <v>1517</v>
      </c>
    </row>
    <row r="887" ht="15.75" customHeight="1">
      <c r="B887" s="4" t="s">
        <v>1524</v>
      </c>
      <c r="C887" s="4" t="s">
        <v>1522</v>
      </c>
    </row>
    <row r="888" ht="15.75" customHeight="1">
      <c r="B888" s="4" t="s">
        <v>1524</v>
      </c>
      <c r="C888" s="4" t="s">
        <v>1522</v>
      </c>
    </row>
    <row r="889" ht="15.75" customHeight="1">
      <c r="B889" s="4" t="s">
        <v>1524</v>
      </c>
      <c r="C889" s="4" t="s">
        <v>1522</v>
      </c>
    </row>
    <row r="890" ht="15.75" customHeight="1">
      <c r="B890" s="4" t="s">
        <v>1529</v>
      </c>
      <c r="C890" s="4" t="s">
        <v>1527</v>
      </c>
    </row>
    <row r="891" ht="15.75" customHeight="1">
      <c r="B891" s="4" t="s">
        <v>1529</v>
      </c>
      <c r="C891" s="4" t="s">
        <v>1527</v>
      </c>
    </row>
    <row r="892" ht="15.75" customHeight="1">
      <c r="B892" s="4" t="s">
        <v>1529</v>
      </c>
      <c r="C892" s="4" t="s">
        <v>1527</v>
      </c>
    </row>
    <row r="893" ht="15.75" customHeight="1">
      <c r="B893" s="4" t="s">
        <v>1534</v>
      </c>
      <c r="C893" s="4" t="s">
        <v>1532</v>
      </c>
    </row>
    <row r="894" ht="15.75" customHeight="1">
      <c r="B894" s="4" t="s">
        <v>1534</v>
      </c>
      <c r="C894" s="4" t="s">
        <v>1532</v>
      </c>
    </row>
    <row r="895" ht="15.75" customHeight="1">
      <c r="B895" s="4" t="s">
        <v>1534</v>
      </c>
      <c r="C895" s="4" t="s">
        <v>1532</v>
      </c>
    </row>
    <row r="896" ht="15.75" customHeight="1">
      <c r="B896" s="4" t="s">
        <v>1539</v>
      </c>
      <c r="C896" s="4" t="s">
        <v>1537</v>
      </c>
    </row>
    <row r="897" ht="15.75" customHeight="1">
      <c r="B897" s="4" t="s">
        <v>1539</v>
      </c>
      <c r="C897" s="4" t="s">
        <v>1537</v>
      </c>
    </row>
    <row r="898" ht="15.75" customHeight="1">
      <c r="B898" s="4" t="s">
        <v>1539</v>
      </c>
      <c r="C898" s="4" t="s">
        <v>1537</v>
      </c>
    </row>
    <row r="899" ht="15.75" customHeight="1">
      <c r="B899" s="4" t="s">
        <v>1544</v>
      </c>
      <c r="C899" s="4" t="s">
        <v>1542</v>
      </c>
    </row>
    <row r="900" ht="15.75" customHeight="1">
      <c r="B900" s="4" t="s">
        <v>1544</v>
      </c>
      <c r="C900" s="4" t="s">
        <v>1542</v>
      </c>
    </row>
    <row r="901" ht="15.75" customHeight="1">
      <c r="B901" s="4" t="s">
        <v>1544</v>
      </c>
      <c r="C901" s="4" t="s">
        <v>1542</v>
      </c>
    </row>
    <row r="902" ht="15.75" customHeight="1">
      <c r="B902" s="4" t="s">
        <v>1549</v>
      </c>
      <c r="C902" s="4" t="s">
        <v>1547</v>
      </c>
    </row>
    <row r="903" ht="15.75" customHeight="1">
      <c r="B903" s="4" t="s">
        <v>1549</v>
      </c>
      <c r="C903" s="4" t="s">
        <v>1547</v>
      </c>
    </row>
    <row r="904" ht="15.75" customHeight="1">
      <c r="B904" s="4" t="s">
        <v>1549</v>
      </c>
      <c r="C904" s="4" t="s">
        <v>1547</v>
      </c>
    </row>
    <row r="905" ht="15.75" customHeight="1">
      <c r="B905" s="4" t="s">
        <v>1555</v>
      </c>
      <c r="C905" s="4" t="s">
        <v>1552</v>
      </c>
    </row>
    <row r="906" ht="15.75" customHeight="1">
      <c r="B906" s="4" t="s">
        <v>1555</v>
      </c>
      <c r="C906" s="4" t="s">
        <v>1552</v>
      </c>
    </row>
    <row r="907" ht="15.75" customHeight="1">
      <c r="B907" s="4" t="s">
        <v>1555</v>
      </c>
      <c r="C907" s="4" t="s">
        <v>1552</v>
      </c>
    </row>
    <row r="908" ht="15.75" customHeight="1">
      <c r="B908" s="4" t="s">
        <v>1560</v>
      </c>
      <c r="C908" s="4" t="s">
        <v>1558</v>
      </c>
    </row>
    <row r="909" ht="15.75" customHeight="1">
      <c r="B909" s="4" t="s">
        <v>1560</v>
      </c>
      <c r="C909" s="4" t="s">
        <v>1558</v>
      </c>
    </row>
    <row r="910" ht="15.75" customHeight="1">
      <c r="B910" s="4" t="s">
        <v>1560</v>
      </c>
      <c r="C910" s="4" t="s">
        <v>1558</v>
      </c>
    </row>
    <row r="911" ht="15.75" customHeight="1">
      <c r="B911" s="4" t="s">
        <v>1565</v>
      </c>
      <c r="C911" s="4" t="s">
        <v>1563</v>
      </c>
    </row>
    <row r="912" ht="15.75" customHeight="1">
      <c r="B912" s="4" t="s">
        <v>1565</v>
      </c>
      <c r="C912" s="4" t="s">
        <v>1563</v>
      </c>
    </row>
    <row r="913" ht="15.75" customHeight="1">
      <c r="B913" s="4" t="s">
        <v>1565</v>
      </c>
      <c r="C913" s="4" t="s">
        <v>1563</v>
      </c>
    </row>
    <row r="914" ht="15.75" customHeight="1">
      <c r="B914" s="4" t="s">
        <v>1571</v>
      </c>
      <c r="C914" s="4" t="s">
        <v>1568</v>
      </c>
    </row>
    <row r="915" ht="15.75" customHeight="1">
      <c r="B915" s="4" t="s">
        <v>1571</v>
      </c>
      <c r="C915" s="4" t="s">
        <v>1568</v>
      </c>
    </row>
    <row r="916" ht="15.75" customHeight="1">
      <c r="B916" s="4" t="s">
        <v>1571</v>
      </c>
      <c r="C916" s="4" t="s">
        <v>1568</v>
      </c>
    </row>
    <row r="917" ht="15.75" customHeight="1">
      <c r="B917" s="4" t="s">
        <v>1576</v>
      </c>
      <c r="C917" s="4" t="s">
        <v>1574</v>
      </c>
    </row>
    <row r="918" ht="15.75" customHeight="1">
      <c r="B918" s="4" t="s">
        <v>1576</v>
      </c>
      <c r="C918" s="4" t="s">
        <v>1574</v>
      </c>
    </row>
    <row r="919" ht="15.75" customHeight="1">
      <c r="B919" s="4" t="s">
        <v>1576</v>
      </c>
      <c r="C919" s="4" t="s">
        <v>1574</v>
      </c>
    </row>
    <row r="920" ht="15.75" customHeight="1">
      <c r="B920" s="4" t="s">
        <v>1581</v>
      </c>
      <c r="C920" s="4" t="s">
        <v>1579</v>
      </c>
    </row>
    <row r="921" ht="15.75" customHeight="1">
      <c r="B921" s="4" t="s">
        <v>1581</v>
      </c>
      <c r="C921" s="4" t="s">
        <v>1579</v>
      </c>
    </row>
    <row r="922" ht="15.75" customHeight="1">
      <c r="B922" s="4" t="s">
        <v>1581</v>
      </c>
      <c r="C922" s="4" t="s">
        <v>1579</v>
      </c>
    </row>
    <row r="923" ht="15.75" customHeight="1">
      <c r="B923" s="4" t="s">
        <v>1586</v>
      </c>
      <c r="C923" s="4" t="s">
        <v>1584</v>
      </c>
    </row>
    <row r="924" ht="15.75" customHeight="1">
      <c r="B924" s="4" t="s">
        <v>1586</v>
      </c>
      <c r="C924" s="4" t="s">
        <v>1584</v>
      </c>
    </row>
    <row r="925" ht="15.75" customHeight="1">
      <c r="B925" s="4" t="s">
        <v>1586</v>
      </c>
      <c r="C925" s="4" t="s">
        <v>1584</v>
      </c>
    </row>
    <row r="926" ht="15.75" customHeight="1">
      <c r="B926" s="4" t="s">
        <v>1591</v>
      </c>
      <c r="C926" s="4" t="s">
        <v>1589</v>
      </c>
    </row>
    <row r="927" ht="15.75" customHeight="1">
      <c r="B927" s="4" t="s">
        <v>1591</v>
      </c>
      <c r="C927" s="4" t="s">
        <v>1589</v>
      </c>
    </row>
    <row r="928" ht="15.75" customHeight="1">
      <c r="B928" s="4" t="s">
        <v>1591</v>
      </c>
      <c r="C928" s="4" t="s">
        <v>1589</v>
      </c>
    </row>
    <row r="929" ht="15.75" customHeight="1">
      <c r="B929" s="4" t="s">
        <v>1596</v>
      </c>
      <c r="C929" s="4" t="s">
        <v>1594</v>
      </c>
    </row>
    <row r="930" ht="15.75" customHeight="1">
      <c r="B930" s="4" t="s">
        <v>1596</v>
      </c>
      <c r="C930" s="4" t="s">
        <v>1594</v>
      </c>
    </row>
    <row r="931" ht="15.75" customHeight="1">
      <c r="B931" s="4" t="s">
        <v>1596</v>
      </c>
      <c r="C931" s="4" t="s">
        <v>1594</v>
      </c>
    </row>
    <row r="932" ht="15.75" customHeight="1">
      <c r="B932" s="4" t="s">
        <v>1602</v>
      </c>
      <c r="C932" s="4" t="s">
        <v>1599</v>
      </c>
    </row>
    <row r="933" ht="15.75" customHeight="1">
      <c r="B933" s="4" t="s">
        <v>1602</v>
      </c>
      <c r="C933" s="4" t="s">
        <v>1599</v>
      </c>
    </row>
    <row r="934" ht="15.75" customHeight="1">
      <c r="B934" s="4" t="s">
        <v>1602</v>
      </c>
      <c r="C934" s="4" t="s">
        <v>1599</v>
      </c>
    </row>
    <row r="935" ht="15.75" customHeight="1">
      <c r="B935" s="4" t="s">
        <v>1607</v>
      </c>
      <c r="C935" s="4" t="s">
        <v>1605</v>
      </c>
    </row>
    <row r="936" ht="15.75" customHeight="1">
      <c r="B936" s="4" t="s">
        <v>1607</v>
      </c>
      <c r="C936" s="4" t="s">
        <v>1605</v>
      </c>
    </row>
    <row r="937" ht="15.75" customHeight="1">
      <c r="B937" s="4" t="s">
        <v>1607</v>
      </c>
      <c r="C937" s="4" t="s">
        <v>1605</v>
      </c>
    </row>
    <row r="938" ht="15.75" customHeight="1">
      <c r="B938" s="4" t="s">
        <v>1612</v>
      </c>
      <c r="C938" s="4" t="s">
        <v>1610</v>
      </c>
    </row>
    <row r="939" ht="15.75" customHeight="1">
      <c r="B939" s="4" t="s">
        <v>1612</v>
      </c>
      <c r="C939" s="4" t="s">
        <v>1610</v>
      </c>
    </row>
    <row r="940" ht="15.75" customHeight="1">
      <c r="B940" s="4" t="s">
        <v>1612</v>
      </c>
      <c r="C940" s="4" t="s">
        <v>1610</v>
      </c>
    </row>
    <row r="941" ht="15.75" customHeight="1">
      <c r="B941" s="4" t="s">
        <v>1617</v>
      </c>
      <c r="C941" s="4" t="s">
        <v>1615</v>
      </c>
    </row>
    <row r="942" ht="15.75" customHeight="1">
      <c r="B942" s="4" t="s">
        <v>1617</v>
      </c>
      <c r="C942" s="4" t="s">
        <v>1615</v>
      </c>
    </row>
    <row r="943" ht="15.75" customHeight="1">
      <c r="B943" s="4" t="s">
        <v>1617</v>
      </c>
      <c r="C943" s="4" t="s">
        <v>1615</v>
      </c>
    </row>
    <row r="944" ht="15.75" customHeight="1">
      <c r="B944" s="4" t="s">
        <v>1622</v>
      </c>
      <c r="C944" s="4" t="s">
        <v>1620</v>
      </c>
    </row>
    <row r="945" ht="15.75" customHeight="1">
      <c r="B945" s="4" t="s">
        <v>1622</v>
      </c>
      <c r="C945" s="4" t="s">
        <v>1620</v>
      </c>
    </row>
    <row r="946" ht="15.75" customHeight="1">
      <c r="B946" s="4" t="s">
        <v>1622</v>
      </c>
      <c r="C946" s="4" t="s">
        <v>1620</v>
      </c>
    </row>
    <row r="947" ht="15.75" customHeight="1">
      <c r="B947" s="4" t="s">
        <v>1627</v>
      </c>
      <c r="C947" s="4" t="s">
        <v>1625</v>
      </c>
    </row>
    <row r="948" ht="15.75" customHeight="1">
      <c r="B948" s="4" t="s">
        <v>1627</v>
      </c>
      <c r="C948" s="4" t="s">
        <v>1625</v>
      </c>
    </row>
    <row r="949" ht="15.75" customHeight="1">
      <c r="B949" s="4" t="s">
        <v>1627</v>
      </c>
      <c r="C949" s="4" t="s">
        <v>1625</v>
      </c>
    </row>
    <row r="950" ht="15.75" customHeight="1">
      <c r="B950" s="4" t="s">
        <v>1632</v>
      </c>
      <c r="C950" s="4" t="s">
        <v>1630</v>
      </c>
    </row>
    <row r="951" ht="15.75" customHeight="1">
      <c r="B951" s="4" t="s">
        <v>1632</v>
      </c>
      <c r="C951" s="4" t="s">
        <v>1630</v>
      </c>
    </row>
    <row r="952" ht="15.75" customHeight="1">
      <c r="B952" s="4" t="s">
        <v>1632</v>
      </c>
      <c r="C952" s="4" t="s">
        <v>1630</v>
      </c>
    </row>
    <row r="953" ht="15.75" customHeight="1">
      <c r="B953" s="4" t="s">
        <v>1637</v>
      </c>
      <c r="C953" s="4" t="s">
        <v>1635</v>
      </c>
    </row>
    <row r="954" ht="15.75" customHeight="1">
      <c r="B954" s="4" t="s">
        <v>1637</v>
      </c>
      <c r="C954" s="4" t="s">
        <v>1635</v>
      </c>
    </row>
    <row r="955" ht="15.75" customHeight="1">
      <c r="B955" s="4" t="s">
        <v>1637</v>
      </c>
      <c r="C955" s="4" t="s">
        <v>1635</v>
      </c>
    </row>
    <row r="956" ht="15.75" customHeight="1">
      <c r="B956" s="4" t="s">
        <v>1642</v>
      </c>
      <c r="C956" s="4" t="s">
        <v>1640</v>
      </c>
    </row>
    <row r="957" ht="15.75" customHeight="1">
      <c r="B957" s="4" t="s">
        <v>1642</v>
      </c>
      <c r="C957" s="4" t="s">
        <v>1640</v>
      </c>
    </row>
    <row r="958" ht="15.75" customHeight="1">
      <c r="B958" s="4" t="s">
        <v>1642</v>
      </c>
      <c r="C958" s="4" t="s">
        <v>1640</v>
      </c>
    </row>
    <row r="959" ht="15.75" customHeight="1">
      <c r="B959" s="4" t="s">
        <v>1647</v>
      </c>
      <c r="C959" s="4" t="s">
        <v>1645</v>
      </c>
    </row>
    <row r="960" ht="15.75" customHeight="1">
      <c r="B960" s="4" t="s">
        <v>1647</v>
      </c>
      <c r="C960" s="4" t="s">
        <v>1645</v>
      </c>
    </row>
    <row r="961" ht="15.75" customHeight="1">
      <c r="B961" s="4" t="s">
        <v>1647</v>
      </c>
      <c r="C961" s="4" t="s">
        <v>1645</v>
      </c>
    </row>
    <row r="962" ht="15.75" customHeight="1">
      <c r="B962" s="4" t="s">
        <v>1652</v>
      </c>
      <c r="C962" s="4" t="s">
        <v>1650</v>
      </c>
    </row>
    <row r="963" ht="15.75" customHeight="1">
      <c r="B963" s="4" t="s">
        <v>1652</v>
      </c>
      <c r="C963" s="4" t="s">
        <v>1650</v>
      </c>
    </row>
    <row r="964" ht="15.75" customHeight="1">
      <c r="B964" s="4" t="s">
        <v>1652</v>
      </c>
      <c r="C964" s="4" t="s">
        <v>1650</v>
      </c>
    </row>
    <row r="965" ht="15.75" customHeight="1">
      <c r="B965" s="4" t="s">
        <v>1657</v>
      </c>
      <c r="C965" s="4" t="s">
        <v>1655</v>
      </c>
    </row>
    <row r="966" ht="15.75" customHeight="1">
      <c r="B966" s="4" t="s">
        <v>1657</v>
      </c>
      <c r="C966" s="4" t="s">
        <v>1655</v>
      </c>
    </row>
    <row r="967" ht="15.75" customHeight="1">
      <c r="B967" s="4" t="s">
        <v>1657</v>
      </c>
      <c r="C967" s="4" t="s">
        <v>1655</v>
      </c>
    </row>
    <row r="968" ht="15.75" customHeight="1">
      <c r="B968" s="4" t="s">
        <v>1662</v>
      </c>
      <c r="C968" s="4" t="s">
        <v>1660</v>
      </c>
    </row>
    <row r="969" ht="15.75" customHeight="1">
      <c r="B969" s="4" t="s">
        <v>1662</v>
      </c>
      <c r="C969" s="4" t="s">
        <v>1660</v>
      </c>
    </row>
    <row r="970" ht="15.75" customHeight="1">
      <c r="B970" s="4" t="s">
        <v>1662</v>
      </c>
      <c r="C970" s="4" t="s">
        <v>1660</v>
      </c>
    </row>
    <row r="971" ht="15.75" customHeight="1">
      <c r="B971" s="4" t="s">
        <v>1667</v>
      </c>
      <c r="C971" s="4" t="s">
        <v>1665</v>
      </c>
    </row>
    <row r="972" ht="15.75" customHeight="1">
      <c r="B972" s="4" t="s">
        <v>1667</v>
      </c>
      <c r="C972" s="4" t="s">
        <v>1665</v>
      </c>
    </row>
    <row r="973" ht="15.75" customHeight="1">
      <c r="B973" s="4" t="s">
        <v>1667</v>
      </c>
      <c r="C973" s="4" t="s">
        <v>1665</v>
      </c>
    </row>
    <row r="974" ht="15.75" customHeight="1">
      <c r="B974" s="4" t="s">
        <v>1672</v>
      </c>
      <c r="C974" s="4" t="s">
        <v>1670</v>
      </c>
    </row>
    <row r="975" ht="15.75" customHeight="1">
      <c r="B975" s="4" t="s">
        <v>1672</v>
      </c>
      <c r="C975" s="4" t="s">
        <v>1670</v>
      </c>
    </row>
    <row r="976" ht="15.75" customHeight="1">
      <c r="B976" s="4" t="s">
        <v>1672</v>
      </c>
      <c r="C976" s="4" t="s">
        <v>1670</v>
      </c>
    </row>
    <row r="977" ht="15.75" customHeight="1">
      <c r="B977" s="4" t="s">
        <v>1676</v>
      </c>
      <c r="C977" s="4" t="s">
        <v>1675</v>
      </c>
    </row>
    <row r="978" ht="15.75" customHeight="1">
      <c r="B978" s="4" t="s">
        <v>1676</v>
      </c>
      <c r="C978" s="4" t="s">
        <v>1675</v>
      </c>
    </row>
    <row r="979" ht="15.75" customHeight="1">
      <c r="B979" s="4" t="s">
        <v>1676</v>
      </c>
      <c r="C979" s="4" t="s">
        <v>1675</v>
      </c>
    </row>
    <row r="980" ht="15.75" customHeight="1">
      <c r="B980" s="4" t="s">
        <v>1681</v>
      </c>
      <c r="C980" s="4" t="s">
        <v>1679</v>
      </c>
    </row>
    <row r="981" ht="15.75" customHeight="1">
      <c r="B981" s="4" t="s">
        <v>1681</v>
      </c>
      <c r="C981" s="4" t="s">
        <v>1679</v>
      </c>
    </row>
    <row r="982" ht="15.75" customHeight="1">
      <c r="B982" s="4" t="s">
        <v>1681</v>
      </c>
      <c r="C982" s="4" t="s">
        <v>1679</v>
      </c>
    </row>
    <row r="983" ht="15.75" customHeight="1">
      <c r="B983" s="4" t="s">
        <v>1686</v>
      </c>
      <c r="C983" s="4" t="s">
        <v>1684</v>
      </c>
    </row>
    <row r="984" ht="15.75" customHeight="1">
      <c r="B984" s="4" t="s">
        <v>1686</v>
      </c>
      <c r="C984" s="4" t="s">
        <v>1684</v>
      </c>
    </row>
    <row r="985" ht="15.75" customHeight="1">
      <c r="B985" s="4" t="s">
        <v>1686</v>
      </c>
      <c r="C985" s="4" t="s">
        <v>1684</v>
      </c>
    </row>
    <row r="986" ht="15.75" customHeight="1">
      <c r="B986" s="4" t="s">
        <v>1692</v>
      </c>
      <c r="C986" s="4" t="s">
        <v>1689</v>
      </c>
    </row>
    <row r="987" ht="15.75" customHeight="1">
      <c r="B987" s="4" t="s">
        <v>1692</v>
      </c>
      <c r="C987" s="4" t="s">
        <v>1689</v>
      </c>
    </row>
    <row r="988" ht="15.75" customHeight="1">
      <c r="B988" s="4" t="s">
        <v>1692</v>
      </c>
      <c r="C988" s="4" t="s">
        <v>1689</v>
      </c>
    </row>
    <row r="989" ht="15.75" customHeight="1">
      <c r="B989" s="4" t="s">
        <v>1697</v>
      </c>
      <c r="C989" s="4" t="s">
        <v>1695</v>
      </c>
    </row>
    <row r="990" ht="15.75" customHeight="1">
      <c r="B990" s="4" t="s">
        <v>1697</v>
      </c>
      <c r="C990" s="4" t="s">
        <v>1695</v>
      </c>
    </row>
    <row r="991" ht="15.75" customHeight="1">
      <c r="B991" s="4" t="s">
        <v>1697</v>
      </c>
      <c r="C991" s="4" t="s">
        <v>1695</v>
      </c>
    </row>
    <row r="992" ht="15.75" customHeight="1">
      <c r="B992" s="4" t="s">
        <v>1702</v>
      </c>
      <c r="C992" s="4" t="s">
        <v>1700</v>
      </c>
    </row>
    <row r="993" ht="15.75" customHeight="1">
      <c r="B993" s="4" t="s">
        <v>1702</v>
      </c>
      <c r="C993" s="4" t="s">
        <v>1700</v>
      </c>
    </row>
    <row r="994" ht="15.75" customHeight="1">
      <c r="B994" s="4" t="s">
        <v>1702</v>
      </c>
      <c r="C994" s="4" t="s">
        <v>1700</v>
      </c>
    </row>
    <row r="995" ht="15.75" customHeight="1">
      <c r="B995" s="4" t="s">
        <v>1707</v>
      </c>
      <c r="C995" s="4" t="s">
        <v>1705</v>
      </c>
    </row>
    <row r="996" ht="15.75" customHeight="1">
      <c r="B996" s="4" t="s">
        <v>1707</v>
      </c>
      <c r="C996" s="4" t="s">
        <v>1705</v>
      </c>
    </row>
    <row r="997" ht="15.75" customHeight="1">
      <c r="B997" s="4" t="s">
        <v>1707</v>
      </c>
      <c r="C997" s="4" t="s">
        <v>1705</v>
      </c>
    </row>
    <row r="998" ht="15.75" customHeight="1">
      <c r="B998" s="4" t="s">
        <v>1712</v>
      </c>
      <c r="C998" s="4" t="s">
        <v>1710</v>
      </c>
    </row>
    <row r="999" ht="15.75" customHeight="1">
      <c r="B999" s="4" t="s">
        <v>1712</v>
      </c>
      <c r="C999" s="4" t="s">
        <v>1710</v>
      </c>
    </row>
    <row r="1000" ht="15.75" customHeight="1">
      <c r="B1000" s="4" t="s">
        <v>1712</v>
      </c>
      <c r="C1000" s="4" t="s">
        <v>1710</v>
      </c>
    </row>
    <row r="1001" ht="15.75" customHeight="1">
      <c r="B1001" s="4" t="s">
        <v>1717</v>
      </c>
      <c r="C1001" s="4" t="s">
        <v>1715</v>
      </c>
    </row>
    <row r="1002" ht="15.75" customHeight="1">
      <c r="B1002" s="4" t="s">
        <v>1717</v>
      </c>
      <c r="C1002" s="4" t="s">
        <v>1715</v>
      </c>
    </row>
    <row r="1003" ht="15.75" customHeight="1">
      <c r="B1003" s="4" t="s">
        <v>1717</v>
      </c>
      <c r="C1003" s="4" t="s">
        <v>1715</v>
      </c>
    </row>
    <row r="1004" ht="15.75" customHeight="1">
      <c r="B1004" s="4" t="s">
        <v>1722</v>
      </c>
      <c r="C1004" s="4" t="s">
        <v>1720</v>
      </c>
    </row>
    <row r="1005" ht="15.75" customHeight="1">
      <c r="B1005" s="4" t="s">
        <v>1722</v>
      </c>
      <c r="C1005" s="4" t="s">
        <v>1720</v>
      </c>
    </row>
    <row r="1006" ht="15.75" customHeight="1">
      <c r="B1006" s="4" t="s">
        <v>1722</v>
      </c>
      <c r="C1006" s="4" t="s">
        <v>1720</v>
      </c>
    </row>
    <row r="1007" ht="15.75" customHeight="1">
      <c r="B1007" s="4" t="s">
        <v>1727</v>
      </c>
      <c r="C1007" s="4" t="s">
        <v>1725</v>
      </c>
    </row>
    <row r="1008" ht="15.75" customHeight="1">
      <c r="B1008" s="4" t="s">
        <v>1727</v>
      </c>
      <c r="C1008" s="4" t="s">
        <v>1725</v>
      </c>
    </row>
    <row r="1009" ht="15.75" customHeight="1">
      <c r="B1009" s="4" t="s">
        <v>1727</v>
      </c>
      <c r="C1009" s="4" t="s">
        <v>1725</v>
      </c>
    </row>
    <row r="1010" ht="15.75" customHeight="1">
      <c r="B1010" s="4" t="s">
        <v>1732</v>
      </c>
      <c r="C1010" s="4" t="s">
        <v>1730</v>
      </c>
    </row>
    <row r="1011" ht="15.75" customHeight="1">
      <c r="B1011" s="4" t="s">
        <v>1732</v>
      </c>
      <c r="C1011" s="4" t="s">
        <v>1730</v>
      </c>
    </row>
    <row r="1012" ht="15.75" customHeight="1">
      <c r="B1012" s="4" t="s">
        <v>1732</v>
      </c>
      <c r="C1012" s="4" t="s">
        <v>1730</v>
      </c>
    </row>
    <row r="1013" ht="15.75" customHeight="1">
      <c r="B1013" s="4" t="s">
        <v>1737</v>
      </c>
      <c r="C1013" s="4" t="s">
        <v>1735</v>
      </c>
    </row>
    <row r="1014" ht="15.75" customHeight="1">
      <c r="B1014" s="4" t="s">
        <v>1737</v>
      </c>
      <c r="C1014" s="4" t="s">
        <v>1735</v>
      </c>
    </row>
    <row r="1015" ht="15.75" customHeight="1">
      <c r="B1015" s="4" t="s">
        <v>1737</v>
      </c>
      <c r="C1015" s="4" t="s">
        <v>1735</v>
      </c>
    </row>
    <row r="1016" ht="15.75" customHeight="1">
      <c r="B1016" s="4" t="s">
        <v>1742</v>
      </c>
      <c r="C1016" s="4" t="s">
        <v>1740</v>
      </c>
    </row>
    <row r="1017" ht="15.75" customHeight="1">
      <c r="B1017" s="4" t="s">
        <v>1742</v>
      </c>
      <c r="C1017" s="4" t="s">
        <v>1740</v>
      </c>
    </row>
    <row r="1018" ht="15.75" customHeight="1">
      <c r="B1018" s="4" t="s">
        <v>1742</v>
      </c>
      <c r="C1018" s="4" t="s">
        <v>1740</v>
      </c>
    </row>
    <row r="1019" ht="15.75" customHeight="1">
      <c r="B1019" s="4" t="s">
        <v>1747</v>
      </c>
      <c r="C1019" s="4" t="s">
        <v>1745</v>
      </c>
    </row>
    <row r="1020" ht="15.75" customHeight="1">
      <c r="B1020" s="4" t="s">
        <v>1747</v>
      </c>
      <c r="C1020" s="4" t="s">
        <v>1745</v>
      </c>
    </row>
    <row r="1021" ht="15.75" customHeight="1">
      <c r="B1021" s="4" t="s">
        <v>1747</v>
      </c>
      <c r="C1021" s="4" t="s">
        <v>1745</v>
      </c>
    </row>
    <row r="1022" ht="15.75" customHeight="1">
      <c r="B1022" s="4" t="s">
        <v>1752</v>
      </c>
      <c r="C1022" s="4" t="s">
        <v>1750</v>
      </c>
    </row>
    <row r="1023" ht="15.75" customHeight="1">
      <c r="B1023" s="4" t="s">
        <v>1752</v>
      </c>
      <c r="C1023" s="4" t="s">
        <v>1750</v>
      </c>
    </row>
    <row r="1024" ht="15.75" customHeight="1">
      <c r="B1024" s="4" t="s">
        <v>1752</v>
      </c>
      <c r="C1024" s="4" t="s">
        <v>1750</v>
      </c>
    </row>
    <row r="1025" ht="15.75" customHeight="1">
      <c r="B1025" s="4" t="s">
        <v>1757</v>
      </c>
      <c r="C1025" s="4" t="s">
        <v>1755</v>
      </c>
    </row>
    <row r="1026" ht="15.75" customHeight="1">
      <c r="B1026" s="4" t="s">
        <v>1757</v>
      </c>
      <c r="C1026" s="4" t="s">
        <v>1755</v>
      </c>
    </row>
    <row r="1027" ht="15.75" customHeight="1">
      <c r="B1027" s="4" t="s">
        <v>1757</v>
      </c>
      <c r="C1027" s="4" t="s">
        <v>1755</v>
      </c>
    </row>
    <row r="1028" ht="15.75" customHeight="1">
      <c r="B1028" s="4" t="s">
        <v>1762</v>
      </c>
      <c r="C1028" s="4" t="s">
        <v>1760</v>
      </c>
    </row>
    <row r="1029" ht="15.75" customHeight="1">
      <c r="B1029" s="4" t="s">
        <v>1762</v>
      </c>
      <c r="C1029" s="4" t="s">
        <v>1760</v>
      </c>
    </row>
    <row r="1030" ht="15.75" customHeight="1">
      <c r="B1030" s="4" t="s">
        <v>1762</v>
      </c>
      <c r="C1030" s="4" t="s">
        <v>1760</v>
      </c>
    </row>
    <row r="1031" ht="15.75" customHeight="1">
      <c r="B1031" s="4" t="s">
        <v>1767</v>
      </c>
      <c r="C1031" s="4" t="s">
        <v>1765</v>
      </c>
    </row>
    <row r="1032" ht="15.75" customHeight="1">
      <c r="B1032" s="4" t="s">
        <v>1767</v>
      </c>
      <c r="C1032" s="4" t="s">
        <v>1765</v>
      </c>
    </row>
    <row r="1033" ht="15.75" customHeight="1">
      <c r="B1033" s="4" t="s">
        <v>1767</v>
      </c>
      <c r="C1033" s="4" t="s">
        <v>1765</v>
      </c>
    </row>
    <row r="1034" ht="15.75" customHeight="1">
      <c r="B1034" s="4" t="s">
        <v>1772</v>
      </c>
      <c r="C1034" s="4" t="s">
        <v>1770</v>
      </c>
    </row>
    <row r="1035" ht="15.75" customHeight="1">
      <c r="B1035" s="4" t="s">
        <v>1772</v>
      </c>
      <c r="C1035" s="4" t="s">
        <v>1770</v>
      </c>
    </row>
    <row r="1036" ht="15.75" customHeight="1">
      <c r="B1036" s="4" t="s">
        <v>1772</v>
      </c>
      <c r="C1036" s="4" t="s">
        <v>1770</v>
      </c>
    </row>
    <row r="1037" ht="15.75" customHeight="1">
      <c r="B1037" s="4" t="s">
        <v>1777</v>
      </c>
      <c r="C1037" s="4" t="s">
        <v>1775</v>
      </c>
    </row>
    <row r="1038" ht="15.75" customHeight="1">
      <c r="B1038" s="4" t="s">
        <v>1777</v>
      </c>
      <c r="C1038" s="4" t="s">
        <v>1775</v>
      </c>
    </row>
    <row r="1039" ht="15.75" customHeight="1">
      <c r="B1039" s="4" t="s">
        <v>1777</v>
      </c>
      <c r="C1039" s="4" t="s">
        <v>1775</v>
      </c>
    </row>
    <row r="1040" ht="15.75" customHeight="1">
      <c r="B1040" s="4" t="s">
        <v>1782</v>
      </c>
      <c r="C1040" s="4" t="s">
        <v>1780</v>
      </c>
    </row>
    <row r="1041" ht="15.75" customHeight="1">
      <c r="B1041" s="4" t="s">
        <v>1782</v>
      </c>
      <c r="C1041" s="4" t="s">
        <v>1780</v>
      </c>
    </row>
    <row r="1042" ht="15.75" customHeight="1">
      <c r="B1042" s="4" t="s">
        <v>1782</v>
      </c>
      <c r="C1042" s="4" t="s">
        <v>1780</v>
      </c>
    </row>
    <row r="1043" ht="15.75" customHeight="1">
      <c r="B1043" s="4" t="s">
        <v>1787</v>
      </c>
      <c r="C1043" s="4" t="s">
        <v>1785</v>
      </c>
    </row>
    <row r="1044" ht="15.75" customHeight="1">
      <c r="B1044" s="4" t="s">
        <v>1787</v>
      </c>
      <c r="C1044" s="4" t="s">
        <v>1785</v>
      </c>
    </row>
    <row r="1045" ht="15.75" customHeight="1">
      <c r="B1045" s="4" t="s">
        <v>1787</v>
      </c>
      <c r="C1045" s="4" t="s">
        <v>1785</v>
      </c>
    </row>
    <row r="1046" ht="15.75" customHeight="1">
      <c r="B1046" s="4" t="s">
        <v>1792</v>
      </c>
      <c r="C1046" s="4" t="s">
        <v>1790</v>
      </c>
    </row>
    <row r="1047" ht="15.75" customHeight="1">
      <c r="B1047" s="4" t="s">
        <v>1792</v>
      </c>
      <c r="C1047" s="4" t="s">
        <v>1790</v>
      </c>
    </row>
    <row r="1048" ht="15.75" customHeight="1">
      <c r="B1048" s="4" t="s">
        <v>1792</v>
      </c>
      <c r="C1048" s="4" t="s">
        <v>1790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7.0"/>
    <col customWidth="1" min="3" max="26" width="8.63"/>
  </cols>
  <sheetData>
    <row r="1">
      <c r="A1" s="4" t="s">
        <v>1795</v>
      </c>
      <c r="B1" s="4" t="s">
        <v>1796</v>
      </c>
    </row>
    <row r="2">
      <c r="A2" s="4" t="s">
        <v>666</v>
      </c>
      <c r="B2" s="4">
        <f>COUNTIFS(dados!P:P,"&gt;0",dados!E:E,'Marcas Target'!A2)</f>
        <v>62</v>
      </c>
    </row>
    <row r="3">
      <c r="A3" s="4" t="s">
        <v>1797</v>
      </c>
      <c r="B3" s="4">
        <f>COUNTIFS(dados!P:P,"&gt;0",dados!E:E,'Marcas Target'!A3)</f>
        <v>35</v>
      </c>
    </row>
    <row r="4">
      <c r="A4" s="4" t="s">
        <v>1798</v>
      </c>
      <c r="B4" s="4">
        <f>COUNTIFS(dados!P:P,"&gt;0",dados!E:E,'Marcas Target'!A4)</f>
        <v>13</v>
      </c>
    </row>
    <row r="5">
      <c r="A5" s="4" t="s">
        <v>128</v>
      </c>
      <c r="B5" s="4">
        <f>COUNTIFS(dados!P:P,"&gt;0",dados!E:E,'Marcas Target'!A5)</f>
        <v>88</v>
      </c>
    </row>
    <row r="6">
      <c r="A6" s="4" t="s">
        <v>1799</v>
      </c>
      <c r="B6" s="4">
        <f>COUNTIFS(dados!P:P,"&gt;0",dados!E:E,'Marcas Target'!A6)</f>
        <v>51</v>
      </c>
    </row>
    <row r="7">
      <c r="A7" s="4" t="s">
        <v>1800</v>
      </c>
      <c r="B7" s="4">
        <f>COUNTIFS(dados!P:P,"&gt;0",dados!E:E,'Marcas Target'!A7)</f>
        <v>6</v>
      </c>
    </row>
    <row r="8">
      <c r="A8" s="4" t="s">
        <v>1801</v>
      </c>
      <c r="B8" s="4">
        <f>COUNTIFS(dados!P:P,"&gt;0",dados!E:E,'Marcas Target'!A8)</f>
        <v>3</v>
      </c>
    </row>
    <row r="9">
      <c r="A9" s="4" t="s">
        <v>1802</v>
      </c>
      <c r="B9" s="4">
        <f>COUNTIFS(dados!P:P,"&gt;0",dados!E:E,'Marcas Target'!A9)</f>
        <v>0</v>
      </c>
    </row>
    <row r="10">
      <c r="A10" s="4" t="s">
        <v>1803</v>
      </c>
      <c r="B10" s="4">
        <f>COUNTIFS(dados!P:P,"&gt;0",dados!E:E,'Marcas Target'!A10)</f>
        <v>3</v>
      </c>
    </row>
    <row r="11">
      <c r="A11" s="4" t="s">
        <v>1804</v>
      </c>
      <c r="B11" s="4">
        <f>COUNTIFS(dados!P:P,"&gt;0",dados!E:E,'Marcas Target'!A11)</f>
        <v>11</v>
      </c>
    </row>
    <row r="12">
      <c r="A12" s="4" t="s">
        <v>1805</v>
      </c>
      <c r="B12" s="4">
        <f>COUNTIFS(dados!P:P,"&gt;0",dados!E:E,'Marcas Target'!A12)</f>
        <v>0</v>
      </c>
    </row>
    <row r="13">
      <c r="A13" s="4" t="s">
        <v>1806</v>
      </c>
      <c r="B13" s="4">
        <f>COUNTIFS(dados!P:P,"&gt;0",dados!E:E,'Marcas Target'!A13)</f>
        <v>0</v>
      </c>
    </row>
    <row r="14">
      <c r="A14" s="4" t="s">
        <v>1807</v>
      </c>
      <c r="B14" s="4">
        <f>COUNTIFS(dados!P:P,"&gt;0",dados!E:E,'Marcas Target'!A14)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81.13"/>
    <col customWidth="1" min="3" max="3" width="14.0"/>
    <col customWidth="1" min="4" max="4" width="14.75"/>
    <col customWidth="1" min="5" max="5" width="16.38"/>
    <col customWidth="1" min="6" max="6" width="12.0"/>
    <col customWidth="1" min="7" max="7" width="16.0"/>
    <col customWidth="1" min="8" max="8" width="14.13"/>
    <col customWidth="1" min="9" max="9" width="10.0"/>
    <col customWidth="1" min="10" max="10" width="8.25"/>
    <col customWidth="1" min="11" max="11" width="8.38"/>
    <col customWidth="1" min="12" max="12" width="11.38"/>
    <col customWidth="1" min="13" max="13" width="14.88"/>
    <col customWidth="1" min="14" max="14" width="9.38"/>
    <col customWidth="1" min="15" max="15" width="7.75"/>
    <col customWidth="1" min="16" max="16" width="10.0"/>
    <col customWidth="1" min="17" max="17" width="10.13"/>
    <col customWidth="1" min="18" max="18" width="11.75"/>
    <col customWidth="1" min="19" max="19" width="17.75"/>
    <col customWidth="1" min="20" max="20" width="8.38"/>
    <col customWidth="1" min="21" max="21" width="14.63"/>
    <col customWidth="1" min="22" max="22" width="28.0"/>
    <col customWidth="1" min="23" max="23" width="12.25"/>
    <col customWidth="1" min="24" max="24" width="14.13"/>
    <col customWidth="1" min="25" max="37" width="81.13"/>
    <col customWidth="1" min="38" max="38" width="15.88"/>
  </cols>
  <sheetData>
    <row r="1">
      <c r="A1" s="1" t="s">
        <v>1808</v>
      </c>
      <c r="B1" s="1" t="s">
        <v>1809</v>
      </c>
      <c r="C1" s="1" t="s">
        <v>1810</v>
      </c>
      <c r="D1" s="1" t="s">
        <v>1811</v>
      </c>
      <c r="E1" s="1" t="s">
        <v>2</v>
      </c>
      <c r="F1" s="1" t="s">
        <v>1812</v>
      </c>
      <c r="G1" s="1" t="s">
        <v>1813</v>
      </c>
      <c r="H1" s="1" t="s">
        <v>1814</v>
      </c>
      <c r="I1" s="1" t="s">
        <v>1815</v>
      </c>
      <c r="J1" s="1" t="s">
        <v>1816</v>
      </c>
      <c r="K1" s="1" t="s">
        <v>1817</v>
      </c>
      <c r="L1" s="1" t="s">
        <v>1818</v>
      </c>
      <c r="M1" s="1" t="s">
        <v>1819</v>
      </c>
      <c r="N1" s="1" t="s">
        <v>1820</v>
      </c>
      <c r="O1" s="1" t="s">
        <v>1821</v>
      </c>
      <c r="P1" s="1" t="s">
        <v>1822</v>
      </c>
      <c r="Q1" s="1" t="s">
        <v>1823</v>
      </c>
      <c r="R1" s="1" t="s">
        <v>1824</v>
      </c>
      <c r="S1" s="1" t="s">
        <v>1825</v>
      </c>
      <c r="T1" s="1" t="s">
        <v>1826</v>
      </c>
      <c r="U1" s="1" t="s">
        <v>1827</v>
      </c>
      <c r="V1" s="1" t="s">
        <v>1828</v>
      </c>
      <c r="W1" s="1" t="s">
        <v>1829</v>
      </c>
      <c r="X1" s="1" t="s">
        <v>1830</v>
      </c>
      <c r="Y1" s="1" t="s">
        <v>1831</v>
      </c>
      <c r="Z1" s="1" t="s">
        <v>1832</v>
      </c>
      <c r="AA1" s="1" t="s">
        <v>1833</v>
      </c>
      <c r="AB1" s="1" t="s">
        <v>1834</v>
      </c>
      <c r="AC1" s="1" t="s">
        <v>1835</v>
      </c>
      <c r="AD1" s="1" t="s">
        <v>1836</v>
      </c>
      <c r="AE1" s="1" t="s">
        <v>1837</v>
      </c>
      <c r="AF1" s="1" t="s">
        <v>1838</v>
      </c>
      <c r="AG1" s="1" t="s">
        <v>1839</v>
      </c>
      <c r="AH1" s="1" t="s">
        <v>1840</v>
      </c>
      <c r="AI1" s="1" t="s">
        <v>1841</v>
      </c>
      <c r="AJ1" s="1" t="s">
        <v>1842</v>
      </c>
      <c r="AK1" s="1" t="s">
        <v>1843</v>
      </c>
      <c r="AL1" s="1" t="s">
        <v>1844</v>
      </c>
    </row>
    <row r="2" hidden="1">
      <c r="A2" s="5" t="s">
        <v>1845</v>
      </c>
      <c r="B2" s="5" t="s">
        <v>1846</v>
      </c>
      <c r="C2" s="5" t="s">
        <v>1847</v>
      </c>
      <c r="D2" s="5" t="s">
        <v>24</v>
      </c>
      <c r="E2" s="5" t="s">
        <v>1848</v>
      </c>
      <c r="F2" s="5" t="s">
        <v>1849</v>
      </c>
      <c r="G2" s="5" t="s">
        <v>24</v>
      </c>
      <c r="H2" s="5" t="s">
        <v>1850</v>
      </c>
      <c r="I2" s="5" t="s">
        <v>24</v>
      </c>
      <c r="J2" s="5" t="s">
        <v>24</v>
      </c>
      <c r="K2" s="5" t="s">
        <v>24</v>
      </c>
      <c r="L2" s="5" t="s">
        <v>24</v>
      </c>
      <c r="M2" s="5" t="s">
        <v>24</v>
      </c>
      <c r="N2" s="5" t="s">
        <v>24</v>
      </c>
      <c r="O2" s="5" t="s">
        <v>1851</v>
      </c>
      <c r="P2" s="5" t="s">
        <v>24</v>
      </c>
      <c r="Q2" s="5" t="s">
        <v>24</v>
      </c>
      <c r="R2" s="5" t="s">
        <v>24</v>
      </c>
      <c r="S2" s="5" t="s">
        <v>1852</v>
      </c>
      <c r="T2" s="5" t="s">
        <v>1853</v>
      </c>
      <c r="U2" s="5" t="s">
        <v>1853</v>
      </c>
      <c r="V2" s="5" t="s">
        <v>1854</v>
      </c>
      <c r="W2" s="5" t="s">
        <v>24</v>
      </c>
      <c r="X2" s="5" t="s">
        <v>24</v>
      </c>
      <c r="Y2" s="5" t="s">
        <v>1855</v>
      </c>
      <c r="Z2" s="5" t="s">
        <v>1856</v>
      </c>
      <c r="AA2" s="5" t="s">
        <v>1856</v>
      </c>
      <c r="AB2" s="5" t="s">
        <v>1856</v>
      </c>
      <c r="AC2" s="5" t="s">
        <v>24</v>
      </c>
      <c r="AD2" s="5" t="s">
        <v>24</v>
      </c>
      <c r="AE2" s="5" t="s">
        <v>24</v>
      </c>
      <c r="AF2" s="5" t="s">
        <v>24</v>
      </c>
      <c r="AG2" s="5" t="s">
        <v>24</v>
      </c>
      <c r="AH2" s="5" t="s">
        <v>24</v>
      </c>
      <c r="AI2" s="5" t="s">
        <v>24</v>
      </c>
      <c r="AJ2" s="5" t="s">
        <v>24</v>
      </c>
      <c r="AK2" s="5" t="s">
        <v>24</v>
      </c>
      <c r="AL2" s="5" t="str">
        <f>VLOOKUP(mambo!$H2,Sheet1!B:C,2,FALSE)</f>
        <v>#N/A</v>
      </c>
    </row>
    <row r="3" hidden="1">
      <c r="A3" s="5" t="s">
        <v>1857</v>
      </c>
      <c r="B3" s="5" t="s">
        <v>1858</v>
      </c>
      <c r="C3" s="5" t="s">
        <v>106</v>
      </c>
      <c r="D3" s="5" t="s">
        <v>24</v>
      </c>
      <c r="E3" s="5" t="s">
        <v>1848</v>
      </c>
      <c r="F3" s="5" t="s">
        <v>1849</v>
      </c>
      <c r="G3" s="5" t="s">
        <v>24</v>
      </c>
      <c r="H3" s="5" t="s">
        <v>1859</v>
      </c>
      <c r="I3" s="5" t="s">
        <v>24</v>
      </c>
      <c r="J3" s="5" t="s">
        <v>24</v>
      </c>
      <c r="K3" s="5" t="s">
        <v>24</v>
      </c>
      <c r="L3" s="5" t="s">
        <v>24</v>
      </c>
      <c r="M3" s="5" t="s">
        <v>24</v>
      </c>
      <c r="N3" s="5" t="s">
        <v>24</v>
      </c>
      <c r="O3" s="5" t="s">
        <v>1860</v>
      </c>
      <c r="P3" s="5" t="s">
        <v>24</v>
      </c>
      <c r="Q3" s="5" t="s">
        <v>24</v>
      </c>
      <c r="R3" s="5" t="s">
        <v>24</v>
      </c>
      <c r="S3" s="5" t="s">
        <v>1852</v>
      </c>
      <c r="T3" s="5" t="s">
        <v>1861</v>
      </c>
      <c r="U3" s="5" t="s">
        <v>1861</v>
      </c>
      <c r="V3" s="5" t="s">
        <v>1854</v>
      </c>
      <c r="W3" s="5" t="s">
        <v>24</v>
      </c>
      <c r="X3" s="5" t="s">
        <v>24</v>
      </c>
      <c r="Y3" s="5" t="s">
        <v>1862</v>
      </c>
      <c r="Z3" s="5" t="s">
        <v>1863</v>
      </c>
      <c r="AA3" s="5" t="s">
        <v>1863</v>
      </c>
      <c r="AB3" s="5" t="s">
        <v>1863</v>
      </c>
      <c r="AC3" s="5" t="s">
        <v>24</v>
      </c>
      <c r="AD3" s="5" t="s">
        <v>24</v>
      </c>
      <c r="AE3" s="5" t="s">
        <v>24</v>
      </c>
      <c r="AF3" s="5" t="s">
        <v>24</v>
      </c>
      <c r="AG3" s="5" t="s">
        <v>24</v>
      </c>
      <c r="AH3" s="5" t="s">
        <v>24</v>
      </c>
      <c r="AI3" s="5" t="s">
        <v>24</v>
      </c>
      <c r="AJ3" s="5" t="s">
        <v>24</v>
      </c>
      <c r="AK3" s="5" t="s">
        <v>24</v>
      </c>
      <c r="AL3" s="5" t="str">
        <f>VLOOKUP(mambo!$H3,Sheet1!B:C,2,FALSE)</f>
        <v>#N/A</v>
      </c>
    </row>
    <row r="4">
      <c r="A4" s="5" t="s">
        <v>1864</v>
      </c>
      <c r="B4" s="5" t="s">
        <v>1865</v>
      </c>
      <c r="C4" s="5" t="s">
        <v>106</v>
      </c>
      <c r="D4" s="5" t="s">
        <v>24</v>
      </c>
      <c r="E4" s="5" t="s">
        <v>1848</v>
      </c>
      <c r="F4" s="5" t="s">
        <v>1849</v>
      </c>
      <c r="G4" s="5" t="s">
        <v>24</v>
      </c>
      <c r="H4" s="5" t="s">
        <v>1632</v>
      </c>
      <c r="I4" s="5" t="s">
        <v>24</v>
      </c>
      <c r="J4" s="5" t="s">
        <v>24</v>
      </c>
      <c r="K4" s="5" t="s">
        <v>24</v>
      </c>
      <c r="L4" s="5" t="s">
        <v>24</v>
      </c>
      <c r="M4" s="5" t="s">
        <v>24</v>
      </c>
      <c r="N4" s="5" t="s">
        <v>24</v>
      </c>
      <c r="O4" s="5" t="s">
        <v>1851</v>
      </c>
      <c r="P4" s="5" t="s">
        <v>24</v>
      </c>
      <c r="Q4" s="5" t="s">
        <v>24</v>
      </c>
      <c r="R4" s="5" t="s">
        <v>24</v>
      </c>
      <c r="S4" s="5" t="s">
        <v>1852</v>
      </c>
      <c r="T4" s="5" t="s">
        <v>1861</v>
      </c>
      <c r="U4" s="5" t="s">
        <v>1861</v>
      </c>
      <c r="V4" s="5" t="s">
        <v>1854</v>
      </c>
      <c r="W4" s="5" t="s">
        <v>24</v>
      </c>
      <c r="X4" s="5" t="s">
        <v>24</v>
      </c>
      <c r="Y4" s="5" t="s">
        <v>1866</v>
      </c>
      <c r="Z4" s="5" t="s">
        <v>1867</v>
      </c>
      <c r="AA4" s="5" t="s">
        <v>1867</v>
      </c>
      <c r="AB4" s="5" t="s">
        <v>1867</v>
      </c>
      <c r="AC4" s="5" t="s">
        <v>1868</v>
      </c>
      <c r="AD4" s="5" t="s">
        <v>1869</v>
      </c>
      <c r="AE4" s="5" t="s">
        <v>24</v>
      </c>
      <c r="AF4" s="5" t="s">
        <v>24</v>
      </c>
      <c r="AG4" s="5" t="s">
        <v>24</v>
      </c>
      <c r="AH4" s="5" t="s">
        <v>24</v>
      </c>
      <c r="AI4" s="5" t="s">
        <v>24</v>
      </c>
      <c r="AJ4" s="5" t="s">
        <v>24</v>
      </c>
      <c r="AK4" s="5" t="s">
        <v>24</v>
      </c>
      <c r="AL4" s="5" t="str">
        <f>VLOOKUP(mambo!$H4,Sheet1!B:C,2,FALSE)</f>
        <v>7641688</v>
      </c>
    </row>
    <row r="5" hidden="1">
      <c r="A5" s="5" t="s">
        <v>1870</v>
      </c>
      <c r="B5" s="5" t="s">
        <v>40</v>
      </c>
      <c r="C5" s="5" t="s">
        <v>227</v>
      </c>
      <c r="D5" s="5" t="s">
        <v>24</v>
      </c>
      <c r="E5" s="5" t="s">
        <v>1848</v>
      </c>
      <c r="F5" s="5" t="s">
        <v>1849</v>
      </c>
      <c r="G5" s="5" t="s">
        <v>24</v>
      </c>
      <c r="H5" s="5" t="s">
        <v>1871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5" t="s">
        <v>1851</v>
      </c>
      <c r="P5" s="5" t="s">
        <v>24</v>
      </c>
      <c r="Q5" s="5" t="s">
        <v>24</v>
      </c>
      <c r="R5" s="5" t="s">
        <v>24</v>
      </c>
      <c r="S5" s="5" t="s">
        <v>1852</v>
      </c>
      <c r="T5" s="5" t="s">
        <v>1872</v>
      </c>
      <c r="U5" s="5" t="s">
        <v>1872</v>
      </c>
      <c r="V5" s="5" t="s">
        <v>1854</v>
      </c>
      <c r="W5" s="5" t="s">
        <v>24</v>
      </c>
      <c r="X5" s="5" t="s">
        <v>24</v>
      </c>
      <c r="Y5" s="5" t="s">
        <v>1873</v>
      </c>
      <c r="Z5" s="5" t="s">
        <v>1874</v>
      </c>
      <c r="AA5" s="5" t="s">
        <v>1874</v>
      </c>
      <c r="AB5" s="5" t="s">
        <v>1874</v>
      </c>
      <c r="AC5" s="5" t="s">
        <v>1875</v>
      </c>
      <c r="AD5" s="5" t="s">
        <v>1876</v>
      </c>
      <c r="AE5" s="5" t="s">
        <v>1877</v>
      </c>
      <c r="AF5" s="5" t="s">
        <v>1878</v>
      </c>
      <c r="AG5" s="5" t="s">
        <v>1879</v>
      </c>
      <c r="AH5" s="5" t="s">
        <v>1880</v>
      </c>
      <c r="AI5" s="5" t="s">
        <v>24</v>
      </c>
      <c r="AJ5" s="5" t="s">
        <v>24</v>
      </c>
      <c r="AK5" s="5" t="s">
        <v>24</v>
      </c>
      <c r="AL5" s="5" t="str">
        <f>VLOOKUP(mambo!$H5,Sheet1!B:C,2,FALSE)</f>
        <v>#N/A</v>
      </c>
    </row>
    <row r="6" hidden="1">
      <c r="A6" s="5" t="s">
        <v>1881</v>
      </c>
      <c r="B6" s="5" t="s">
        <v>1882</v>
      </c>
      <c r="C6" s="5" t="s">
        <v>1883</v>
      </c>
      <c r="D6" s="5" t="s">
        <v>24</v>
      </c>
      <c r="E6" s="5" t="s">
        <v>1848</v>
      </c>
      <c r="F6" s="5" t="s">
        <v>1849</v>
      </c>
      <c r="G6" s="5" t="s">
        <v>24</v>
      </c>
      <c r="H6" s="5" t="s">
        <v>1884</v>
      </c>
      <c r="I6" s="5" t="s">
        <v>24</v>
      </c>
      <c r="J6" s="5" t="s">
        <v>24</v>
      </c>
      <c r="K6" s="5" t="s">
        <v>24</v>
      </c>
      <c r="L6" s="5" t="s">
        <v>24</v>
      </c>
      <c r="M6" s="5" t="s">
        <v>1885</v>
      </c>
      <c r="N6" s="5" t="s">
        <v>24</v>
      </c>
      <c r="O6" s="5" t="s">
        <v>1886</v>
      </c>
      <c r="P6" s="5" t="s">
        <v>24</v>
      </c>
      <c r="Q6" s="5" t="s">
        <v>24</v>
      </c>
      <c r="R6" s="5" t="s">
        <v>24</v>
      </c>
      <c r="S6" s="5" t="s">
        <v>1852</v>
      </c>
      <c r="T6" s="5" t="s">
        <v>1887</v>
      </c>
      <c r="U6" s="5" t="s">
        <v>1887</v>
      </c>
      <c r="V6" s="5" t="s">
        <v>1854</v>
      </c>
      <c r="W6" s="5" t="s">
        <v>24</v>
      </c>
      <c r="X6" s="5" t="s">
        <v>24</v>
      </c>
      <c r="Y6" s="5" t="s">
        <v>1888</v>
      </c>
      <c r="Z6" s="5" t="s">
        <v>1889</v>
      </c>
      <c r="AA6" s="5" t="s">
        <v>1889</v>
      </c>
      <c r="AB6" s="5" t="s">
        <v>1889</v>
      </c>
      <c r="AC6" s="5" t="s">
        <v>24</v>
      </c>
      <c r="AD6" s="5" t="s">
        <v>24</v>
      </c>
      <c r="AE6" s="5" t="s">
        <v>24</v>
      </c>
      <c r="AF6" s="5" t="s">
        <v>24</v>
      </c>
      <c r="AG6" s="5" t="s">
        <v>24</v>
      </c>
      <c r="AH6" s="5" t="s">
        <v>24</v>
      </c>
      <c r="AI6" s="5" t="s">
        <v>24</v>
      </c>
      <c r="AJ6" s="5" t="s">
        <v>24</v>
      </c>
      <c r="AK6" s="5" t="s">
        <v>24</v>
      </c>
      <c r="AL6" s="5" t="str">
        <f>VLOOKUP(mambo!$H6,Sheet1!B:C,2,FALSE)</f>
        <v>#N/A</v>
      </c>
    </row>
    <row r="7" hidden="1">
      <c r="A7" s="5" t="s">
        <v>1890</v>
      </c>
      <c r="B7" s="5" t="s">
        <v>1891</v>
      </c>
      <c r="C7" s="5" t="s">
        <v>1892</v>
      </c>
      <c r="D7" s="5" t="s">
        <v>24</v>
      </c>
      <c r="E7" s="5" t="s">
        <v>1848</v>
      </c>
      <c r="F7" s="5" t="s">
        <v>1849</v>
      </c>
      <c r="G7" s="5" t="s">
        <v>24</v>
      </c>
      <c r="H7" s="5" t="s">
        <v>1893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1894</v>
      </c>
      <c r="P7" s="5" t="s">
        <v>24</v>
      </c>
      <c r="Q7" s="5" t="s">
        <v>24</v>
      </c>
      <c r="R7" s="5" t="s">
        <v>24</v>
      </c>
      <c r="S7" s="5" t="s">
        <v>1852</v>
      </c>
      <c r="T7" s="5" t="s">
        <v>1895</v>
      </c>
      <c r="U7" s="5" t="s">
        <v>1895</v>
      </c>
      <c r="V7" s="5" t="s">
        <v>1854</v>
      </c>
      <c r="W7" s="5" t="s">
        <v>24</v>
      </c>
      <c r="X7" s="5" t="s">
        <v>24</v>
      </c>
      <c r="Y7" s="5" t="s">
        <v>1896</v>
      </c>
      <c r="Z7" s="5" t="s">
        <v>1897</v>
      </c>
      <c r="AA7" s="5" t="s">
        <v>1897</v>
      </c>
      <c r="AB7" s="5" t="s">
        <v>1897</v>
      </c>
      <c r="AC7" s="5" t="s">
        <v>24</v>
      </c>
      <c r="AD7" s="5" t="s">
        <v>24</v>
      </c>
      <c r="AE7" s="5" t="s">
        <v>24</v>
      </c>
      <c r="AF7" s="5" t="s">
        <v>24</v>
      </c>
      <c r="AG7" s="5" t="s">
        <v>24</v>
      </c>
      <c r="AH7" s="5" t="s">
        <v>24</v>
      </c>
      <c r="AI7" s="5" t="s">
        <v>24</v>
      </c>
      <c r="AJ7" s="5" t="s">
        <v>24</v>
      </c>
      <c r="AK7" s="5" t="s">
        <v>24</v>
      </c>
      <c r="AL7" s="5" t="str">
        <f>VLOOKUP(mambo!$H7,Sheet1!B:C,2,FALSE)</f>
        <v>#N/A</v>
      </c>
    </row>
    <row r="8" hidden="1">
      <c r="A8" s="5" t="s">
        <v>1898</v>
      </c>
      <c r="B8" s="5" t="s">
        <v>1899</v>
      </c>
      <c r="C8" s="5" t="s">
        <v>1892</v>
      </c>
      <c r="D8" s="5" t="s">
        <v>24</v>
      </c>
      <c r="E8" s="5" t="s">
        <v>1848</v>
      </c>
      <c r="F8" s="5" t="s">
        <v>1849</v>
      </c>
      <c r="G8" s="5" t="s">
        <v>24</v>
      </c>
      <c r="H8" s="5" t="s">
        <v>1900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24</v>
      </c>
      <c r="O8" s="5" t="s">
        <v>1894</v>
      </c>
      <c r="P8" s="5" t="s">
        <v>24</v>
      </c>
      <c r="Q8" s="5" t="s">
        <v>24</v>
      </c>
      <c r="R8" s="5" t="s">
        <v>24</v>
      </c>
      <c r="S8" s="5" t="s">
        <v>1852</v>
      </c>
      <c r="T8" s="5" t="s">
        <v>1895</v>
      </c>
      <c r="U8" s="5" t="s">
        <v>1895</v>
      </c>
      <c r="V8" s="5" t="s">
        <v>1854</v>
      </c>
      <c r="W8" s="5" t="s">
        <v>24</v>
      </c>
      <c r="X8" s="5" t="s">
        <v>24</v>
      </c>
      <c r="Y8" s="5" t="s">
        <v>1901</v>
      </c>
      <c r="Z8" s="5" t="s">
        <v>1902</v>
      </c>
      <c r="AA8" s="5" t="s">
        <v>1902</v>
      </c>
      <c r="AB8" s="5" t="s">
        <v>1902</v>
      </c>
      <c r="AC8" s="5" t="s">
        <v>24</v>
      </c>
      <c r="AD8" s="5" t="s">
        <v>24</v>
      </c>
      <c r="AE8" s="5" t="s">
        <v>24</v>
      </c>
      <c r="AF8" s="5" t="s">
        <v>24</v>
      </c>
      <c r="AG8" s="5" t="s">
        <v>24</v>
      </c>
      <c r="AH8" s="5" t="s">
        <v>24</v>
      </c>
      <c r="AI8" s="5" t="s">
        <v>24</v>
      </c>
      <c r="AJ8" s="5" t="s">
        <v>24</v>
      </c>
      <c r="AK8" s="5" t="s">
        <v>24</v>
      </c>
      <c r="AL8" s="5" t="str">
        <f>VLOOKUP(mambo!$H8,Sheet1!B:C,2,FALSE)</f>
        <v>#N/A</v>
      </c>
    </row>
    <row r="9" hidden="1">
      <c r="A9" s="5" t="s">
        <v>1903</v>
      </c>
      <c r="B9" s="5" t="s">
        <v>1904</v>
      </c>
      <c r="C9" s="5" t="s">
        <v>1892</v>
      </c>
      <c r="D9" s="5" t="s">
        <v>24</v>
      </c>
      <c r="E9" s="5" t="s">
        <v>1848</v>
      </c>
      <c r="F9" s="5" t="s">
        <v>1849</v>
      </c>
      <c r="G9" s="5" t="s">
        <v>24</v>
      </c>
      <c r="H9" s="5" t="s">
        <v>1905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24</v>
      </c>
      <c r="N9" s="5" t="s">
        <v>24</v>
      </c>
      <c r="O9" s="5" t="s">
        <v>1894</v>
      </c>
      <c r="P9" s="5" t="s">
        <v>24</v>
      </c>
      <c r="Q9" s="5" t="s">
        <v>24</v>
      </c>
      <c r="R9" s="5" t="s">
        <v>24</v>
      </c>
      <c r="S9" s="5" t="s">
        <v>1852</v>
      </c>
      <c r="T9" s="5" t="s">
        <v>1895</v>
      </c>
      <c r="U9" s="5" t="s">
        <v>1895</v>
      </c>
      <c r="V9" s="5" t="s">
        <v>1854</v>
      </c>
      <c r="W9" s="5" t="s">
        <v>24</v>
      </c>
      <c r="X9" s="5" t="s">
        <v>24</v>
      </c>
      <c r="Y9" s="5" t="s">
        <v>1906</v>
      </c>
      <c r="Z9" s="5" t="s">
        <v>1907</v>
      </c>
      <c r="AA9" s="5" t="s">
        <v>1907</v>
      </c>
      <c r="AB9" s="5" t="s">
        <v>1907</v>
      </c>
      <c r="AC9" s="5" t="s">
        <v>24</v>
      </c>
      <c r="AD9" s="5" t="s">
        <v>24</v>
      </c>
      <c r="AE9" s="5" t="s">
        <v>24</v>
      </c>
      <c r="AF9" s="5" t="s">
        <v>24</v>
      </c>
      <c r="AG9" s="5" t="s">
        <v>24</v>
      </c>
      <c r="AH9" s="5" t="s">
        <v>24</v>
      </c>
      <c r="AI9" s="5" t="s">
        <v>24</v>
      </c>
      <c r="AJ9" s="5" t="s">
        <v>24</v>
      </c>
      <c r="AK9" s="5" t="s">
        <v>24</v>
      </c>
      <c r="AL9" s="5" t="str">
        <f>VLOOKUP(mambo!$H9,Sheet1!B:C,2,FALSE)</f>
        <v>#N/A</v>
      </c>
    </row>
    <row r="10" hidden="1">
      <c r="A10" s="5" t="s">
        <v>1908</v>
      </c>
      <c r="B10" s="5" t="s">
        <v>1909</v>
      </c>
      <c r="C10" s="5" t="s">
        <v>1892</v>
      </c>
      <c r="D10" s="5" t="s">
        <v>24</v>
      </c>
      <c r="E10" s="5" t="s">
        <v>1848</v>
      </c>
      <c r="F10" s="5" t="s">
        <v>1849</v>
      </c>
      <c r="G10" s="5" t="s">
        <v>24</v>
      </c>
      <c r="H10" s="5" t="s">
        <v>1910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5" t="s">
        <v>24</v>
      </c>
      <c r="O10" s="5" t="s">
        <v>1894</v>
      </c>
      <c r="P10" s="5" t="s">
        <v>24</v>
      </c>
      <c r="Q10" s="5" t="s">
        <v>24</v>
      </c>
      <c r="R10" s="5" t="s">
        <v>24</v>
      </c>
      <c r="S10" s="5" t="s">
        <v>1852</v>
      </c>
      <c r="T10" s="5" t="s">
        <v>1895</v>
      </c>
      <c r="U10" s="5" t="s">
        <v>1895</v>
      </c>
      <c r="V10" s="5" t="s">
        <v>1854</v>
      </c>
      <c r="W10" s="5" t="s">
        <v>24</v>
      </c>
      <c r="X10" s="5" t="s">
        <v>24</v>
      </c>
      <c r="Y10" s="5" t="s">
        <v>1911</v>
      </c>
      <c r="Z10" s="5" t="s">
        <v>1912</v>
      </c>
      <c r="AA10" s="5" t="s">
        <v>1912</v>
      </c>
      <c r="AB10" s="5" t="s">
        <v>1912</v>
      </c>
      <c r="AC10" s="5" t="s">
        <v>24</v>
      </c>
      <c r="AD10" s="5" t="s">
        <v>24</v>
      </c>
      <c r="AE10" s="5" t="s">
        <v>24</v>
      </c>
      <c r="AF10" s="5" t="s">
        <v>24</v>
      </c>
      <c r="AG10" s="5" t="s">
        <v>24</v>
      </c>
      <c r="AH10" s="5" t="s">
        <v>24</v>
      </c>
      <c r="AI10" s="5" t="s">
        <v>24</v>
      </c>
      <c r="AJ10" s="5" t="s">
        <v>24</v>
      </c>
      <c r="AK10" s="5" t="s">
        <v>24</v>
      </c>
      <c r="AL10" s="5" t="str">
        <f>VLOOKUP(mambo!$H10,Sheet1!B:C,2,FALSE)</f>
        <v>#N/A</v>
      </c>
    </row>
    <row r="11" hidden="1">
      <c r="A11" s="5" t="s">
        <v>1913</v>
      </c>
      <c r="B11" s="5" t="s">
        <v>1914</v>
      </c>
      <c r="C11" s="5" t="s">
        <v>1915</v>
      </c>
      <c r="D11" s="5" t="s">
        <v>24</v>
      </c>
      <c r="E11" s="5" t="s">
        <v>1848</v>
      </c>
      <c r="F11" s="5" t="s">
        <v>1849</v>
      </c>
      <c r="G11" s="5" t="s">
        <v>24</v>
      </c>
      <c r="H11" s="5" t="s">
        <v>1916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1885</v>
      </c>
      <c r="N11" s="5" t="s">
        <v>24</v>
      </c>
      <c r="O11" s="5" t="s">
        <v>1917</v>
      </c>
      <c r="P11" s="5" t="s">
        <v>24</v>
      </c>
      <c r="Q11" s="5" t="s">
        <v>24</v>
      </c>
      <c r="R11" s="5" t="s">
        <v>24</v>
      </c>
      <c r="S11" s="5" t="s">
        <v>1852</v>
      </c>
      <c r="T11" s="5" t="s">
        <v>1918</v>
      </c>
      <c r="U11" s="5" t="s">
        <v>1918</v>
      </c>
      <c r="V11" s="5" t="s">
        <v>1854</v>
      </c>
      <c r="W11" s="5" t="s">
        <v>24</v>
      </c>
      <c r="X11" s="5" t="s">
        <v>24</v>
      </c>
      <c r="Y11" s="5" t="s">
        <v>1919</v>
      </c>
      <c r="Z11" s="5" t="s">
        <v>1920</v>
      </c>
      <c r="AA11" s="5" t="s">
        <v>1920</v>
      </c>
      <c r="AB11" s="5" t="s">
        <v>1920</v>
      </c>
      <c r="AC11" s="5" t="s">
        <v>24</v>
      </c>
      <c r="AD11" s="5" t="s">
        <v>24</v>
      </c>
      <c r="AE11" s="5" t="s">
        <v>24</v>
      </c>
      <c r="AF11" s="5" t="s">
        <v>24</v>
      </c>
      <c r="AG11" s="5" t="s">
        <v>24</v>
      </c>
      <c r="AH11" s="5" t="s">
        <v>24</v>
      </c>
      <c r="AI11" s="5" t="s">
        <v>24</v>
      </c>
      <c r="AJ11" s="5" t="s">
        <v>24</v>
      </c>
      <c r="AK11" s="5" t="s">
        <v>24</v>
      </c>
      <c r="AL11" s="5" t="str">
        <f>VLOOKUP(mambo!$H11,Sheet1!B:C,2,FALSE)</f>
        <v>#N/A</v>
      </c>
    </row>
    <row r="12">
      <c r="A12" s="5" t="s">
        <v>1921</v>
      </c>
      <c r="B12" s="5" t="s">
        <v>1922</v>
      </c>
      <c r="C12" s="5" t="s">
        <v>503</v>
      </c>
      <c r="D12" s="5" t="s">
        <v>24</v>
      </c>
      <c r="E12" s="5" t="s">
        <v>1848</v>
      </c>
      <c r="F12" s="5" t="s">
        <v>1849</v>
      </c>
      <c r="G12" s="5" t="s">
        <v>24</v>
      </c>
      <c r="H12" s="5" t="s">
        <v>289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1885</v>
      </c>
      <c r="N12" s="5" t="s">
        <v>24</v>
      </c>
      <c r="O12" s="5" t="s">
        <v>24</v>
      </c>
      <c r="P12" s="5" t="s">
        <v>24</v>
      </c>
      <c r="Q12" s="5" t="s">
        <v>24</v>
      </c>
      <c r="R12" s="5" t="s">
        <v>24</v>
      </c>
      <c r="S12" s="5" t="s">
        <v>1852</v>
      </c>
      <c r="T12" s="5" t="s">
        <v>1923</v>
      </c>
      <c r="U12" s="5" t="s">
        <v>1923</v>
      </c>
      <c r="V12" s="5" t="s">
        <v>1854</v>
      </c>
      <c r="W12" s="5" t="s">
        <v>24</v>
      </c>
      <c r="X12" s="5" t="s">
        <v>24</v>
      </c>
      <c r="Y12" s="5" t="s">
        <v>1924</v>
      </c>
      <c r="Z12" s="5" t="s">
        <v>1925</v>
      </c>
      <c r="AA12" s="5" t="s">
        <v>1925</v>
      </c>
      <c r="AB12" s="5" t="s">
        <v>1925</v>
      </c>
      <c r="AC12" s="5" t="s">
        <v>1926</v>
      </c>
      <c r="AD12" s="5" t="s">
        <v>1927</v>
      </c>
      <c r="AE12" s="5" t="s">
        <v>1928</v>
      </c>
      <c r="AF12" s="5" t="s">
        <v>1929</v>
      </c>
      <c r="AG12" s="5" t="s">
        <v>1930</v>
      </c>
      <c r="AH12" s="5" t="s">
        <v>24</v>
      </c>
      <c r="AI12" s="5" t="s">
        <v>24</v>
      </c>
      <c r="AJ12" s="5" t="s">
        <v>24</v>
      </c>
      <c r="AK12" s="5" t="s">
        <v>24</v>
      </c>
      <c r="AL12" s="5" t="str">
        <f>VLOOKUP(mambo!$H12,Sheet1!B:C,2,FALSE)</f>
        <v>1194407</v>
      </c>
    </row>
    <row r="13">
      <c r="A13" s="5" t="s">
        <v>1921</v>
      </c>
      <c r="B13" s="5" t="s">
        <v>1922</v>
      </c>
      <c r="C13" s="5" t="s">
        <v>503</v>
      </c>
      <c r="D13" s="5" t="s">
        <v>24</v>
      </c>
      <c r="E13" s="5" t="s">
        <v>1848</v>
      </c>
      <c r="F13" s="5" t="s">
        <v>1849</v>
      </c>
      <c r="G13" s="5" t="s">
        <v>24</v>
      </c>
      <c r="H13" s="5" t="s">
        <v>289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1885</v>
      </c>
      <c r="N13" s="5" t="s">
        <v>24</v>
      </c>
      <c r="O13" s="5" t="s">
        <v>24</v>
      </c>
      <c r="P13" s="5" t="s">
        <v>24</v>
      </c>
      <c r="Q13" s="5" t="s">
        <v>24</v>
      </c>
      <c r="R13" s="5" t="s">
        <v>24</v>
      </c>
      <c r="S13" s="5" t="s">
        <v>1852</v>
      </c>
      <c r="T13" s="5" t="s">
        <v>1923</v>
      </c>
      <c r="U13" s="5" t="s">
        <v>1923</v>
      </c>
      <c r="V13" s="5" t="s">
        <v>1854</v>
      </c>
      <c r="W13" s="5" t="s">
        <v>24</v>
      </c>
      <c r="X13" s="5" t="s">
        <v>24</v>
      </c>
      <c r="Y13" s="5" t="s">
        <v>1924</v>
      </c>
      <c r="Z13" s="5" t="s">
        <v>1925</v>
      </c>
      <c r="AA13" s="5" t="s">
        <v>1925</v>
      </c>
      <c r="AB13" s="5" t="s">
        <v>1925</v>
      </c>
      <c r="AC13" s="5" t="s">
        <v>1926</v>
      </c>
      <c r="AD13" s="5" t="s">
        <v>1927</v>
      </c>
      <c r="AE13" s="5" t="s">
        <v>1928</v>
      </c>
      <c r="AF13" s="5" t="s">
        <v>1929</v>
      </c>
      <c r="AG13" s="5" t="s">
        <v>1930</v>
      </c>
      <c r="AH13" s="5" t="s">
        <v>24</v>
      </c>
      <c r="AI13" s="5" t="s">
        <v>24</v>
      </c>
      <c r="AJ13" s="5" t="s">
        <v>24</v>
      </c>
      <c r="AK13" s="5" t="s">
        <v>24</v>
      </c>
      <c r="AL13" s="5" t="str">
        <f>VLOOKUP(mambo!$H13,Sheet1!B:C,2,FALSE)</f>
        <v>1194407</v>
      </c>
    </row>
    <row r="14">
      <c r="A14" s="5" t="s">
        <v>1931</v>
      </c>
      <c r="B14" s="5" t="s">
        <v>1932</v>
      </c>
      <c r="C14" s="5" t="s">
        <v>145</v>
      </c>
      <c r="D14" s="5" t="s">
        <v>24</v>
      </c>
      <c r="E14" s="5" t="s">
        <v>1848</v>
      </c>
      <c r="F14" s="5" t="s">
        <v>1849</v>
      </c>
      <c r="G14" s="5" t="s">
        <v>24</v>
      </c>
      <c r="H14" s="5" t="s">
        <v>576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1933</v>
      </c>
      <c r="P14" s="5" t="s">
        <v>24</v>
      </c>
      <c r="Q14" s="5" t="s">
        <v>24</v>
      </c>
      <c r="R14" s="5" t="s">
        <v>24</v>
      </c>
      <c r="S14" s="5" t="s">
        <v>1852</v>
      </c>
      <c r="T14" s="5" t="s">
        <v>1934</v>
      </c>
      <c r="U14" s="5" t="s">
        <v>1934</v>
      </c>
      <c r="V14" s="5" t="s">
        <v>1854</v>
      </c>
      <c r="W14" s="5" t="s">
        <v>24</v>
      </c>
      <c r="X14" s="5" t="s">
        <v>24</v>
      </c>
      <c r="Y14" s="5" t="s">
        <v>1935</v>
      </c>
      <c r="Z14" s="5" t="s">
        <v>1936</v>
      </c>
      <c r="AA14" s="5" t="s">
        <v>1936</v>
      </c>
      <c r="AB14" s="5" t="s">
        <v>1936</v>
      </c>
      <c r="AC14" s="5" t="s">
        <v>24</v>
      </c>
      <c r="AD14" s="5" t="s">
        <v>24</v>
      </c>
      <c r="AE14" s="5" t="s">
        <v>24</v>
      </c>
      <c r="AF14" s="5" t="s">
        <v>24</v>
      </c>
      <c r="AG14" s="5" t="s">
        <v>24</v>
      </c>
      <c r="AH14" s="5" t="s">
        <v>24</v>
      </c>
      <c r="AI14" s="5" t="s">
        <v>24</v>
      </c>
      <c r="AJ14" s="5" t="s">
        <v>24</v>
      </c>
      <c r="AK14" s="5" t="s">
        <v>24</v>
      </c>
      <c r="AL14" s="5" t="str">
        <f>VLOOKUP(mambo!$H14,Sheet1!B:C,2,FALSE)</f>
        <v>1229373</v>
      </c>
    </row>
    <row r="15">
      <c r="A15" s="5" t="s">
        <v>1937</v>
      </c>
      <c r="B15" s="5" t="s">
        <v>1938</v>
      </c>
      <c r="C15" s="5" t="s">
        <v>145</v>
      </c>
      <c r="D15" s="5" t="s">
        <v>24</v>
      </c>
      <c r="E15" s="5" t="s">
        <v>1848</v>
      </c>
      <c r="F15" s="5" t="s">
        <v>1849</v>
      </c>
      <c r="G15" s="5" t="s">
        <v>24</v>
      </c>
      <c r="H15" s="5" t="s">
        <v>514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1885</v>
      </c>
      <c r="N15" s="5" t="s">
        <v>24</v>
      </c>
      <c r="O15" s="5" t="s">
        <v>1917</v>
      </c>
      <c r="P15" s="5" t="s">
        <v>24</v>
      </c>
      <c r="Q15" s="5" t="s">
        <v>24</v>
      </c>
      <c r="R15" s="5" t="s">
        <v>24</v>
      </c>
      <c r="S15" s="5" t="s">
        <v>1852</v>
      </c>
      <c r="T15" s="5" t="s">
        <v>1939</v>
      </c>
      <c r="U15" s="5" t="s">
        <v>1939</v>
      </c>
      <c r="V15" s="5" t="s">
        <v>1854</v>
      </c>
      <c r="W15" s="5" t="s">
        <v>24</v>
      </c>
      <c r="X15" s="5" t="s">
        <v>24</v>
      </c>
      <c r="Y15" s="5" t="s">
        <v>1940</v>
      </c>
      <c r="Z15" s="5" t="s">
        <v>1941</v>
      </c>
      <c r="AA15" s="5" t="s">
        <v>1941</v>
      </c>
      <c r="AB15" s="5" t="s">
        <v>1941</v>
      </c>
      <c r="AC15" s="5" t="s">
        <v>24</v>
      </c>
      <c r="AD15" s="5" t="s">
        <v>24</v>
      </c>
      <c r="AE15" s="5" t="s">
        <v>24</v>
      </c>
      <c r="AF15" s="5" t="s">
        <v>24</v>
      </c>
      <c r="AG15" s="5" t="s">
        <v>24</v>
      </c>
      <c r="AH15" s="5" t="s">
        <v>24</v>
      </c>
      <c r="AI15" s="5" t="s">
        <v>24</v>
      </c>
      <c r="AJ15" s="5" t="s">
        <v>24</v>
      </c>
      <c r="AK15" s="5" t="s">
        <v>24</v>
      </c>
      <c r="AL15" s="5" t="str">
        <f>VLOOKUP(mambo!$H15,Sheet1!B:C,2,FALSE)</f>
        <v>1229374</v>
      </c>
    </row>
    <row r="16">
      <c r="A16" s="5" t="s">
        <v>1942</v>
      </c>
      <c r="B16" s="5" t="s">
        <v>1943</v>
      </c>
      <c r="C16" s="5" t="s">
        <v>145</v>
      </c>
      <c r="D16" s="5" t="s">
        <v>24</v>
      </c>
      <c r="E16" s="5" t="s">
        <v>1848</v>
      </c>
      <c r="F16" s="5" t="s">
        <v>1849</v>
      </c>
      <c r="G16" s="5" t="s">
        <v>24</v>
      </c>
      <c r="H16" s="5" t="s">
        <v>238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1885</v>
      </c>
      <c r="N16" s="5" t="s">
        <v>24</v>
      </c>
      <c r="O16" s="5" t="s">
        <v>1917</v>
      </c>
      <c r="P16" s="5" t="s">
        <v>24</v>
      </c>
      <c r="Q16" s="5" t="s">
        <v>24</v>
      </c>
      <c r="R16" s="5" t="s">
        <v>24</v>
      </c>
      <c r="S16" s="5" t="s">
        <v>1852</v>
      </c>
      <c r="T16" s="5" t="s">
        <v>1939</v>
      </c>
      <c r="U16" s="5" t="s">
        <v>1939</v>
      </c>
      <c r="V16" s="5" t="s">
        <v>1854</v>
      </c>
      <c r="W16" s="5" t="s">
        <v>24</v>
      </c>
      <c r="X16" s="5" t="s">
        <v>24</v>
      </c>
      <c r="Y16" s="5" t="s">
        <v>1944</v>
      </c>
      <c r="Z16" s="5" t="s">
        <v>1945</v>
      </c>
      <c r="AA16" s="5" t="s">
        <v>1945</v>
      </c>
      <c r="AB16" s="5" t="s">
        <v>1945</v>
      </c>
      <c r="AC16" s="5" t="s">
        <v>24</v>
      </c>
      <c r="AD16" s="5" t="s">
        <v>24</v>
      </c>
      <c r="AE16" s="5" t="s">
        <v>24</v>
      </c>
      <c r="AF16" s="5" t="s">
        <v>24</v>
      </c>
      <c r="AG16" s="5" t="s">
        <v>24</v>
      </c>
      <c r="AH16" s="5" t="s">
        <v>24</v>
      </c>
      <c r="AI16" s="5" t="s">
        <v>24</v>
      </c>
      <c r="AJ16" s="5" t="s">
        <v>24</v>
      </c>
      <c r="AK16" s="5" t="s">
        <v>24</v>
      </c>
      <c r="AL16" s="5" t="str">
        <f>VLOOKUP(mambo!$H16,Sheet1!B:C,2,FALSE)</f>
        <v>1075263</v>
      </c>
    </row>
    <row r="17" hidden="1">
      <c r="A17" s="5" t="s">
        <v>1946</v>
      </c>
      <c r="B17" s="5" t="s">
        <v>1947</v>
      </c>
      <c r="C17" s="5" t="s">
        <v>503</v>
      </c>
      <c r="D17" s="5" t="s">
        <v>24</v>
      </c>
      <c r="E17" s="5" t="s">
        <v>1848</v>
      </c>
      <c r="F17" s="5" t="s">
        <v>1849</v>
      </c>
      <c r="G17" s="5" t="s">
        <v>24</v>
      </c>
      <c r="H17" s="5" t="s">
        <v>1948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1885</v>
      </c>
      <c r="N17" s="5" t="s">
        <v>24</v>
      </c>
      <c r="O17" s="5" t="s">
        <v>1949</v>
      </c>
      <c r="P17" s="5" t="s">
        <v>24</v>
      </c>
      <c r="Q17" s="5" t="s">
        <v>24</v>
      </c>
      <c r="R17" s="5" t="s">
        <v>24</v>
      </c>
      <c r="S17" s="5" t="s">
        <v>1852</v>
      </c>
      <c r="T17" s="5" t="s">
        <v>1923</v>
      </c>
      <c r="U17" s="5" t="s">
        <v>1923</v>
      </c>
      <c r="V17" s="5" t="s">
        <v>1854</v>
      </c>
      <c r="W17" s="5" t="s">
        <v>24</v>
      </c>
      <c r="X17" s="5" t="s">
        <v>24</v>
      </c>
      <c r="Y17" s="5" t="s">
        <v>1950</v>
      </c>
      <c r="Z17" s="5" t="s">
        <v>1951</v>
      </c>
      <c r="AA17" s="5" t="s">
        <v>1951</v>
      </c>
      <c r="AB17" s="5" t="s">
        <v>1951</v>
      </c>
      <c r="AC17" s="5" t="s">
        <v>1952</v>
      </c>
      <c r="AD17" s="5" t="s">
        <v>1953</v>
      </c>
      <c r="AE17" s="5" t="s">
        <v>1954</v>
      </c>
      <c r="AF17" s="5" t="s">
        <v>1955</v>
      </c>
      <c r="AG17" s="5" t="s">
        <v>1956</v>
      </c>
      <c r="AH17" s="5" t="s">
        <v>1957</v>
      </c>
      <c r="AI17" s="5" t="s">
        <v>1958</v>
      </c>
      <c r="AJ17" s="5" t="s">
        <v>24</v>
      </c>
      <c r="AK17" s="5" t="s">
        <v>24</v>
      </c>
      <c r="AL17" s="5" t="str">
        <f>VLOOKUP(mambo!$H17,Sheet1!B:C,2,FALSE)</f>
        <v>#N/A</v>
      </c>
    </row>
    <row r="18" hidden="1">
      <c r="A18" s="5" t="s">
        <v>1959</v>
      </c>
      <c r="B18" s="5" t="s">
        <v>1960</v>
      </c>
      <c r="C18" s="5" t="s">
        <v>1961</v>
      </c>
      <c r="D18" s="5" t="s">
        <v>24</v>
      </c>
      <c r="E18" s="5" t="s">
        <v>1848</v>
      </c>
      <c r="F18" s="5" t="s">
        <v>1849</v>
      </c>
      <c r="G18" s="5" t="s">
        <v>24</v>
      </c>
      <c r="H18" s="5" t="s">
        <v>1962</v>
      </c>
      <c r="I18" s="5" t="s">
        <v>24</v>
      </c>
      <c r="J18" s="5" t="s">
        <v>24</v>
      </c>
      <c r="K18" s="5" t="s">
        <v>24</v>
      </c>
      <c r="L18" s="5" t="s">
        <v>24</v>
      </c>
      <c r="M18" s="5" t="s">
        <v>1885</v>
      </c>
      <c r="N18" s="5" t="s">
        <v>24</v>
      </c>
      <c r="O18" s="5" t="s">
        <v>1963</v>
      </c>
      <c r="P18" s="5" t="s">
        <v>24</v>
      </c>
      <c r="Q18" s="5" t="s">
        <v>24</v>
      </c>
      <c r="R18" s="5" t="s">
        <v>24</v>
      </c>
      <c r="S18" s="5" t="s">
        <v>1852</v>
      </c>
      <c r="T18" s="5" t="s">
        <v>1964</v>
      </c>
      <c r="U18" s="5" t="s">
        <v>1964</v>
      </c>
      <c r="V18" s="5" t="s">
        <v>1854</v>
      </c>
      <c r="W18" s="5" t="s">
        <v>24</v>
      </c>
      <c r="X18" s="5" t="s">
        <v>24</v>
      </c>
      <c r="Y18" s="5" t="s">
        <v>1965</v>
      </c>
      <c r="Z18" s="5" t="s">
        <v>1966</v>
      </c>
      <c r="AA18" s="5" t="s">
        <v>1966</v>
      </c>
      <c r="AB18" s="5" t="s">
        <v>1966</v>
      </c>
      <c r="AC18" s="5" t="s">
        <v>24</v>
      </c>
      <c r="AD18" s="5" t="s">
        <v>24</v>
      </c>
      <c r="AE18" s="5" t="s">
        <v>24</v>
      </c>
      <c r="AF18" s="5" t="s">
        <v>24</v>
      </c>
      <c r="AG18" s="5" t="s">
        <v>24</v>
      </c>
      <c r="AH18" s="5" t="s">
        <v>24</v>
      </c>
      <c r="AI18" s="5" t="s">
        <v>24</v>
      </c>
      <c r="AJ18" s="5" t="s">
        <v>24</v>
      </c>
      <c r="AK18" s="5" t="s">
        <v>24</v>
      </c>
      <c r="AL18" s="5" t="str">
        <f>VLOOKUP(mambo!$H18,Sheet1!B:C,2,FALSE)</f>
        <v>#N/A</v>
      </c>
    </row>
    <row r="19">
      <c r="A19" s="5" t="s">
        <v>1967</v>
      </c>
      <c r="B19" s="5" t="s">
        <v>1968</v>
      </c>
      <c r="C19" s="5" t="s">
        <v>227</v>
      </c>
      <c r="D19" s="5" t="s">
        <v>24</v>
      </c>
      <c r="E19" s="5" t="s">
        <v>1848</v>
      </c>
      <c r="F19" s="5" t="s">
        <v>1849</v>
      </c>
      <c r="G19" s="5" t="s">
        <v>24</v>
      </c>
      <c r="H19" s="5" t="s">
        <v>228</v>
      </c>
      <c r="I19" s="5" t="s">
        <v>24</v>
      </c>
      <c r="J19" s="5" t="s">
        <v>24</v>
      </c>
      <c r="K19" s="5" t="s">
        <v>24</v>
      </c>
      <c r="L19" s="5" t="s">
        <v>24</v>
      </c>
      <c r="M19" s="5" t="s">
        <v>1885</v>
      </c>
      <c r="N19" s="5" t="s">
        <v>24</v>
      </c>
      <c r="O19" s="5" t="s">
        <v>1969</v>
      </c>
      <c r="P19" s="5" t="s">
        <v>24</v>
      </c>
      <c r="Q19" s="5" t="s">
        <v>24</v>
      </c>
      <c r="R19" s="5" t="s">
        <v>24</v>
      </c>
      <c r="S19" s="5" t="s">
        <v>1852</v>
      </c>
      <c r="T19" s="5" t="s">
        <v>1970</v>
      </c>
      <c r="U19" s="5" t="s">
        <v>1970</v>
      </c>
      <c r="V19" s="5" t="s">
        <v>1854</v>
      </c>
      <c r="W19" s="5" t="s">
        <v>24</v>
      </c>
      <c r="X19" s="5" t="s">
        <v>24</v>
      </c>
      <c r="Y19" s="5" t="s">
        <v>1971</v>
      </c>
      <c r="Z19" s="5" t="s">
        <v>1972</v>
      </c>
      <c r="AA19" s="5" t="s">
        <v>1972</v>
      </c>
      <c r="AB19" s="5" t="s">
        <v>1972</v>
      </c>
      <c r="AC19" s="5" t="s">
        <v>1973</v>
      </c>
      <c r="AD19" s="5" t="s">
        <v>1974</v>
      </c>
      <c r="AE19" s="5" t="s">
        <v>1975</v>
      </c>
      <c r="AF19" s="5" t="s">
        <v>24</v>
      </c>
      <c r="AG19" s="5" t="s">
        <v>24</v>
      </c>
      <c r="AH19" s="5" t="s">
        <v>24</v>
      </c>
      <c r="AI19" s="5" t="s">
        <v>24</v>
      </c>
      <c r="AJ19" s="5" t="s">
        <v>24</v>
      </c>
      <c r="AK19" s="5" t="s">
        <v>24</v>
      </c>
      <c r="AL19" s="5" t="str">
        <f>VLOOKUP(mambo!$H19,Sheet1!B:C,2,FALSE)</f>
        <v>1042388</v>
      </c>
    </row>
    <row r="20">
      <c r="A20" s="5" t="s">
        <v>1976</v>
      </c>
      <c r="B20" s="5" t="s">
        <v>1977</v>
      </c>
      <c r="C20" s="5" t="s">
        <v>227</v>
      </c>
      <c r="D20" s="5" t="s">
        <v>24</v>
      </c>
      <c r="E20" s="5" t="s">
        <v>1848</v>
      </c>
      <c r="F20" s="5" t="s">
        <v>1849</v>
      </c>
      <c r="G20" s="5" t="s">
        <v>24</v>
      </c>
      <c r="H20" s="5" t="s">
        <v>452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1885</v>
      </c>
      <c r="N20" s="5" t="s">
        <v>24</v>
      </c>
      <c r="O20" s="5" t="s">
        <v>1978</v>
      </c>
      <c r="P20" s="5" t="s">
        <v>24</v>
      </c>
      <c r="Q20" s="5" t="s">
        <v>24</v>
      </c>
      <c r="R20" s="5" t="s">
        <v>24</v>
      </c>
      <c r="S20" s="5" t="s">
        <v>1852</v>
      </c>
      <c r="T20" s="5" t="s">
        <v>1970</v>
      </c>
      <c r="U20" s="5" t="s">
        <v>1970</v>
      </c>
      <c r="V20" s="5" t="s">
        <v>1854</v>
      </c>
      <c r="W20" s="5" t="s">
        <v>24</v>
      </c>
      <c r="X20" s="5" t="s">
        <v>24</v>
      </c>
      <c r="Y20" s="5" t="s">
        <v>1979</v>
      </c>
      <c r="Z20" s="5" t="s">
        <v>1980</v>
      </c>
      <c r="AA20" s="5" t="s">
        <v>1980</v>
      </c>
      <c r="AB20" s="5" t="s">
        <v>1980</v>
      </c>
      <c r="AC20" s="5" t="s">
        <v>1981</v>
      </c>
      <c r="AD20" s="5" t="s">
        <v>1982</v>
      </c>
      <c r="AE20" s="5" t="s">
        <v>1983</v>
      </c>
      <c r="AF20" s="5" t="s">
        <v>24</v>
      </c>
      <c r="AG20" s="5" t="s">
        <v>24</v>
      </c>
      <c r="AH20" s="5" t="s">
        <v>24</v>
      </c>
      <c r="AI20" s="5" t="s">
        <v>24</v>
      </c>
      <c r="AJ20" s="5" t="s">
        <v>24</v>
      </c>
      <c r="AK20" s="5" t="s">
        <v>24</v>
      </c>
      <c r="AL20" s="5" t="str">
        <f>VLOOKUP(mambo!$H20,Sheet1!B:C,2,FALSE)</f>
        <v>1328047</v>
      </c>
    </row>
    <row r="21" ht="15.75" customHeight="1">
      <c r="A21" s="5" t="s">
        <v>1984</v>
      </c>
      <c r="B21" s="5" t="s">
        <v>1985</v>
      </c>
      <c r="C21" s="5" t="s">
        <v>227</v>
      </c>
      <c r="D21" s="5" t="s">
        <v>24</v>
      </c>
      <c r="E21" s="5" t="s">
        <v>1848</v>
      </c>
      <c r="F21" s="5" t="s">
        <v>1849</v>
      </c>
      <c r="G21" s="5" t="s">
        <v>24</v>
      </c>
      <c r="H21" s="5" t="s">
        <v>457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1885</v>
      </c>
      <c r="N21" s="5" t="s">
        <v>24</v>
      </c>
      <c r="O21" s="5" t="s">
        <v>1986</v>
      </c>
      <c r="P21" s="5" t="s">
        <v>24</v>
      </c>
      <c r="Q21" s="5" t="s">
        <v>24</v>
      </c>
      <c r="R21" s="5" t="s">
        <v>24</v>
      </c>
      <c r="S21" s="5" t="s">
        <v>1852</v>
      </c>
      <c r="T21" s="5" t="s">
        <v>1970</v>
      </c>
      <c r="U21" s="5" t="s">
        <v>1970</v>
      </c>
      <c r="V21" s="5" t="s">
        <v>1854</v>
      </c>
      <c r="W21" s="5" t="s">
        <v>24</v>
      </c>
      <c r="X21" s="5" t="s">
        <v>24</v>
      </c>
      <c r="Y21" s="5" t="s">
        <v>1987</v>
      </c>
      <c r="Z21" s="5" t="s">
        <v>1988</v>
      </c>
      <c r="AA21" s="5" t="s">
        <v>1988</v>
      </c>
      <c r="AB21" s="5" t="s">
        <v>1988</v>
      </c>
      <c r="AC21" s="5" t="s">
        <v>1989</v>
      </c>
      <c r="AD21" s="5" t="s">
        <v>1990</v>
      </c>
      <c r="AE21" s="5" t="s">
        <v>1991</v>
      </c>
      <c r="AF21" s="5" t="s">
        <v>24</v>
      </c>
      <c r="AG21" s="5" t="s">
        <v>24</v>
      </c>
      <c r="AH21" s="5" t="s">
        <v>24</v>
      </c>
      <c r="AI21" s="5" t="s">
        <v>24</v>
      </c>
      <c r="AJ21" s="5" t="s">
        <v>24</v>
      </c>
      <c r="AK21" s="5" t="s">
        <v>24</v>
      </c>
      <c r="AL21" s="5" t="str">
        <f>VLOOKUP(mambo!$H21,Sheet1!B:C,2,FALSE)</f>
        <v>1251696</v>
      </c>
    </row>
    <row r="22" ht="15.75" customHeight="1">
      <c r="A22" s="5" t="s">
        <v>1992</v>
      </c>
      <c r="B22" s="5" t="s">
        <v>1993</v>
      </c>
      <c r="C22" s="5" t="s">
        <v>227</v>
      </c>
      <c r="D22" s="5" t="s">
        <v>24</v>
      </c>
      <c r="E22" s="5" t="s">
        <v>1848</v>
      </c>
      <c r="F22" s="5" t="s">
        <v>1849</v>
      </c>
      <c r="G22" s="5" t="s">
        <v>24</v>
      </c>
      <c r="H22" s="5" t="s">
        <v>248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5" t="s">
        <v>1933</v>
      </c>
      <c r="P22" s="5" t="s">
        <v>24</v>
      </c>
      <c r="Q22" s="5" t="s">
        <v>24</v>
      </c>
      <c r="R22" s="5" t="s">
        <v>24</v>
      </c>
      <c r="S22" s="5" t="s">
        <v>1852</v>
      </c>
      <c r="T22" s="5" t="s">
        <v>1994</v>
      </c>
      <c r="U22" s="5" t="s">
        <v>1994</v>
      </c>
      <c r="V22" s="5" t="s">
        <v>1854</v>
      </c>
      <c r="W22" s="5" t="s">
        <v>24</v>
      </c>
      <c r="X22" s="5" t="s">
        <v>24</v>
      </c>
      <c r="Y22" s="5" t="s">
        <v>1995</v>
      </c>
      <c r="Z22" s="5" t="s">
        <v>1996</v>
      </c>
      <c r="AA22" s="5" t="s">
        <v>1996</v>
      </c>
      <c r="AB22" s="5" t="s">
        <v>1996</v>
      </c>
      <c r="AC22" s="5" t="s">
        <v>1997</v>
      </c>
      <c r="AD22" s="5" t="s">
        <v>1998</v>
      </c>
      <c r="AE22" s="5" t="s">
        <v>1999</v>
      </c>
      <c r="AF22" s="5" t="s">
        <v>2000</v>
      </c>
      <c r="AG22" s="5" t="s">
        <v>2001</v>
      </c>
      <c r="AH22" s="5" t="s">
        <v>2002</v>
      </c>
      <c r="AI22" s="5" t="s">
        <v>24</v>
      </c>
      <c r="AJ22" s="5" t="s">
        <v>24</v>
      </c>
      <c r="AK22" s="5" t="s">
        <v>24</v>
      </c>
      <c r="AL22" s="5" t="str">
        <f>VLOOKUP(mambo!$H22,Sheet1!B:C,2,FALSE)</f>
        <v>4586951</v>
      </c>
    </row>
    <row r="23" ht="15.75" hidden="1" customHeight="1">
      <c r="A23" s="5" t="s">
        <v>2003</v>
      </c>
      <c r="B23" s="5" t="s">
        <v>2004</v>
      </c>
      <c r="C23" s="5" t="s">
        <v>117</v>
      </c>
      <c r="D23" s="5" t="s">
        <v>24</v>
      </c>
      <c r="E23" s="5" t="s">
        <v>1848</v>
      </c>
      <c r="F23" s="5" t="s">
        <v>1849</v>
      </c>
      <c r="G23" s="5" t="s">
        <v>24</v>
      </c>
      <c r="H23" s="5" t="s">
        <v>2005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1933</v>
      </c>
      <c r="P23" s="5" t="s">
        <v>24</v>
      </c>
      <c r="Q23" s="5" t="s">
        <v>24</v>
      </c>
      <c r="R23" s="5" t="s">
        <v>24</v>
      </c>
      <c r="S23" s="5" t="s">
        <v>1852</v>
      </c>
      <c r="T23" s="5" t="s">
        <v>1994</v>
      </c>
      <c r="U23" s="5" t="s">
        <v>1994</v>
      </c>
      <c r="V23" s="5" t="s">
        <v>1854</v>
      </c>
      <c r="W23" s="5" t="s">
        <v>24</v>
      </c>
      <c r="X23" s="5" t="s">
        <v>24</v>
      </c>
      <c r="Y23" s="5" t="s">
        <v>2006</v>
      </c>
      <c r="Z23" s="5" t="s">
        <v>2007</v>
      </c>
      <c r="AA23" s="5" t="s">
        <v>2007</v>
      </c>
      <c r="AB23" s="5" t="s">
        <v>2007</v>
      </c>
      <c r="AC23" s="5" t="s">
        <v>2008</v>
      </c>
      <c r="AD23" s="5" t="s">
        <v>2009</v>
      </c>
      <c r="AE23" s="5" t="s">
        <v>2010</v>
      </c>
      <c r="AF23" s="5" t="s">
        <v>24</v>
      </c>
      <c r="AG23" s="5" t="s">
        <v>24</v>
      </c>
      <c r="AH23" s="5" t="s">
        <v>24</v>
      </c>
      <c r="AI23" s="5" t="s">
        <v>24</v>
      </c>
      <c r="AJ23" s="5" t="s">
        <v>24</v>
      </c>
      <c r="AK23" s="5" t="s">
        <v>24</v>
      </c>
      <c r="AL23" s="5" t="str">
        <f>VLOOKUP(mambo!$H23,Sheet1!B:C,2,FALSE)</f>
        <v>#N/A</v>
      </c>
    </row>
    <row r="24" ht="15.75" customHeight="1">
      <c r="A24" s="5" t="s">
        <v>2011</v>
      </c>
      <c r="B24" s="5" t="s">
        <v>2012</v>
      </c>
      <c r="C24" s="5" t="s">
        <v>106</v>
      </c>
      <c r="D24" s="5" t="s">
        <v>24</v>
      </c>
      <c r="E24" s="5" t="s">
        <v>1848</v>
      </c>
      <c r="F24" s="5" t="s">
        <v>1849</v>
      </c>
      <c r="G24" s="5" t="s">
        <v>24</v>
      </c>
      <c r="H24" s="5" t="s">
        <v>217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1933</v>
      </c>
      <c r="P24" s="5" t="s">
        <v>24</v>
      </c>
      <c r="Q24" s="5" t="s">
        <v>24</v>
      </c>
      <c r="R24" s="5" t="s">
        <v>24</v>
      </c>
      <c r="S24" s="5" t="s">
        <v>1852</v>
      </c>
      <c r="T24" s="5" t="s">
        <v>1994</v>
      </c>
      <c r="U24" s="5" t="s">
        <v>1994</v>
      </c>
      <c r="V24" s="5" t="s">
        <v>1854</v>
      </c>
      <c r="W24" s="5" t="s">
        <v>24</v>
      </c>
      <c r="X24" s="5" t="s">
        <v>24</v>
      </c>
      <c r="Y24" s="5" t="s">
        <v>2013</v>
      </c>
      <c r="Z24" s="5" t="s">
        <v>2014</v>
      </c>
      <c r="AA24" s="5" t="s">
        <v>2014</v>
      </c>
      <c r="AB24" s="5" t="s">
        <v>2014</v>
      </c>
      <c r="AC24" s="5" t="s">
        <v>2015</v>
      </c>
      <c r="AD24" s="5" t="s">
        <v>2016</v>
      </c>
      <c r="AE24" s="5" t="s">
        <v>24</v>
      </c>
      <c r="AF24" s="5" t="s">
        <v>24</v>
      </c>
      <c r="AG24" s="5" t="s">
        <v>24</v>
      </c>
      <c r="AH24" s="5" t="s">
        <v>24</v>
      </c>
      <c r="AI24" s="5" t="s">
        <v>24</v>
      </c>
      <c r="AJ24" s="5" t="s">
        <v>24</v>
      </c>
      <c r="AK24" s="5" t="s">
        <v>24</v>
      </c>
      <c r="AL24" s="5" t="str">
        <f>VLOOKUP(mambo!$H24,Sheet1!B:C,2,FALSE)</f>
        <v>0573313</v>
      </c>
    </row>
    <row r="25" ht="15.75" customHeight="1">
      <c r="A25" s="5" t="s">
        <v>2017</v>
      </c>
      <c r="B25" s="5" t="s">
        <v>2018</v>
      </c>
      <c r="C25" s="5" t="s">
        <v>2019</v>
      </c>
      <c r="D25" s="5" t="s">
        <v>24</v>
      </c>
      <c r="E25" s="5" t="s">
        <v>1848</v>
      </c>
      <c r="F25" s="5" t="s">
        <v>1849</v>
      </c>
      <c r="G25" s="5" t="s">
        <v>24</v>
      </c>
      <c r="H25" s="5" t="s">
        <v>1440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1885</v>
      </c>
      <c r="N25" s="5" t="s">
        <v>24</v>
      </c>
      <c r="O25" s="5" t="s">
        <v>1917</v>
      </c>
      <c r="P25" s="5" t="s">
        <v>24</v>
      </c>
      <c r="Q25" s="5" t="s">
        <v>24</v>
      </c>
      <c r="R25" s="5" t="s">
        <v>24</v>
      </c>
      <c r="S25" s="5" t="s">
        <v>2020</v>
      </c>
      <c r="T25" s="5" t="s">
        <v>2021</v>
      </c>
      <c r="U25" s="5" t="s">
        <v>2021</v>
      </c>
      <c r="V25" s="5" t="s">
        <v>24</v>
      </c>
      <c r="W25" s="5" t="s">
        <v>24</v>
      </c>
      <c r="X25" s="5" t="s">
        <v>24</v>
      </c>
      <c r="Y25" s="5" t="s">
        <v>2022</v>
      </c>
      <c r="Z25" s="5" t="s">
        <v>2023</v>
      </c>
      <c r="AA25" s="5" t="s">
        <v>2023</v>
      </c>
      <c r="AB25" s="5" t="s">
        <v>2023</v>
      </c>
      <c r="AC25" s="5" t="s">
        <v>24</v>
      </c>
      <c r="AD25" s="5" t="s">
        <v>24</v>
      </c>
      <c r="AE25" s="5" t="s">
        <v>24</v>
      </c>
      <c r="AF25" s="5" t="s">
        <v>24</v>
      </c>
      <c r="AG25" s="5" t="s">
        <v>24</v>
      </c>
      <c r="AH25" s="5" t="s">
        <v>24</v>
      </c>
      <c r="AI25" s="5" t="s">
        <v>24</v>
      </c>
      <c r="AJ25" s="5" t="s">
        <v>24</v>
      </c>
      <c r="AK25" s="5" t="s">
        <v>24</v>
      </c>
      <c r="AL25" s="5" t="str">
        <f>VLOOKUP(mambo!$H25,Sheet1!B:C,2,FALSE)</f>
        <v>1405510</v>
      </c>
    </row>
    <row r="26" ht="15.75" hidden="1" customHeight="1">
      <c r="A26" s="5" t="s">
        <v>2024</v>
      </c>
      <c r="B26" s="5" t="s">
        <v>1938</v>
      </c>
      <c r="C26" s="5" t="s">
        <v>145</v>
      </c>
      <c r="D26" s="5" t="s">
        <v>24</v>
      </c>
      <c r="E26" s="5" t="s">
        <v>1848</v>
      </c>
      <c r="F26" s="5" t="s">
        <v>1849</v>
      </c>
      <c r="G26" s="5" t="s">
        <v>24</v>
      </c>
      <c r="H26" s="5" t="s">
        <v>2025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1885</v>
      </c>
      <c r="N26" s="5" t="s">
        <v>24</v>
      </c>
      <c r="O26" s="5" t="s">
        <v>1917</v>
      </c>
      <c r="P26" s="5" t="s">
        <v>24</v>
      </c>
      <c r="Q26" s="5" t="s">
        <v>24</v>
      </c>
      <c r="R26" s="5" t="s">
        <v>24</v>
      </c>
      <c r="S26" s="5" t="s">
        <v>1852</v>
      </c>
      <c r="T26" s="5" t="s">
        <v>2026</v>
      </c>
      <c r="U26" s="5" t="s">
        <v>2026</v>
      </c>
      <c r="V26" s="5" t="s">
        <v>1854</v>
      </c>
      <c r="W26" s="5" t="s">
        <v>24</v>
      </c>
      <c r="X26" s="5" t="s">
        <v>24</v>
      </c>
      <c r="Y26" s="5" t="s">
        <v>2027</v>
      </c>
      <c r="Z26" s="5" t="s">
        <v>2028</v>
      </c>
      <c r="AA26" s="5" t="s">
        <v>2028</v>
      </c>
      <c r="AB26" s="5" t="s">
        <v>2028</v>
      </c>
      <c r="AC26" s="5" t="s">
        <v>24</v>
      </c>
      <c r="AD26" s="5" t="s">
        <v>24</v>
      </c>
      <c r="AE26" s="5" t="s">
        <v>24</v>
      </c>
      <c r="AF26" s="5" t="s">
        <v>24</v>
      </c>
      <c r="AG26" s="5" t="s">
        <v>24</v>
      </c>
      <c r="AH26" s="5" t="s">
        <v>24</v>
      </c>
      <c r="AI26" s="5" t="s">
        <v>24</v>
      </c>
      <c r="AJ26" s="5" t="s">
        <v>24</v>
      </c>
      <c r="AK26" s="5" t="s">
        <v>24</v>
      </c>
      <c r="AL26" s="5" t="str">
        <f>VLOOKUP(mambo!$H26,Sheet1!B:C,2,FALSE)</f>
        <v>#N/A</v>
      </c>
    </row>
    <row r="27" ht="15.75" hidden="1" customHeight="1">
      <c r="A27" s="5" t="s">
        <v>2029</v>
      </c>
      <c r="B27" s="5" t="s">
        <v>2030</v>
      </c>
      <c r="C27" s="5" t="s">
        <v>145</v>
      </c>
      <c r="D27" s="5" t="s">
        <v>24</v>
      </c>
      <c r="E27" s="5" t="s">
        <v>1848</v>
      </c>
      <c r="F27" s="5" t="s">
        <v>1849</v>
      </c>
      <c r="G27" s="5" t="s">
        <v>24</v>
      </c>
      <c r="H27" s="5" t="s">
        <v>2031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1885</v>
      </c>
      <c r="N27" s="5" t="s">
        <v>24</v>
      </c>
      <c r="O27" s="5" t="s">
        <v>1969</v>
      </c>
      <c r="P27" s="5" t="s">
        <v>24</v>
      </c>
      <c r="Q27" s="5" t="s">
        <v>24</v>
      </c>
      <c r="R27" s="5" t="s">
        <v>24</v>
      </c>
      <c r="S27" s="5" t="s">
        <v>1852</v>
      </c>
      <c r="T27" s="5" t="s">
        <v>2026</v>
      </c>
      <c r="U27" s="5" t="s">
        <v>2026</v>
      </c>
      <c r="V27" s="5" t="s">
        <v>1854</v>
      </c>
      <c r="W27" s="5" t="s">
        <v>24</v>
      </c>
      <c r="X27" s="5" t="s">
        <v>24</v>
      </c>
      <c r="Y27" s="5" t="s">
        <v>2032</v>
      </c>
      <c r="Z27" s="5" t="s">
        <v>2033</v>
      </c>
      <c r="AA27" s="5" t="s">
        <v>2033</v>
      </c>
      <c r="AB27" s="5" t="s">
        <v>2033</v>
      </c>
      <c r="AC27" s="5" t="s">
        <v>24</v>
      </c>
      <c r="AD27" s="5" t="s">
        <v>24</v>
      </c>
      <c r="AE27" s="5" t="s">
        <v>24</v>
      </c>
      <c r="AF27" s="5" t="s">
        <v>24</v>
      </c>
      <c r="AG27" s="5" t="s">
        <v>24</v>
      </c>
      <c r="AH27" s="5" t="s">
        <v>24</v>
      </c>
      <c r="AI27" s="5" t="s">
        <v>24</v>
      </c>
      <c r="AJ27" s="5" t="s">
        <v>24</v>
      </c>
      <c r="AK27" s="5" t="s">
        <v>24</v>
      </c>
      <c r="AL27" s="5" t="str">
        <f>VLOOKUP(mambo!$H27,Sheet1!B:C,2,FALSE)</f>
        <v>#N/A</v>
      </c>
    </row>
    <row r="28" ht="15.75" hidden="1" customHeight="1">
      <c r="A28" s="5" t="s">
        <v>2034</v>
      </c>
      <c r="B28" s="5" t="s">
        <v>2035</v>
      </c>
      <c r="C28" s="5" t="s">
        <v>145</v>
      </c>
      <c r="D28" s="5" t="s">
        <v>24</v>
      </c>
      <c r="E28" s="5" t="s">
        <v>1848</v>
      </c>
      <c r="F28" s="5" t="s">
        <v>1849</v>
      </c>
      <c r="G28" s="5" t="s">
        <v>24</v>
      </c>
      <c r="H28" s="5" t="s">
        <v>2036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1885</v>
      </c>
      <c r="N28" s="5" t="s">
        <v>24</v>
      </c>
      <c r="O28" s="5" t="s">
        <v>1969</v>
      </c>
      <c r="P28" s="5" t="s">
        <v>24</v>
      </c>
      <c r="Q28" s="5" t="s">
        <v>24</v>
      </c>
      <c r="R28" s="5" t="s">
        <v>24</v>
      </c>
      <c r="S28" s="5" t="s">
        <v>1852</v>
      </c>
      <c r="T28" s="5" t="s">
        <v>2026</v>
      </c>
      <c r="U28" s="5" t="s">
        <v>2026</v>
      </c>
      <c r="V28" s="5" t="s">
        <v>1854</v>
      </c>
      <c r="W28" s="5" t="s">
        <v>24</v>
      </c>
      <c r="X28" s="5" t="s">
        <v>24</v>
      </c>
      <c r="Y28" s="5" t="s">
        <v>2037</v>
      </c>
      <c r="Z28" s="5" t="s">
        <v>2038</v>
      </c>
      <c r="AA28" s="5" t="s">
        <v>2038</v>
      </c>
      <c r="AB28" s="5" t="s">
        <v>2038</v>
      </c>
      <c r="AC28" s="5" t="s">
        <v>24</v>
      </c>
      <c r="AD28" s="5" t="s">
        <v>24</v>
      </c>
      <c r="AE28" s="5" t="s">
        <v>24</v>
      </c>
      <c r="AF28" s="5" t="s">
        <v>24</v>
      </c>
      <c r="AG28" s="5" t="s">
        <v>24</v>
      </c>
      <c r="AH28" s="5" t="s">
        <v>24</v>
      </c>
      <c r="AI28" s="5" t="s">
        <v>24</v>
      </c>
      <c r="AJ28" s="5" t="s">
        <v>24</v>
      </c>
      <c r="AK28" s="5" t="s">
        <v>24</v>
      </c>
      <c r="AL28" s="5" t="str">
        <f>VLOOKUP(mambo!$H28,Sheet1!B:C,2,FALSE)</f>
        <v>#N/A</v>
      </c>
    </row>
    <row r="29" ht="15.75" hidden="1" customHeight="1">
      <c r="A29" s="5" t="s">
        <v>2039</v>
      </c>
      <c r="B29" s="5" t="s">
        <v>2040</v>
      </c>
      <c r="C29" s="5" t="s">
        <v>145</v>
      </c>
      <c r="D29" s="5" t="s">
        <v>24</v>
      </c>
      <c r="E29" s="5" t="s">
        <v>1848</v>
      </c>
      <c r="F29" s="5" t="s">
        <v>1849</v>
      </c>
      <c r="G29" s="5" t="s">
        <v>24</v>
      </c>
      <c r="H29" s="5" t="s">
        <v>2041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1885</v>
      </c>
      <c r="N29" s="5" t="s">
        <v>24</v>
      </c>
      <c r="O29" s="5" t="s">
        <v>1969</v>
      </c>
      <c r="P29" s="5" t="s">
        <v>24</v>
      </c>
      <c r="Q29" s="5" t="s">
        <v>24</v>
      </c>
      <c r="R29" s="5" t="s">
        <v>24</v>
      </c>
      <c r="S29" s="5" t="s">
        <v>1852</v>
      </c>
      <c r="T29" s="5" t="s">
        <v>2042</v>
      </c>
      <c r="U29" s="5" t="s">
        <v>2042</v>
      </c>
      <c r="V29" s="5" t="s">
        <v>1854</v>
      </c>
      <c r="W29" s="5" t="s">
        <v>24</v>
      </c>
      <c r="X29" s="5" t="s">
        <v>24</v>
      </c>
      <c r="Y29" s="5" t="s">
        <v>2043</v>
      </c>
      <c r="Z29" s="5" t="s">
        <v>2044</v>
      </c>
      <c r="AA29" s="5" t="s">
        <v>2044</v>
      </c>
      <c r="AB29" s="5" t="s">
        <v>2044</v>
      </c>
      <c r="AC29" s="5" t="s">
        <v>24</v>
      </c>
      <c r="AD29" s="5" t="s">
        <v>24</v>
      </c>
      <c r="AE29" s="5" t="s">
        <v>24</v>
      </c>
      <c r="AF29" s="5" t="s">
        <v>24</v>
      </c>
      <c r="AG29" s="5" t="s">
        <v>24</v>
      </c>
      <c r="AH29" s="5" t="s">
        <v>24</v>
      </c>
      <c r="AI29" s="5" t="s">
        <v>24</v>
      </c>
      <c r="AJ29" s="5" t="s">
        <v>24</v>
      </c>
      <c r="AK29" s="5" t="s">
        <v>24</v>
      </c>
      <c r="AL29" s="5" t="str">
        <f>VLOOKUP(mambo!$H29,Sheet1!B:C,2,FALSE)</f>
        <v>#N/A</v>
      </c>
    </row>
    <row r="30" ht="15.75" customHeight="1">
      <c r="A30" s="5" t="s">
        <v>2045</v>
      </c>
      <c r="B30" s="5" t="s">
        <v>2046</v>
      </c>
      <c r="C30" s="5" t="s">
        <v>336</v>
      </c>
      <c r="D30" s="5" t="s">
        <v>24</v>
      </c>
      <c r="E30" s="5" t="s">
        <v>1848</v>
      </c>
      <c r="F30" s="5" t="s">
        <v>1849</v>
      </c>
      <c r="G30" s="5" t="s">
        <v>24</v>
      </c>
      <c r="H30" s="5" t="s">
        <v>337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1885</v>
      </c>
      <c r="N30" s="5" t="s">
        <v>24</v>
      </c>
      <c r="O30" s="5" t="s">
        <v>1949</v>
      </c>
      <c r="P30" s="5" t="s">
        <v>24</v>
      </c>
      <c r="Q30" s="5" t="s">
        <v>24</v>
      </c>
      <c r="R30" s="5" t="s">
        <v>24</v>
      </c>
      <c r="S30" s="5" t="s">
        <v>1852</v>
      </c>
      <c r="T30" s="5" t="s">
        <v>2047</v>
      </c>
      <c r="U30" s="5" t="s">
        <v>2047</v>
      </c>
      <c r="V30" s="5" t="s">
        <v>1854</v>
      </c>
      <c r="W30" s="5" t="s">
        <v>24</v>
      </c>
      <c r="X30" s="5" t="s">
        <v>24</v>
      </c>
      <c r="Y30" s="5" t="s">
        <v>2048</v>
      </c>
      <c r="Z30" s="5" t="s">
        <v>2049</v>
      </c>
      <c r="AA30" s="5" t="s">
        <v>2049</v>
      </c>
      <c r="AB30" s="5" t="s">
        <v>2049</v>
      </c>
      <c r="AC30" s="5" t="s">
        <v>2050</v>
      </c>
      <c r="AD30" s="5" t="s">
        <v>2051</v>
      </c>
      <c r="AE30" s="5" t="s">
        <v>24</v>
      </c>
      <c r="AF30" s="5" t="s">
        <v>24</v>
      </c>
      <c r="AG30" s="5" t="s">
        <v>24</v>
      </c>
      <c r="AH30" s="5" t="s">
        <v>24</v>
      </c>
      <c r="AI30" s="5" t="s">
        <v>24</v>
      </c>
      <c r="AJ30" s="5" t="s">
        <v>24</v>
      </c>
      <c r="AK30" s="5" t="s">
        <v>24</v>
      </c>
      <c r="AL30" s="5" t="str">
        <f>VLOOKUP(mambo!$H30,Sheet1!B:C,2,FALSE)</f>
        <v>1244783</v>
      </c>
    </row>
    <row r="31" ht="15.75" customHeight="1">
      <c r="A31" s="5" t="s">
        <v>2052</v>
      </c>
      <c r="B31" s="5" t="s">
        <v>2053</v>
      </c>
      <c r="C31" s="5" t="s">
        <v>336</v>
      </c>
      <c r="D31" s="5" t="s">
        <v>24</v>
      </c>
      <c r="E31" s="5" t="s">
        <v>1848</v>
      </c>
      <c r="F31" s="5" t="s">
        <v>1849</v>
      </c>
      <c r="G31" s="5" t="s">
        <v>24</v>
      </c>
      <c r="H31" s="5" t="s">
        <v>824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1885</v>
      </c>
      <c r="N31" s="5" t="s">
        <v>24</v>
      </c>
      <c r="O31" s="5" t="s">
        <v>1949</v>
      </c>
      <c r="P31" s="5" t="s">
        <v>24</v>
      </c>
      <c r="Q31" s="5" t="s">
        <v>24</v>
      </c>
      <c r="R31" s="5" t="s">
        <v>24</v>
      </c>
      <c r="S31" s="5" t="s">
        <v>1852</v>
      </c>
      <c r="T31" s="5" t="s">
        <v>2047</v>
      </c>
      <c r="U31" s="5" t="s">
        <v>2047</v>
      </c>
      <c r="V31" s="5" t="s">
        <v>1854</v>
      </c>
      <c r="W31" s="5" t="s">
        <v>24</v>
      </c>
      <c r="X31" s="5" t="s">
        <v>24</v>
      </c>
      <c r="Y31" s="5" t="s">
        <v>2054</v>
      </c>
      <c r="Z31" s="5" t="s">
        <v>2055</v>
      </c>
      <c r="AA31" s="5" t="s">
        <v>2055</v>
      </c>
      <c r="AB31" s="5" t="s">
        <v>2055</v>
      </c>
      <c r="AC31" s="5" t="s">
        <v>2056</v>
      </c>
      <c r="AD31" s="5" t="s">
        <v>2057</v>
      </c>
      <c r="AE31" s="5" t="s">
        <v>24</v>
      </c>
      <c r="AF31" s="5" t="s">
        <v>24</v>
      </c>
      <c r="AG31" s="5" t="s">
        <v>24</v>
      </c>
      <c r="AH31" s="5" t="s">
        <v>24</v>
      </c>
      <c r="AI31" s="5" t="s">
        <v>24</v>
      </c>
      <c r="AJ31" s="5" t="s">
        <v>24</v>
      </c>
      <c r="AK31" s="5" t="s">
        <v>24</v>
      </c>
      <c r="AL31" s="5" t="str">
        <f>VLOOKUP(mambo!$H31,Sheet1!B:C,2,FALSE)</f>
        <v>1244781</v>
      </c>
    </row>
    <row r="32" ht="15.75" customHeight="1">
      <c r="A32" s="5" t="s">
        <v>2058</v>
      </c>
      <c r="B32" s="5" t="s">
        <v>2059</v>
      </c>
      <c r="C32" s="5" t="s">
        <v>336</v>
      </c>
      <c r="D32" s="5" t="s">
        <v>24</v>
      </c>
      <c r="E32" s="5" t="s">
        <v>1848</v>
      </c>
      <c r="F32" s="5" t="s">
        <v>1849</v>
      </c>
      <c r="G32" s="5" t="s">
        <v>24</v>
      </c>
      <c r="H32" s="5" t="s">
        <v>596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1885</v>
      </c>
      <c r="N32" s="5" t="s">
        <v>24</v>
      </c>
      <c r="O32" s="5" t="s">
        <v>1949</v>
      </c>
      <c r="P32" s="5" t="s">
        <v>24</v>
      </c>
      <c r="Q32" s="5" t="s">
        <v>24</v>
      </c>
      <c r="R32" s="5" t="s">
        <v>24</v>
      </c>
      <c r="S32" s="5" t="s">
        <v>1852</v>
      </c>
      <c r="T32" s="5" t="s">
        <v>2047</v>
      </c>
      <c r="U32" s="5" t="s">
        <v>2047</v>
      </c>
      <c r="V32" s="5" t="s">
        <v>1854</v>
      </c>
      <c r="W32" s="5" t="s">
        <v>24</v>
      </c>
      <c r="X32" s="5" t="s">
        <v>24</v>
      </c>
      <c r="Y32" s="5" t="s">
        <v>2060</v>
      </c>
      <c r="Z32" s="5" t="s">
        <v>2061</v>
      </c>
      <c r="AA32" s="5" t="s">
        <v>2061</v>
      </c>
      <c r="AB32" s="5" t="s">
        <v>2061</v>
      </c>
      <c r="AC32" s="5" t="s">
        <v>2062</v>
      </c>
      <c r="AD32" s="5" t="s">
        <v>2063</v>
      </c>
      <c r="AE32" s="5" t="s">
        <v>24</v>
      </c>
      <c r="AF32" s="5" t="s">
        <v>24</v>
      </c>
      <c r="AG32" s="5" t="s">
        <v>24</v>
      </c>
      <c r="AH32" s="5" t="s">
        <v>24</v>
      </c>
      <c r="AI32" s="5" t="s">
        <v>24</v>
      </c>
      <c r="AJ32" s="5" t="s">
        <v>24</v>
      </c>
      <c r="AK32" s="5" t="s">
        <v>24</v>
      </c>
      <c r="AL32" s="5" t="str">
        <f>VLOOKUP(mambo!$H32,Sheet1!B:C,2,FALSE)</f>
        <v>1244782</v>
      </c>
    </row>
    <row r="33" ht="15.75" customHeight="1">
      <c r="A33" s="5" t="s">
        <v>2064</v>
      </c>
      <c r="B33" s="5" t="s">
        <v>2065</v>
      </c>
      <c r="C33" s="5" t="s">
        <v>336</v>
      </c>
      <c r="D33" s="5" t="s">
        <v>24</v>
      </c>
      <c r="E33" s="5" t="s">
        <v>1848</v>
      </c>
      <c r="F33" s="5" t="s">
        <v>1849</v>
      </c>
      <c r="G33" s="5" t="s">
        <v>24</v>
      </c>
      <c r="H33" s="5" t="s">
        <v>1398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24</v>
      </c>
      <c r="N33" s="5" t="s">
        <v>24</v>
      </c>
      <c r="O33" s="5" t="s">
        <v>1933</v>
      </c>
      <c r="P33" s="5" t="s">
        <v>24</v>
      </c>
      <c r="Q33" s="5" t="s">
        <v>24</v>
      </c>
      <c r="R33" s="5" t="s">
        <v>24</v>
      </c>
      <c r="S33" s="5" t="s">
        <v>1852</v>
      </c>
      <c r="T33" s="5" t="s">
        <v>2066</v>
      </c>
      <c r="U33" s="5" t="s">
        <v>2066</v>
      </c>
      <c r="V33" s="5" t="s">
        <v>1854</v>
      </c>
      <c r="W33" s="5" t="s">
        <v>24</v>
      </c>
      <c r="X33" s="5" t="s">
        <v>24</v>
      </c>
      <c r="Y33" s="5" t="s">
        <v>2067</v>
      </c>
      <c r="Z33" s="5" t="s">
        <v>2068</v>
      </c>
      <c r="AA33" s="5" t="s">
        <v>2068</v>
      </c>
      <c r="AB33" s="5" t="s">
        <v>2068</v>
      </c>
      <c r="AC33" s="5" t="s">
        <v>24</v>
      </c>
      <c r="AD33" s="5" t="s">
        <v>24</v>
      </c>
      <c r="AE33" s="5" t="s">
        <v>24</v>
      </c>
      <c r="AF33" s="5" t="s">
        <v>24</v>
      </c>
      <c r="AG33" s="5" t="s">
        <v>24</v>
      </c>
      <c r="AH33" s="5" t="s">
        <v>24</v>
      </c>
      <c r="AI33" s="5" t="s">
        <v>24</v>
      </c>
      <c r="AJ33" s="5" t="s">
        <v>24</v>
      </c>
      <c r="AK33" s="5" t="s">
        <v>24</v>
      </c>
      <c r="AL33" s="5" t="str">
        <f>VLOOKUP(mambo!$H33,Sheet1!B:C,2,FALSE)</f>
        <v>4867753</v>
      </c>
    </row>
    <row r="34" ht="15.75" hidden="1" customHeight="1">
      <c r="A34" s="5" t="s">
        <v>2069</v>
      </c>
      <c r="B34" s="5" t="s">
        <v>2070</v>
      </c>
      <c r="C34" s="5" t="s">
        <v>1883</v>
      </c>
      <c r="D34" s="5" t="s">
        <v>24</v>
      </c>
      <c r="E34" s="5" t="s">
        <v>1848</v>
      </c>
      <c r="F34" s="5" t="s">
        <v>1849</v>
      </c>
      <c r="G34" s="5" t="s">
        <v>24</v>
      </c>
      <c r="H34" s="5" t="s">
        <v>2071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1885</v>
      </c>
      <c r="N34" s="5" t="s">
        <v>24</v>
      </c>
      <c r="O34" s="5" t="s">
        <v>1886</v>
      </c>
      <c r="P34" s="5" t="s">
        <v>24</v>
      </c>
      <c r="Q34" s="5" t="s">
        <v>24</v>
      </c>
      <c r="R34" s="5" t="s">
        <v>24</v>
      </c>
      <c r="S34" s="5" t="s">
        <v>1852</v>
      </c>
      <c r="T34" s="5" t="s">
        <v>1887</v>
      </c>
      <c r="U34" s="5" t="s">
        <v>1887</v>
      </c>
      <c r="V34" s="5" t="s">
        <v>1854</v>
      </c>
      <c r="W34" s="5" t="s">
        <v>24</v>
      </c>
      <c r="X34" s="5" t="s">
        <v>24</v>
      </c>
      <c r="Y34" s="5" t="s">
        <v>2072</v>
      </c>
      <c r="Z34" s="5" t="s">
        <v>2073</v>
      </c>
      <c r="AA34" s="5" t="s">
        <v>2073</v>
      </c>
      <c r="AB34" s="5" t="s">
        <v>2073</v>
      </c>
      <c r="AC34" s="5" t="s">
        <v>24</v>
      </c>
      <c r="AD34" s="5" t="s">
        <v>24</v>
      </c>
      <c r="AE34" s="5" t="s">
        <v>24</v>
      </c>
      <c r="AF34" s="5" t="s">
        <v>24</v>
      </c>
      <c r="AG34" s="5" t="s">
        <v>24</v>
      </c>
      <c r="AH34" s="5" t="s">
        <v>24</v>
      </c>
      <c r="AI34" s="5" t="s">
        <v>24</v>
      </c>
      <c r="AJ34" s="5" t="s">
        <v>24</v>
      </c>
      <c r="AK34" s="5" t="s">
        <v>24</v>
      </c>
      <c r="AL34" s="5" t="str">
        <f>VLOOKUP(mambo!$H34,Sheet1!B:C,2,FALSE)</f>
        <v>#N/A</v>
      </c>
    </row>
    <row r="35" ht="15.75" hidden="1" customHeight="1">
      <c r="A35" s="5" t="s">
        <v>2074</v>
      </c>
      <c r="B35" s="5" t="s">
        <v>2075</v>
      </c>
      <c r="C35" s="5" t="s">
        <v>117</v>
      </c>
      <c r="D35" s="5" t="s">
        <v>24</v>
      </c>
      <c r="E35" s="5" t="s">
        <v>1848</v>
      </c>
      <c r="F35" s="5" t="s">
        <v>1849</v>
      </c>
      <c r="G35" s="5" t="s">
        <v>24</v>
      </c>
      <c r="H35" s="5" t="s">
        <v>2076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1851</v>
      </c>
      <c r="P35" s="5" t="s">
        <v>24</v>
      </c>
      <c r="Q35" s="5" t="s">
        <v>24</v>
      </c>
      <c r="R35" s="5" t="s">
        <v>24</v>
      </c>
      <c r="S35" s="5" t="s">
        <v>1852</v>
      </c>
      <c r="T35" s="5" t="s">
        <v>2077</v>
      </c>
      <c r="U35" s="5" t="s">
        <v>2077</v>
      </c>
      <c r="V35" s="5" t="s">
        <v>1854</v>
      </c>
      <c r="W35" s="5" t="s">
        <v>24</v>
      </c>
      <c r="X35" s="5" t="s">
        <v>24</v>
      </c>
      <c r="Y35" s="5" t="s">
        <v>2078</v>
      </c>
      <c r="Z35" s="5" t="s">
        <v>2079</v>
      </c>
      <c r="AA35" s="5" t="s">
        <v>2079</v>
      </c>
      <c r="AB35" s="5" t="s">
        <v>2079</v>
      </c>
      <c r="AC35" s="5" t="s">
        <v>2080</v>
      </c>
      <c r="AD35" s="5" t="s">
        <v>2081</v>
      </c>
      <c r="AE35" s="5" t="s">
        <v>2082</v>
      </c>
      <c r="AF35" s="5" t="s">
        <v>24</v>
      </c>
      <c r="AG35" s="5" t="s">
        <v>24</v>
      </c>
      <c r="AH35" s="5" t="s">
        <v>24</v>
      </c>
      <c r="AI35" s="5" t="s">
        <v>24</v>
      </c>
      <c r="AJ35" s="5" t="s">
        <v>24</v>
      </c>
      <c r="AK35" s="5" t="s">
        <v>24</v>
      </c>
      <c r="AL35" s="5" t="str">
        <f>VLOOKUP(mambo!$H35,Sheet1!B:C,2,FALSE)</f>
        <v>#N/A</v>
      </c>
    </row>
    <row r="36" ht="15.75" customHeight="1">
      <c r="A36" s="5" t="s">
        <v>2083</v>
      </c>
      <c r="B36" s="5" t="s">
        <v>2084</v>
      </c>
      <c r="C36" s="5" t="s">
        <v>106</v>
      </c>
      <c r="D36" s="5" t="s">
        <v>24</v>
      </c>
      <c r="E36" s="5" t="s">
        <v>1848</v>
      </c>
      <c r="F36" s="5" t="s">
        <v>1849</v>
      </c>
      <c r="G36" s="5" t="s">
        <v>24</v>
      </c>
      <c r="H36" s="5" t="s">
        <v>123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1885</v>
      </c>
      <c r="N36" s="5" t="s">
        <v>24</v>
      </c>
      <c r="O36" s="5" t="s">
        <v>2085</v>
      </c>
      <c r="P36" s="5" t="s">
        <v>24</v>
      </c>
      <c r="Q36" s="5" t="s">
        <v>24</v>
      </c>
      <c r="R36" s="5" t="s">
        <v>24</v>
      </c>
      <c r="S36" s="5" t="s">
        <v>1852</v>
      </c>
      <c r="T36" s="5" t="s">
        <v>2086</v>
      </c>
      <c r="U36" s="5" t="s">
        <v>2086</v>
      </c>
      <c r="V36" s="5" t="s">
        <v>1854</v>
      </c>
      <c r="W36" s="5" t="s">
        <v>24</v>
      </c>
      <c r="X36" s="5" t="s">
        <v>24</v>
      </c>
      <c r="Y36" s="5" t="s">
        <v>2087</v>
      </c>
      <c r="Z36" s="5" t="s">
        <v>2088</v>
      </c>
      <c r="AA36" s="5" t="s">
        <v>2088</v>
      </c>
      <c r="AB36" s="5" t="s">
        <v>2088</v>
      </c>
      <c r="AC36" s="5" t="s">
        <v>2089</v>
      </c>
      <c r="AD36" s="5" t="s">
        <v>2090</v>
      </c>
      <c r="AE36" s="5" t="s">
        <v>2091</v>
      </c>
      <c r="AF36" s="5" t="s">
        <v>2092</v>
      </c>
      <c r="AG36" s="5" t="s">
        <v>24</v>
      </c>
      <c r="AH36" s="5" t="s">
        <v>24</v>
      </c>
      <c r="AI36" s="5" t="s">
        <v>24</v>
      </c>
      <c r="AJ36" s="5" t="s">
        <v>24</v>
      </c>
      <c r="AK36" s="5" t="s">
        <v>24</v>
      </c>
      <c r="AL36" s="5" t="str">
        <f>VLOOKUP(mambo!$H36,Sheet1!B:C,2,FALSE)</f>
        <v>1148942</v>
      </c>
    </row>
    <row r="37" ht="15.75" customHeight="1">
      <c r="A37" s="5" t="s">
        <v>2093</v>
      </c>
      <c r="B37" s="5" t="s">
        <v>150</v>
      </c>
      <c r="C37" s="5" t="s">
        <v>106</v>
      </c>
      <c r="D37" s="5" t="s">
        <v>24</v>
      </c>
      <c r="E37" s="5" t="s">
        <v>1848</v>
      </c>
      <c r="F37" s="5" t="s">
        <v>1849</v>
      </c>
      <c r="G37" s="5" t="s">
        <v>24</v>
      </c>
      <c r="H37" s="5" t="s">
        <v>151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1885</v>
      </c>
      <c r="N37" s="5" t="s">
        <v>24</v>
      </c>
      <c r="O37" s="5" t="s">
        <v>2085</v>
      </c>
      <c r="P37" s="5" t="s">
        <v>24</v>
      </c>
      <c r="Q37" s="5" t="s">
        <v>24</v>
      </c>
      <c r="R37" s="5" t="s">
        <v>24</v>
      </c>
      <c r="S37" s="5" t="s">
        <v>1852</v>
      </c>
      <c r="T37" s="5" t="s">
        <v>2086</v>
      </c>
      <c r="U37" s="5" t="s">
        <v>2086</v>
      </c>
      <c r="V37" s="5" t="s">
        <v>1854</v>
      </c>
      <c r="W37" s="5" t="s">
        <v>24</v>
      </c>
      <c r="X37" s="5" t="s">
        <v>24</v>
      </c>
      <c r="Y37" s="5" t="s">
        <v>2094</v>
      </c>
      <c r="Z37" s="5" t="s">
        <v>2095</v>
      </c>
      <c r="AA37" s="5" t="s">
        <v>2095</v>
      </c>
      <c r="AB37" s="5" t="s">
        <v>2095</v>
      </c>
      <c r="AC37" s="5" t="s">
        <v>2096</v>
      </c>
      <c r="AD37" s="5" t="s">
        <v>2097</v>
      </c>
      <c r="AE37" s="5" t="s">
        <v>2098</v>
      </c>
      <c r="AF37" s="5" t="s">
        <v>2099</v>
      </c>
      <c r="AG37" s="5" t="s">
        <v>24</v>
      </c>
      <c r="AH37" s="5" t="s">
        <v>24</v>
      </c>
      <c r="AI37" s="5" t="s">
        <v>24</v>
      </c>
      <c r="AJ37" s="5" t="s">
        <v>24</v>
      </c>
      <c r="AK37" s="5" t="s">
        <v>24</v>
      </c>
      <c r="AL37" s="5" t="str">
        <f>VLOOKUP(mambo!$H37,Sheet1!B:C,2,FALSE)</f>
        <v>1148946</v>
      </c>
    </row>
    <row r="38" ht="15.75" customHeight="1">
      <c r="A38" s="5" t="s">
        <v>2100</v>
      </c>
      <c r="B38" s="5" t="s">
        <v>2101</v>
      </c>
      <c r="C38" s="5" t="s">
        <v>106</v>
      </c>
      <c r="D38" s="5" t="s">
        <v>24</v>
      </c>
      <c r="E38" s="5" t="s">
        <v>1848</v>
      </c>
      <c r="F38" s="5" t="s">
        <v>1849</v>
      </c>
      <c r="G38" s="5" t="s">
        <v>24</v>
      </c>
      <c r="H38" s="5" t="s">
        <v>222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1885</v>
      </c>
      <c r="N38" s="5" t="s">
        <v>24</v>
      </c>
      <c r="O38" s="5" t="s">
        <v>2085</v>
      </c>
      <c r="P38" s="5" t="s">
        <v>24</v>
      </c>
      <c r="Q38" s="5" t="s">
        <v>24</v>
      </c>
      <c r="R38" s="5" t="s">
        <v>24</v>
      </c>
      <c r="S38" s="5" t="s">
        <v>1852</v>
      </c>
      <c r="T38" s="5" t="s">
        <v>2086</v>
      </c>
      <c r="U38" s="5" t="s">
        <v>2086</v>
      </c>
      <c r="V38" s="5" t="s">
        <v>1854</v>
      </c>
      <c r="W38" s="5" t="s">
        <v>24</v>
      </c>
      <c r="X38" s="5" t="s">
        <v>24</v>
      </c>
      <c r="Y38" s="5" t="s">
        <v>2102</v>
      </c>
      <c r="Z38" s="5" t="s">
        <v>2103</v>
      </c>
      <c r="AA38" s="5" t="s">
        <v>2103</v>
      </c>
      <c r="AB38" s="5" t="s">
        <v>2103</v>
      </c>
      <c r="AC38" s="5" t="s">
        <v>2104</v>
      </c>
      <c r="AD38" s="5" t="s">
        <v>2105</v>
      </c>
      <c r="AE38" s="5" t="s">
        <v>2106</v>
      </c>
      <c r="AF38" s="5" t="s">
        <v>2107</v>
      </c>
      <c r="AG38" s="5" t="s">
        <v>24</v>
      </c>
      <c r="AH38" s="5" t="s">
        <v>24</v>
      </c>
      <c r="AI38" s="5" t="s">
        <v>24</v>
      </c>
      <c r="AJ38" s="5" t="s">
        <v>24</v>
      </c>
      <c r="AK38" s="5" t="s">
        <v>24</v>
      </c>
      <c r="AL38" s="5" t="str">
        <f>VLOOKUP(mambo!$H38,Sheet1!B:C,2,FALSE)</f>
        <v>1148945</v>
      </c>
    </row>
    <row r="39" ht="15.75" hidden="1" customHeight="1">
      <c r="A39" s="5" t="s">
        <v>2108</v>
      </c>
      <c r="B39" s="5" t="s">
        <v>2109</v>
      </c>
      <c r="C39" s="5" t="s">
        <v>227</v>
      </c>
      <c r="D39" s="5" t="s">
        <v>24</v>
      </c>
      <c r="E39" s="5" t="s">
        <v>1848</v>
      </c>
      <c r="F39" s="5" t="s">
        <v>1849</v>
      </c>
      <c r="G39" s="5" t="s">
        <v>24</v>
      </c>
      <c r="H39" s="5" t="s">
        <v>2110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1885</v>
      </c>
      <c r="N39" s="5" t="s">
        <v>24</v>
      </c>
      <c r="O39" s="5" t="s">
        <v>1986</v>
      </c>
      <c r="P39" s="5" t="s">
        <v>24</v>
      </c>
      <c r="Q39" s="5" t="s">
        <v>24</v>
      </c>
      <c r="R39" s="5" t="s">
        <v>24</v>
      </c>
      <c r="S39" s="5" t="s">
        <v>1852</v>
      </c>
      <c r="T39" s="5" t="s">
        <v>1970</v>
      </c>
      <c r="U39" s="5" t="s">
        <v>1970</v>
      </c>
      <c r="V39" s="5" t="s">
        <v>1854</v>
      </c>
      <c r="W39" s="5" t="s">
        <v>24</v>
      </c>
      <c r="X39" s="5" t="s">
        <v>24</v>
      </c>
      <c r="Y39" s="5" t="s">
        <v>2111</v>
      </c>
      <c r="Z39" s="5" t="s">
        <v>2112</v>
      </c>
      <c r="AA39" s="5" t="s">
        <v>2112</v>
      </c>
      <c r="AB39" s="5" t="s">
        <v>2112</v>
      </c>
      <c r="AC39" s="5" t="s">
        <v>2113</v>
      </c>
      <c r="AD39" s="5" t="s">
        <v>2114</v>
      </c>
      <c r="AE39" s="5" t="s">
        <v>2115</v>
      </c>
      <c r="AF39" s="5" t="s">
        <v>24</v>
      </c>
      <c r="AG39" s="5" t="s">
        <v>24</v>
      </c>
      <c r="AH39" s="5" t="s">
        <v>24</v>
      </c>
      <c r="AI39" s="5" t="s">
        <v>24</v>
      </c>
      <c r="AJ39" s="5" t="s">
        <v>24</v>
      </c>
      <c r="AK39" s="5" t="s">
        <v>24</v>
      </c>
      <c r="AL39" s="5" t="str">
        <f>VLOOKUP(mambo!$H39,Sheet1!B:C,2,FALSE)</f>
        <v>#N/A</v>
      </c>
    </row>
    <row r="40" ht="15.75" hidden="1" customHeight="1">
      <c r="A40" s="5" t="s">
        <v>2116</v>
      </c>
      <c r="B40" s="5" t="s">
        <v>2117</v>
      </c>
      <c r="C40" s="5" t="s">
        <v>227</v>
      </c>
      <c r="D40" s="5" t="s">
        <v>24</v>
      </c>
      <c r="E40" s="5" t="s">
        <v>1848</v>
      </c>
      <c r="F40" s="5" t="s">
        <v>1849</v>
      </c>
      <c r="G40" s="5" t="s">
        <v>24</v>
      </c>
      <c r="H40" s="5" t="s">
        <v>2118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1885</v>
      </c>
      <c r="N40" s="5" t="s">
        <v>24</v>
      </c>
      <c r="O40" s="5" t="s">
        <v>1986</v>
      </c>
      <c r="P40" s="5" t="s">
        <v>24</v>
      </c>
      <c r="Q40" s="5" t="s">
        <v>24</v>
      </c>
      <c r="R40" s="5" t="s">
        <v>24</v>
      </c>
      <c r="S40" s="5" t="s">
        <v>1852</v>
      </c>
      <c r="T40" s="5" t="s">
        <v>1970</v>
      </c>
      <c r="U40" s="5" t="s">
        <v>1970</v>
      </c>
      <c r="V40" s="5" t="s">
        <v>1854</v>
      </c>
      <c r="W40" s="5" t="s">
        <v>24</v>
      </c>
      <c r="X40" s="5" t="s">
        <v>24</v>
      </c>
      <c r="Y40" s="5" t="s">
        <v>2119</v>
      </c>
      <c r="Z40" s="5" t="s">
        <v>2120</v>
      </c>
      <c r="AA40" s="5" t="s">
        <v>2120</v>
      </c>
      <c r="AB40" s="5" t="s">
        <v>2120</v>
      </c>
      <c r="AC40" s="5" t="s">
        <v>2121</v>
      </c>
      <c r="AD40" s="5" t="s">
        <v>2122</v>
      </c>
      <c r="AE40" s="5" t="s">
        <v>2123</v>
      </c>
      <c r="AF40" s="5" t="s">
        <v>24</v>
      </c>
      <c r="AG40" s="5" t="s">
        <v>24</v>
      </c>
      <c r="AH40" s="5" t="s">
        <v>24</v>
      </c>
      <c r="AI40" s="5" t="s">
        <v>24</v>
      </c>
      <c r="AJ40" s="5" t="s">
        <v>24</v>
      </c>
      <c r="AK40" s="5" t="s">
        <v>24</v>
      </c>
      <c r="AL40" s="5" t="str">
        <f>VLOOKUP(mambo!$H40,Sheet1!B:C,2,FALSE)</f>
        <v>#N/A</v>
      </c>
    </row>
    <row r="41" ht="15.75" customHeight="1">
      <c r="A41" s="5" t="s">
        <v>2124</v>
      </c>
      <c r="B41" s="5" t="s">
        <v>2125</v>
      </c>
      <c r="C41" s="5" t="s">
        <v>2126</v>
      </c>
      <c r="D41" s="5" t="s">
        <v>24</v>
      </c>
      <c r="E41" s="5" t="s">
        <v>1848</v>
      </c>
      <c r="F41" s="5" t="s">
        <v>1849</v>
      </c>
      <c r="G41" s="5" t="s">
        <v>24</v>
      </c>
      <c r="H41" s="5" t="s">
        <v>171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1885</v>
      </c>
      <c r="N41" s="5" t="s">
        <v>24</v>
      </c>
      <c r="O41" s="5" t="s">
        <v>2085</v>
      </c>
      <c r="P41" s="5" t="s">
        <v>24</v>
      </c>
      <c r="Q41" s="5" t="s">
        <v>24</v>
      </c>
      <c r="R41" s="5" t="s">
        <v>24</v>
      </c>
      <c r="S41" s="5" t="s">
        <v>1852</v>
      </c>
      <c r="T41" s="5" t="s">
        <v>2127</v>
      </c>
      <c r="U41" s="5" t="s">
        <v>2127</v>
      </c>
      <c r="V41" s="5" t="s">
        <v>1854</v>
      </c>
      <c r="W41" s="5" t="s">
        <v>24</v>
      </c>
      <c r="X41" s="5" t="s">
        <v>24</v>
      </c>
      <c r="Y41" s="5" t="s">
        <v>2128</v>
      </c>
      <c r="Z41" s="5" t="s">
        <v>2129</v>
      </c>
      <c r="AA41" s="5" t="s">
        <v>2129</v>
      </c>
      <c r="AB41" s="5" t="s">
        <v>2129</v>
      </c>
      <c r="AC41" s="5" t="s">
        <v>2130</v>
      </c>
      <c r="AD41" s="5" t="s">
        <v>2131</v>
      </c>
      <c r="AE41" s="5" t="s">
        <v>2132</v>
      </c>
      <c r="AF41" s="5" t="s">
        <v>24</v>
      </c>
      <c r="AG41" s="5" t="s">
        <v>24</v>
      </c>
      <c r="AH41" s="5" t="s">
        <v>24</v>
      </c>
      <c r="AI41" s="5" t="s">
        <v>24</v>
      </c>
      <c r="AJ41" s="5" t="s">
        <v>24</v>
      </c>
      <c r="AK41" s="5" t="s">
        <v>24</v>
      </c>
      <c r="AL41" s="5" t="str">
        <f>VLOOKUP(mambo!$H41,Sheet1!B:C,2,FALSE)</f>
        <v>1172532</v>
      </c>
    </row>
    <row r="42" ht="15.75" customHeight="1">
      <c r="A42" s="5" t="s">
        <v>2133</v>
      </c>
      <c r="B42" s="5" t="s">
        <v>2134</v>
      </c>
      <c r="C42" s="5" t="s">
        <v>227</v>
      </c>
      <c r="D42" s="5" t="s">
        <v>24</v>
      </c>
      <c r="E42" s="5" t="s">
        <v>1848</v>
      </c>
      <c r="F42" s="5" t="s">
        <v>1849</v>
      </c>
      <c r="G42" s="5" t="s">
        <v>24</v>
      </c>
      <c r="H42" s="5" t="s">
        <v>76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1885</v>
      </c>
      <c r="N42" s="5" t="s">
        <v>24</v>
      </c>
      <c r="O42" s="5" t="s">
        <v>1986</v>
      </c>
      <c r="P42" s="5" t="s">
        <v>24</v>
      </c>
      <c r="Q42" s="5" t="s">
        <v>24</v>
      </c>
      <c r="R42" s="5" t="s">
        <v>24</v>
      </c>
      <c r="S42" s="5" t="s">
        <v>1852</v>
      </c>
      <c r="T42" s="5" t="s">
        <v>1970</v>
      </c>
      <c r="U42" s="5" t="s">
        <v>1970</v>
      </c>
      <c r="V42" s="5" t="s">
        <v>1854</v>
      </c>
      <c r="W42" s="5" t="s">
        <v>24</v>
      </c>
      <c r="X42" s="5" t="s">
        <v>24</v>
      </c>
      <c r="Y42" s="5" t="s">
        <v>2135</v>
      </c>
      <c r="Z42" s="5" t="s">
        <v>2136</v>
      </c>
      <c r="AA42" s="5" t="s">
        <v>2136</v>
      </c>
      <c r="AB42" s="5" t="s">
        <v>2136</v>
      </c>
      <c r="AC42" s="5" t="s">
        <v>2137</v>
      </c>
      <c r="AD42" s="5" t="s">
        <v>2138</v>
      </c>
      <c r="AE42" s="5" t="s">
        <v>2139</v>
      </c>
      <c r="AF42" s="5" t="s">
        <v>24</v>
      </c>
      <c r="AG42" s="5" t="s">
        <v>24</v>
      </c>
      <c r="AH42" s="5" t="s">
        <v>24</v>
      </c>
      <c r="AI42" s="5" t="s">
        <v>24</v>
      </c>
      <c r="AJ42" s="5" t="s">
        <v>24</v>
      </c>
      <c r="AK42" s="5" t="s">
        <v>24</v>
      </c>
      <c r="AL42" s="5" t="str">
        <f>VLOOKUP(mambo!$H42,Sheet1!B:C,2,FALSE)</f>
        <v>1042611</v>
      </c>
    </row>
    <row r="43" ht="15.75" customHeight="1">
      <c r="A43" s="5" t="s">
        <v>2140</v>
      </c>
      <c r="B43" s="5" t="s">
        <v>2141</v>
      </c>
      <c r="C43" s="5" t="s">
        <v>2126</v>
      </c>
      <c r="D43" s="5" t="s">
        <v>24</v>
      </c>
      <c r="E43" s="5" t="s">
        <v>1848</v>
      </c>
      <c r="F43" s="5" t="s">
        <v>1849</v>
      </c>
      <c r="G43" s="5" t="s">
        <v>24</v>
      </c>
      <c r="H43" s="5" t="s">
        <v>207</v>
      </c>
      <c r="I43" s="5" t="s">
        <v>24</v>
      </c>
      <c r="J43" s="5" t="s">
        <v>24</v>
      </c>
      <c r="K43" s="5" t="s">
        <v>24</v>
      </c>
      <c r="L43" s="5" t="s">
        <v>24</v>
      </c>
      <c r="M43" s="5" t="s">
        <v>1885</v>
      </c>
      <c r="N43" s="5" t="s">
        <v>24</v>
      </c>
      <c r="O43" s="5" t="s">
        <v>24</v>
      </c>
      <c r="P43" s="5" t="s">
        <v>24</v>
      </c>
      <c r="Q43" s="5" t="s">
        <v>24</v>
      </c>
      <c r="R43" s="5" t="s">
        <v>24</v>
      </c>
      <c r="S43" s="5" t="s">
        <v>1852</v>
      </c>
      <c r="T43" s="5" t="s">
        <v>2127</v>
      </c>
      <c r="U43" s="5" t="s">
        <v>2127</v>
      </c>
      <c r="V43" s="5" t="s">
        <v>1854</v>
      </c>
      <c r="W43" s="5" t="s">
        <v>24</v>
      </c>
      <c r="X43" s="5" t="s">
        <v>24</v>
      </c>
      <c r="Y43" s="5" t="s">
        <v>2142</v>
      </c>
      <c r="Z43" s="5" t="s">
        <v>2143</v>
      </c>
      <c r="AA43" s="5" t="s">
        <v>2143</v>
      </c>
      <c r="AB43" s="5" t="s">
        <v>2143</v>
      </c>
      <c r="AC43" s="5" t="s">
        <v>24</v>
      </c>
      <c r="AD43" s="5" t="s">
        <v>24</v>
      </c>
      <c r="AE43" s="5" t="s">
        <v>24</v>
      </c>
      <c r="AF43" s="5" t="s">
        <v>24</v>
      </c>
      <c r="AG43" s="5" t="s">
        <v>24</v>
      </c>
      <c r="AH43" s="5" t="s">
        <v>24</v>
      </c>
      <c r="AI43" s="5" t="s">
        <v>24</v>
      </c>
      <c r="AJ43" s="5" t="s">
        <v>24</v>
      </c>
      <c r="AK43" s="5" t="s">
        <v>24</v>
      </c>
      <c r="AL43" s="5" t="str">
        <f>VLOOKUP(mambo!$H43,Sheet1!B:C,2,FALSE)</f>
        <v>1130390</v>
      </c>
    </row>
    <row r="44" ht="15.75" hidden="1" customHeight="1">
      <c r="A44" s="5" t="s">
        <v>2144</v>
      </c>
      <c r="B44" s="5" t="s">
        <v>2145</v>
      </c>
      <c r="C44" s="5" t="s">
        <v>2146</v>
      </c>
      <c r="D44" s="5" t="s">
        <v>24</v>
      </c>
      <c r="E44" s="5" t="s">
        <v>1848</v>
      </c>
      <c r="F44" s="5" t="s">
        <v>1849</v>
      </c>
      <c r="G44" s="5" t="s">
        <v>24</v>
      </c>
      <c r="H44" s="5" t="s">
        <v>2147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24</v>
      </c>
      <c r="N44" s="5" t="s">
        <v>24</v>
      </c>
      <c r="O44" s="5" t="s">
        <v>2148</v>
      </c>
      <c r="P44" s="5" t="s">
        <v>24</v>
      </c>
      <c r="Q44" s="5" t="s">
        <v>24</v>
      </c>
      <c r="R44" s="5" t="s">
        <v>24</v>
      </c>
      <c r="S44" s="5" t="s">
        <v>1852</v>
      </c>
      <c r="T44" s="5" t="s">
        <v>2149</v>
      </c>
      <c r="U44" s="5" t="s">
        <v>2149</v>
      </c>
      <c r="V44" s="5" t="s">
        <v>1854</v>
      </c>
      <c r="W44" s="5" t="s">
        <v>24</v>
      </c>
      <c r="X44" s="5" t="s">
        <v>24</v>
      </c>
      <c r="Y44" s="5" t="s">
        <v>2150</v>
      </c>
      <c r="Z44" s="5" t="s">
        <v>2151</v>
      </c>
      <c r="AA44" s="5" t="s">
        <v>2151</v>
      </c>
      <c r="AB44" s="5" t="s">
        <v>2151</v>
      </c>
      <c r="AC44" s="5" t="s">
        <v>24</v>
      </c>
      <c r="AD44" s="5" t="s">
        <v>24</v>
      </c>
      <c r="AE44" s="5" t="s">
        <v>24</v>
      </c>
      <c r="AF44" s="5" t="s">
        <v>24</v>
      </c>
      <c r="AG44" s="5" t="s">
        <v>24</v>
      </c>
      <c r="AH44" s="5" t="s">
        <v>24</v>
      </c>
      <c r="AI44" s="5" t="s">
        <v>24</v>
      </c>
      <c r="AJ44" s="5" t="s">
        <v>24</v>
      </c>
      <c r="AK44" s="5" t="s">
        <v>24</v>
      </c>
      <c r="AL44" s="5" t="str">
        <f>VLOOKUP(mambo!$H44,Sheet1!B:C,2,FALSE)</f>
        <v>#N/A</v>
      </c>
    </row>
    <row r="45" ht="15.75" hidden="1" customHeight="1">
      <c r="A45" s="5" t="s">
        <v>2152</v>
      </c>
      <c r="B45" s="5" t="s">
        <v>2153</v>
      </c>
      <c r="C45" s="5" t="s">
        <v>2154</v>
      </c>
      <c r="D45" s="5" t="s">
        <v>24</v>
      </c>
      <c r="E45" s="5" t="s">
        <v>1848</v>
      </c>
      <c r="F45" s="5" t="s">
        <v>1849</v>
      </c>
      <c r="G45" s="5" t="s">
        <v>24</v>
      </c>
      <c r="H45" s="5" t="s">
        <v>2155</v>
      </c>
      <c r="I45" s="5" t="s">
        <v>24</v>
      </c>
      <c r="J45" s="5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2148</v>
      </c>
      <c r="P45" s="5" t="s">
        <v>24</v>
      </c>
      <c r="Q45" s="5" t="s">
        <v>24</v>
      </c>
      <c r="R45" s="5" t="s">
        <v>24</v>
      </c>
      <c r="S45" s="5" t="s">
        <v>1852</v>
      </c>
      <c r="T45" s="5" t="s">
        <v>2156</v>
      </c>
      <c r="U45" s="5" t="s">
        <v>2156</v>
      </c>
      <c r="V45" s="5" t="s">
        <v>1854</v>
      </c>
      <c r="W45" s="5" t="s">
        <v>24</v>
      </c>
      <c r="X45" s="5" t="s">
        <v>24</v>
      </c>
      <c r="Y45" s="5" t="s">
        <v>2157</v>
      </c>
      <c r="Z45" s="5" t="s">
        <v>2158</v>
      </c>
      <c r="AA45" s="5" t="s">
        <v>2158</v>
      </c>
      <c r="AB45" s="5" t="s">
        <v>2158</v>
      </c>
      <c r="AC45" s="5" t="s">
        <v>24</v>
      </c>
      <c r="AD45" s="5" t="s">
        <v>24</v>
      </c>
      <c r="AE45" s="5" t="s">
        <v>24</v>
      </c>
      <c r="AF45" s="5" t="s">
        <v>24</v>
      </c>
      <c r="AG45" s="5" t="s">
        <v>24</v>
      </c>
      <c r="AH45" s="5" t="s">
        <v>24</v>
      </c>
      <c r="AI45" s="5" t="s">
        <v>24</v>
      </c>
      <c r="AJ45" s="5" t="s">
        <v>24</v>
      </c>
      <c r="AK45" s="5" t="s">
        <v>24</v>
      </c>
      <c r="AL45" s="5" t="str">
        <f>VLOOKUP(mambo!$H45,Sheet1!B:C,2,FALSE)</f>
        <v>#N/A</v>
      </c>
    </row>
    <row r="46" ht="15.75" customHeight="1">
      <c r="A46" s="5" t="s">
        <v>2159</v>
      </c>
      <c r="B46" s="5" t="s">
        <v>2160</v>
      </c>
      <c r="C46" s="5" t="s">
        <v>2126</v>
      </c>
      <c r="D46" s="5" t="s">
        <v>24</v>
      </c>
      <c r="E46" s="5" t="s">
        <v>1848</v>
      </c>
      <c r="F46" s="5" t="s">
        <v>1849</v>
      </c>
      <c r="G46" s="5" t="s">
        <v>24</v>
      </c>
      <c r="H46" s="5" t="s">
        <v>91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1885</v>
      </c>
      <c r="N46" s="5" t="s">
        <v>24</v>
      </c>
      <c r="O46" s="5" t="s">
        <v>2085</v>
      </c>
      <c r="P46" s="5" t="s">
        <v>24</v>
      </c>
      <c r="Q46" s="5" t="s">
        <v>24</v>
      </c>
      <c r="R46" s="5" t="s">
        <v>24</v>
      </c>
      <c r="S46" s="5" t="s">
        <v>1852</v>
      </c>
      <c r="T46" s="5" t="s">
        <v>2127</v>
      </c>
      <c r="U46" s="5" t="s">
        <v>2127</v>
      </c>
      <c r="V46" s="5" t="s">
        <v>1854</v>
      </c>
      <c r="W46" s="5" t="s">
        <v>24</v>
      </c>
      <c r="X46" s="5" t="s">
        <v>24</v>
      </c>
      <c r="Y46" s="5" t="s">
        <v>2161</v>
      </c>
      <c r="Z46" s="5" t="s">
        <v>2162</v>
      </c>
      <c r="AA46" s="5" t="s">
        <v>2162</v>
      </c>
      <c r="AB46" s="5" t="s">
        <v>2162</v>
      </c>
      <c r="AC46" s="5" t="s">
        <v>2163</v>
      </c>
      <c r="AD46" s="5" t="s">
        <v>2164</v>
      </c>
      <c r="AE46" s="5" t="s">
        <v>2165</v>
      </c>
      <c r="AF46" s="5" t="s">
        <v>24</v>
      </c>
      <c r="AG46" s="5" t="s">
        <v>24</v>
      </c>
      <c r="AH46" s="5" t="s">
        <v>24</v>
      </c>
      <c r="AI46" s="5" t="s">
        <v>24</v>
      </c>
      <c r="AJ46" s="5" t="s">
        <v>24</v>
      </c>
      <c r="AK46" s="5" t="s">
        <v>24</v>
      </c>
      <c r="AL46" s="5" t="str">
        <f>VLOOKUP(mambo!$H46,Sheet1!B:C,2,FALSE)</f>
        <v>1130391</v>
      </c>
    </row>
    <row r="47" ht="15.75" customHeight="1">
      <c r="A47" s="5" t="s">
        <v>2166</v>
      </c>
      <c r="B47" s="5" t="s">
        <v>2167</v>
      </c>
      <c r="C47" s="5" t="s">
        <v>2126</v>
      </c>
      <c r="D47" s="5" t="s">
        <v>24</v>
      </c>
      <c r="E47" s="5" t="s">
        <v>1848</v>
      </c>
      <c r="F47" s="5" t="s">
        <v>1849</v>
      </c>
      <c r="G47" s="5" t="s">
        <v>24</v>
      </c>
      <c r="H47" s="5" t="s">
        <v>192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1885</v>
      </c>
      <c r="N47" s="5" t="s">
        <v>24</v>
      </c>
      <c r="O47" s="5" t="s">
        <v>2085</v>
      </c>
      <c r="P47" s="5" t="s">
        <v>24</v>
      </c>
      <c r="Q47" s="5" t="s">
        <v>24</v>
      </c>
      <c r="R47" s="5" t="s">
        <v>24</v>
      </c>
      <c r="S47" s="5" t="s">
        <v>1852</v>
      </c>
      <c r="T47" s="5" t="s">
        <v>2127</v>
      </c>
      <c r="U47" s="5" t="s">
        <v>2127</v>
      </c>
      <c r="V47" s="5" t="s">
        <v>1854</v>
      </c>
      <c r="W47" s="5" t="s">
        <v>24</v>
      </c>
      <c r="X47" s="5" t="s">
        <v>24</v>
      </c>
      <c r="Y47" s="5" t="s">
        <v>2168</v>
      </c>
      <c r="Z47" s="5" t="s">
        <v>2169</v>
      </c>
      <c r="AA47" s="5" t="s">
        <v>2169</v>
      </c>
      <c r="AB47" s="5" t="s">
        <v>2169</v>
      </c>
      <c r="AC47" s="5" t="s">
        <v>2170</v>
      </c>
      <c r="AD47" s="5" t="s">
        <v>2171</v>
      </c>
      <c r="AE47" s="5" t="s">
        <v>24</v>
      </c>
      <c r="AF47" s="5" t="s">
        <v>24</v>
      </c>
      <c r="AG47" s="5" t="s">
        <v>24</v>
      </c>
      <c r="AH47" s="5" t="s">
        <v>24</v>
      </c>
      <c r="AI47" s="5" t="s">
        <v>24</v>
      </c>
      <c r="AJ47" s="5" t="s">
        <v>24</v>
      </c>
      <c r="AK47" s="5" t="s">
        <v>24</v>
      </c>
      <c r="AL47" s="5" t="str">
        <f>VLOOKUP(mambo!$H47,Sheet1!B:C,2,FALSE)</f>
        <v>1130392</v>
      </c>
    </row>
    <row r="48" ht="15.75" hidden="1" customHeight="1">
      <c r="A48" s="5" t="s">
        <v>2172</v>
      </c>
      <c r="B48" s="5" t="s">
        <v>2173</v>
      </c>
      <c r="C48" s="5" t="s">
        <v>2126</v>
      </c>
      <c r="D48" s="5" t="s">
        <v>24</v>
      </c>
      <c r="E48" s="5" t="s">
        <v>1848</v>
      </c>
      <c r="F48" s="5" t="s">
        <v>1849</v>
      </c>
      <c r="G48" s="5" t="s">
        <v>24</v>
      </c>
      <c r="H48" s="5" t="s">
        <v>2174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1885</v>
      </c>
      <c r="N48" s="5" t="s">
        <v>24</v>
      </c>
      <c r="O48" s="5" t="s">
        <v>2085</v>
      </c>
      <c r="P48" s="5" t="s">
        <v>24</v>
      </c>
      <c r="Q48" s="5" t="s">
        <v>24</v>
      </c>
      <c r="R48" s="5" t="s">
        <v>24</v>
      </c>
      <c r="S48" s="5" t="s">
        <v>2020</v>
      </c>
      <c r="T48" s="5" t="s">
        <v>2021</v>
      </c>
      <c r="U48" s="5" t="s">
        <v>2021</v>
      </c>
      <c r="V48" s="5" t="s">
        <v>24</v>
      </c>
      <c r="W48" s="5" t="s">
        <v>24</v>
      </c>
      <c r="X48" s="5" t="s">
        <v>24</v>
      </c>
      <c r="Y48" s="5" t="s">
        <v>2175</v>
      </c>
      <c r="Z48" s="5" t="s">
        <v>2176</v>
      </c>
      <c r="AA48" s="5" t="s">
        <v>2176</v>
      </c>
      <c r="AB48" s="5" t="s">
        <v>2176</v>
      </c>
      <c r="AC48" s="5" t="s">
        <v>24</v>
      </c>
      <c r="AD48" s="5" t="s">
        <v>24</v>
      </c>
      <c r="AE48" s="5" t="s">
        <v>24</v>
      </c>
      <c r="AF48" s="5" t="s">
        <v>24</v>
      </c>
      <c r="AG48" s="5" t="s">
        <v>24</v>
      </c>
      <c r="AH48" s="5" t="s">
        <v>24</v>
      </c>
      <c r="AI48" s="5" t="s">
        <v>24</v>
      </c>
      <c r="AJ48" s="5" t="s">
        <v>24</v>
      </c>
      <c r="AK48" s="5" t="s">
        <v>24</v>
      </c>
      <c r="AL48" s="5" t="str">
        <f>VLOOKUP(mambo!$H48,Sheet1!B:C,2,FALSE)</f>
        <v>#N/A</v>
      </c>
    </row>
    <row r="49" ht="15.75" customHeight="1">
      <c r="A49" s="5" t="s">
        <v>2177</v>
      </c>
      <c r="B49" s="5" t="s">
        <v>2178</v>
      </c>
      <c r="C49" s="5" t="s">
        <v>227</v>
      </c>
      <c r="D49" s="5" t="s">
        <v>24</v>
      </c>
      <c r="E49" s="5" t="s">
        <v>1848</v>
      </c>
      <c r="F49" s="5" t="s">
        <v>1849</v>
      </c>
      <c r="G49" s="5" t="s">
        <v>24</v>
      </c>
      <c r="H49" s="5" t="s">
        <v>81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1885</v>
      </c>
      <c r="N49" s="5" t="s">
        <v>24</v>
      </c>
      <c r="O49" s="5" t="s">
        <v>1986</v>
      </c>
      <c r="P49" s="5" t="s">
        <v>24</v>
      </c>
      <c r="Q49" s="5" t="s">
        <v>24</v>
      </c>
      <c r="R49" s="5" t="s">
        <v>24</v>
      </c>
      <c r="S49" s="5" t="s">
        <v>1852</v>
      </c>
      <c r="T49" s="5" t="s">
        <v>1970</v>
      </c>
      <c r="U49" s="5" t="s">
        <v>1970</v>
      </c>
      <c r="V49" s="5" t="s">
        <v>1854</v>
      </c>
      <c r="W49" s="5" t="s">
        <v>24</v>
      </c>
      <c r="X49" s="5" t="s">
        <v>24</v>
      </c>
      <c r="Y49" s="5" t="s">
        <v>2179</v>
      </c>
      <c r="Z49" s="5" t="s">
        <v>2180</v>
      </c>
      <c r="AA49" s="5" t="s">
        <v>2180</v>
      </c>
      <c r="AB49" s="5" t="s">
        <v>2180</v>
      </c>
      <c r="AC49" s="5" t="s">
        <v>2181</v>
      </c>
      <c r="AD49" s="5" t="s">
        <v>2182</v>
      </c>
      <c r="AE49" s="5" t="s">
        <v>2183</v>
      </c>
      <c r="AF49" s="5" t="s">
        <v>24</v>
      </c>
      <c r="AG49" s="5" t="s">
        <v>24</v>
      </c>
      <c r="AH49" s="5" t="s">
        <v>24</v>
      </c>
      <c r="AI49" s="5" t="s">
        <v>24</v>
      </c>
      <c r="AJ49" s="5" t="s">
        <v>24</v>
      </c>
      <c r="AK49" s="5" t="s">
        <v>24</v>
      </c>
      <c r="AL49" s="5" t="str">
        <f>VLOOKUP(mambo!$H49,Sheet1!B:C,2,FALSE)</f>
        <v>1042367</v>
      </c>
    </row>
    <row r="50" ht="15.75" customHeight="1">
      <c r="A50" s="5" t="s">
        <v>2184</v>
      </c>
      <c r="B50" s="5" t="s">
        <v>2185</v>
      </c>
      <c r="C50" s="5" t="s">
        <v>2126</v>
      </c>
      <c r="D50" s="5" t="s">
        <v>24</v>
      </c>
      <c r="E50" s="5" t="s">
        <v>1848</v>
      </c>
      <c r="F50" s="5" t="s">
        <v>1849</v>
      </c>
      <c r="G50" s="5" t="s">
        <v>24</v>
      </c>
      <c r="H50" s="5" t="s">
        <v>129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1885</v>
      </c>
      <c r="N50" s="5" t="s">
        <v>24</v>
      </c>
      <c r="O50" s="5" t="s">
        <v>2085</v>
      </c>
      <c r="P50" s="5" t="s">
        <v>24</v>
      </c>
      <c r="Q50" s="5" t="s">
        <v>24</v>
      </c>
      <c r="R50" s="5" t="s">
        <v>24</v>
      </c>
      <c r="S50" s="5" t="s">
        <v>1852</v>
      </c>
      <c r="T50" s="5" t="s">
        <v>2127</v>
      </c>
      <c r="U50" s="5" t="s">
        <v>2127</v>
      </c>
      <c r="V50" s="5" t="s">
        <v>1854</v>
      </c>
      <c r="W50" s="5" t="s">
        <v>24</v>
      </c>
      <c r="X50" s="5" t="s">
        <v>24</v>
      </c>
      <c r="Y50" s="5" t="s">
        <v>2186</v>
      </c>
      <c r="Z50" s="5" t="s">
        <v>2187</v>
      </c>
      <c r="AA50" s="5" t="s">
        <v>2187</v>
      </c>
      <c r="AB50" s="5" t="s">
        <v>2187</v>
      </c>
      <c r="AC50" s="5" t="s">
        <v>2188</v>
      </c>
      <c r="AD50" s="5" t="s">
        <v>2189</v>
      </c>
      <c r="AE50" s="5" t="s">
        <v>24</v>
      </c>
      <c r="AF50" s="5" t="s">
        <v>24</v>
      </c>
      <c r="AG50" s="5" t="s">
        <v>24</v>
      </c>
      <c r="AH50" s="5" t="s">
        <v>24</v>
      </c>
      <c r="AI50" s="5" t="s">
        <v>24</v>
      </c>
      <c r="AJ50" s="5" t="s">
        <v>24</v>
      </c>
      <c r="AK50" s="5" t="s">
        <v>24</v>
      </c>
      <c r="AL50" s="5" t="str">
        <f>VLOOKUP(mambo!$H50,Sheet1!B:C,2,FALSE)</f>
        <v>1172534</v>
      </c>
    </row>
    <row r="51" ht="15.75" customHeight="1">
      <c r="A51" s="5" t="s">
        <v>2190</v>
      </c>
      <c r="B51" s="5" t="s">
        <v>2191</v>
      </c>
      <c r="C51" s="5" t="s">
        <v>2126</v>
      </c>
      <c r="D51" s="5" t="s">
        <v>24</v>
      </c>
      <c r="E51" s="5" t="s">
        <v>1848</v>
      </c>
      <c r="F51" s="5" t="s">
        <v>1849</v>
      </c>
      <c r="G51" s="5" t="s">
        <v>24</v>
      </c>
      <c r="H51" s="5" t="s">
        <v>300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1885</v>
      </c>
      <c r="N51" s="5" t="s">
        <v>24</v>
      </c>
      <c r="O51" s="5" t="s">
        <v>2085</v>
      </c>
      <c r="P51" s="5" t="s">
        <v>24</v>
      </c>
      <c r="Q51" s="5" t="s">
        <v>24</v>
      </c>
      <c r="R51" s="5" t="s">
        <v>24</v>
      </c>
      <c r="S51" s="5" t="s">
        <v>1852</v>
      </c>
      <c r="T51" s="5" t="s">
        <v>2127</v>
      </c>
      <c r="U51" s="5" t="s">
        <v>2127</v>
      </c>
      <c r="V51" s="5" t="s">
        <v>1854</v>
      </c>
      <c r="W51" s="5" t="s">
        <v>24</v>
      </c>
      <c r="X51" s="5" t="s">
        <v>24</v>
      </c>
      <c r="Y51" s="5" t="s">
        <v>2192</v>
      </c>
      <c r="Z51" s="5" t="s">
        <v>2193</v>
      </c>
      <c r="AA51" s="5" t="s">
        <v>2193</v>
      </c>
      <c r="AB51" s="5" t="s">
        <v>2193</v>
      </c>
      <c r="AC51" s="5" t="s">
        <v>2194</v>
      </c>
      <c r="AD51" s="5" t="s">
        <v>2195</v>
      </c>
      <c r="AE51" s="5" t="s">
        <v>2196</v>
      </c>
      <c r="AF51" s="5" t="s">
        <v>2197</v>
      </c>
      <c r="AG51" s="5" t="s">
        <v>2198</v>
      </c>
      <c r="AH51" s="5" t="s">
        <v>24</v>
      </c>
      <c r="AI51" s="5" t="s">
        <v>24</v>
      </c>
      <c r="AJ51" s="5" t="s">
        <v>24</v>
      </c>
      <c r="AK51" s="5" t="s">
        <v>24</v>
      </c>
      <c r="AL51" s="5" t="str">
        <f>VLOOKUP(mambo!$H51,Sheet1!B:C,2,FALSE)</f>
        <v>1130397</v>
      </c>
    </row>
    <row r="52" ht="15.75" customHeight="1">
      <c r="A52" s="5" t="s">
        <v>2199</v>
      </c>
      <c r="B52" s="5" t="s">
        <v>2200</v>
      </c>
      <c r="C52" s="5" t="s">
        <v>503</v>
      </c>
      <c r="D52" s="5" t="s">
        <v>24</v>
      </c>
      <c r="E52" s="5" t="s">
        <v>1848</v>
      </c>
      <c r="F52" s="5" t="s">
        <v>1849</v>
      </c>
      <c r="G52" s="5" t="s">
        <v>24</v>
      </c>
      <c r="H52" s="5" t="s">
        <v>347</v>
      </c>
      <c r="I52" s="5" t="s">
        <v>24</v>
      </c>
      <c r="J52" s="5" t="s">
        <v>24</v>
      </c>
      <c r="K52" s="5" t="s">
        <v>24</v>
      </c>
      <c r="L52" s="5" t="s">
        <v>24</v>
      </c>
      <c r="M52" s="5" t="s">
        <v>1885</v>
      </c>
      <c r="N52" s="5" t="s">
        <v>24</v>
      </c>
      <c r="O52" s="5" t="s">
        <v>1949</v>
      </c>
      <c r="P52" s="5" t="s">
        <v>24</v>
      </c>
      <c r="Q52" s="5" t="s">
        <v>24</v>
      </c>
      <c r="R52" s="5" t="s">
        <v>24</v>
      </c>
      <c r="S52" s="5" t="s">
        <v>2020</v>
      </c>
      <c r="T52" s="5" t="s">
        <v>2021</v>
      </c>
      <c r="U52" s="5" t="s">
        <v>2021</v>
      </c>
      <c r="V52" s="5" t="s">
        <v>24</v>
      </c>
      <c r="W52" s="5" t="s">
        <v>24</v>
      </c>
      <c r="X52" s="5" t="s">
        <v>24</v>
      </c>
      <c r="Y52" s="5" t="s">
        <v>2201</v>
      </c>
      <c r="Z52" s="5" t="s">
        <v>2202</v>
      </c>
      <c r="AA52" s="5" t="s">
        <v>2202</v>
      </c>
      <c r="AB52" s="5" t="s">
        <v>2202</v>
      </c>
      <c r="AC52" s="5" t="s">
        <v>2203</v>
      </c>
      <c r="AD52" s="5" t="s">
        <v>2204</v>
      </c>
      <c r="AE52" s="5" t="s">
        <v>2205</v>
      </c>
      <c r="AF52" s="5" t="s">
        <v>2206</v>
      </c>
      <c r="AG52" s="5" t="s">
        <v>2207</v>
      </c>
      <c r="AH52" s="5" t="s">
        <v>2208</v>
      </c>
      <c r="AI52" s="5" t="s">
        <v>2209</v>
      </c>
      <c r="AJ52" s="5" t="s">
        <v>2210</v>
      </c>
      <c r="AK52" s="5" t="s">
        <v>24</v>
      </c>
      <c r="AL52" s="5" t="str">
        <f>VLOOKUP(mambo!$H52,Sheet1!B:C,2,FALSE)</f>
        <v>1194406</v>
      </c>
    </row>
    <row r="53" ht="15.75" hidden="1" customHeight="1">
      <c r="A53" s="5" t="s">
        <v>2211</v>
      </c>
      <c r="B53" s="5" t="s">
        <v>2212</v>
      </c>
      <c r="C53" s="5" t="s">
        <v>482</v>
      </c>
      <c r="D53" s="5" t="s">
        <v>24</v>
      </c>
      <c r="E53" s="5" t="s">
        <v>1848</v>
      </c>
      <c r="F53" s="5" t="s">
        <v>1849</v>
      </c>
      <c r="G53" s="5" t="s">
        <v>24</v>
      </c>
      <c r="H53" s="5" t="s">
        <v>2213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1885</v>
      </c>
      <c r="N53" s="5" t="s">
        <v>24</v>
      </c>
      <c r="O53" s="5" t="s">
        <v>1917</v>
      </c>
      <c r="P53" s="5" t="s">
        <v>24</v>
      </c>
      <c r="Q53" s="5" t="s">
        <v>24</v>
      </c>
      <c r="R53" s="5" t="s">
        <v>24</v>
      </c>
      <c r="S53" s="5" t="s">
        <v>1852</v>
      </c>
      <c r="T53" s="5" t="s">
        <v>2214</v>
      </c>
      <c r="U53" s="5" t="s">
        <v>2214</v>
      </c>
      <c r="V53" s="5" t="s">
        <v>1854</v>
      </c>
      <c r="W53" s="5" t="s">
        <v>24</v>
      </c>
      <c r="X53" s="5" t="s">
        <v>24</v>
      </c>
      <c r="Y53" s="5" t="s">
        <v>2215</v>
      </c>
      <c r="Z53" s="5" t="s">
        <v>2216</v>
      </c>
      <c r="AA53" s="5" t="s">
        <v>2216</v>
      </c>
      <c r="AB53" s="5" t="s">
        <v>2216</v>
      </c>
      <c r="AC53" s="5" t="s">
        <v>24</v>
      </c>
      <c r="AD53" s="5" t="s">
        <v>24</v>
      </c>
      <c r="AE53" s="5" t="s">
        <v>24</v>
      </c>
      <c r="AF53" s="5" t="s">
        <v>24</v>
      </c>
      <c r="AG53" s="5" t="s">
        <v>24</v>
      </c>
      <c r="AH53" s="5" t="s">
        <v>24</v>
      </c>
      <c r="AI53" s="5" t="s">
        <v>24</v>
      </c>
      <c r="AJ53" s="5" t="s">
        <v>24</v>
      </c>
      <c r="AK53" s="5" t="s">
        <v>24</v>
      </c>
      <c r="AL53" s="5" t="str">
        <f>VLOOKUP(mambo!$H53,Sheet1!B:C,2,FALSE)</f>
        <v>#N/A</v>
      </c>
    </row>
    <row r="54" ht="15.75" customHeight="1">
      <c r="A54" s="5" t="s">
        <v>2217</v>
      </c>
      <c r="B54" s="5" t="s">
        <v>2218</v>
      </c>
      <c r="C54" s="5" t="s">
        <v>2126</v>
      </c>
      <c r="D54" s="5" t="s">
        <v>24</v>
      </c>
      <c r="E54" s="5" t="s">
        <v>1848</v>
      </c>
      <c r="F54" s="5" t="s">
        <v>1849</v>
      </c>
      <c r="G54" s="5" t="s">
        <v>24</v>
      </c>
      <c r="H54" s="5" t="s">
        <v>166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1885</v>
      </c>
      <c r="N54" s="5" t="s">
        <v>24</v>
      </c>
      <c r="O54" s="5" t="s">
        <v>2085</v>
      </c>
      <c r="P54" s="5" t="s">
        <v>24</v>
      </c>
      <c r="Q54" s="5" t="s">
        <v>24</v>
      </c>
      <c r="R54" s="5" t="s">
        <v>24</v>
      </c>
      <c r="S54" s="5" t="s">
        <v>1852</v>
      </c>
      <c r="T54" s="5" t="s">
        <v>2127</v>
      </c>
      <c r="U54" s="5" t="s">
        <v>2127</v>
      </c>
      <c r="V54" s="5" t="s">
        <v>1854</v>
      </c>
      <c r="W54" s="5" t="s">
        <v>24</v>
      </c>
      <c r="X54" s="5" t="s">
        <v>24</v>
      </c>
      <c r="Y54" s="5" t="s">
        <v>2219</v>
      </c>
      <c r="Z54" s="5" t="s">
        <v>2220</v>
      </c>
      <c r="AA54" s="5" t="s">
        <v>2220</v>
      </c>
      <c r="AB54" s="5" t="s">
        <v>2220</v>
      </c>
      <c r="AC54" s="5" t="s">
        <v>2221</v>
      </c>
      <c r="AD54" s="5" t="s">
        <v>2222</v>
      </c>
      <c r="AE54" s="5" t="s">
        <v>2223</v>
      </c>
      <c r="AF54" s="5" t="s">
        <v>2224</v>
      </c>
      <c r="AG54" s="5" t="s">
        <v>24</v>
      </c>
      <c r="AH54" s="5" t="s">
        <v>24</v>
      </c>
      <c r="AI54" s="5" t="s">
        <v>24</v>
      </c>
      <c r="AJ54" s="5" t="s">
        <v>24</v>
      </c>
      <c r="AK54" s="5" t="s">
        <v>24</v>
      </c>
      <c r="AL54" s="5" t="str">
        <f>VLOOKUP(mambo!$H54,Sheet1!B:C,2,FALSE)</f>
        <v>1130399</v>
      </c>
    </row>
    <row r="55" ht="15.75" hidden="1" customHeight="1">
      <c r="A55" s="5" t="s">
        <v>2225</v>
      </c>
      <c r="B55" s="5" t="s">
        <v>2226</v>
      </c>
      <c r="C55" s="5" t="s">
        <v>2146</v>
      </c>
      <c r="D55" s="5" t="s">
        <v>24</v>
      </c>
      <c r="E55" s="5" t="s">
        <v>1848</v>
      </c>
      <c r="F55" s="5" t="s">
        <v>1849</v>
      </c>
      <c r="G55" s="5" t="s">
        <v>24</v>
      </c>
      <c r="H55" s="5" t="s">
        <v>2227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24</v>
      </c>
      <c r="O55" s="5" t="s">
        <v>2148</v>
      </c>
      <c r="P55" s="5" t="s">
        <v>24</v>
      </c>
      <c r="Q55" s="5" t="s">
        <v>24</v>
      </c>
      <c r="R55" s="5" t="s">
        <v>24</v>
      </c>
      <c r="S55" s="5" t="s">
        <v>1852</v>
      </c>
      <c r="T55" s="5" t="s">
        <v>2228</v>
      </c>
      <c r="U55" s="5" t="s">
        <v>2228</v>
      </c>
      <c r="V55" s="5" t="s">
        <v>1854</v>
      </c>
      <c r="W55" s="5" t="s">
        <v>24</v>
      </c>
      <c r="X55" s="5" t="s">
        <v>24</v>
      </c>
      <c r="Y55" s="5" t="s">
        <v>2229</v>
      </c>
      <c r="Z55" s="5" t="s">
        <v>2230</v>
      </c>
      <c r="AA55" s="5" t="s">
        <v>2230</v>
      </c>
      <c r="AB55" s="5" t="s">
        <v>2230</v>
      </c>
      <c r="AC55" s="5" t="s">
        <v>24</v>
      </c>
      <c r="AD55" s="5" t="s">
        <v>24</v>
      </c>
      <c r="AE55" s="5" t="s">
        <v>24</v>
      </c>
      <c r="AF55" s="5" t="s">
        <v>24</v>
      </c>
      <c r="AG55" s="5" t="s">
        <v>24</v>
      </c>
      <c r="AH55" s="5" t="s">
        <v>24</v>
      </c>
      <c r="AI55" s="5" t="s">
        <v>24</v>
      </c>
      <c r="AJ55" s="5" t="s">
        <v>24</v>
      </c>
      <c r="AK55" s="5" t="s">
        <v>24</v>
      </c>
      <c r="AL55" s="5" t="str">
        <f>VLOOKUP(mambo!$H55,Sheet1!B:C,2,FALSE)</f>
        <v>#N/A</v>
      </c>
    </row>
    <row r="56" ht="15.75" customHeight="1">
      <c r="A56" s="5" t="s">
        <v>2231</v>
      </c>
      <c r="B56" s="5" t="s">
        <v>2232</v>
      </c>
      <c r="C56" s="5" t="s">
        <v>227</v>
      </c>
      <c r="D56" s="5" t="s">
        <v>24</v>
      </c>
      <c r="E56" s="5" t="s">
        <v>1848</v>
      </c>
      <c r="F56" s="5" t="s">
        <v>1849</v>
      </c>
      <c r="G56" s="5" t="s">
        <v>24</v>
      </c>
      <c r="H56" s="5" t="s">
        <v>71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1885</v>
      </c>
      <c r="N56" s="5" t="s">
        <v>24</v>
      </c>
      <c r="O56" s="5" t="s">
        <v>1986</v>
      </c>
      <c r="P56" s="5" t="s">
        <v>24</v>
      </c>
      <c r="Q56" s="5" t="s">
        <v>24</v>
      </c>
      <c r="R56" s="5" t="s">
        <v>24</v>
      </c>
      <c r="S56" s="5" t="s">
        <v>1852</v>
      </c>
      <c r="T56" s="5" t="s">
        <v>1970</v>
      </c>
      <c r="U56" s="5" t="s">
        <v>1970</v>
      </c>
      <c r="V56" s="5" t="s">
        <v>1854</v>
      </c>
      <c r="W56" s="5" t="s">
        <v>24</v>
      </c>
      <c r="X56" s="5" t="s">
        <v>24</v>
      </c>
      <c r="Y56" s="5" t="s">
        <v>2233</v>
      </c>
      <c r="Z56" s="5" t="s">
        <v>2234</v>
      </c>
      <c r="AA56" s="5" t="s">
        <v>2234</v>
      </c>
      <c r="AB56" s="5" t="s">
        <v>2234</v>
      </c>
      <c r="AC56" s="5" t="s">
        <v>2235</v>
      </c>
      <c r="AD56" s="5" t="s">
        <v>2236</v>
      </c>
      <c r="AE56" s="5" t="s">
        <v>2237</v>
      </c>
      <c r="AF56" s="5" t="s">
        <v>24</v>
      </c>
      <c r="AG56" s="5" t="s">
        <v>24</v>
      </c>
      <c r="AH56" s="5" t="s">
        <v>24</v>
      </c>
      <c r="AI56" s="5" t="s">
        <v>24</v>
      </c>
      <c r="AJ56" s="5" t="s">
        <v>24</v>
      </c>
      <c r="AK56" s="5" t="s">
        <v>24</v>
      </c>
      <c r="AL56" s="5" t="str">
        <f>VLOOKUP(mambo!$H56,Sheet1!B:C,2,FALSE)</f>
        <v>1042366</v>
      </c>
    </row>
    <row r="57" ht="15.75" customHeight="1">
      <c r="A57" s="5" t="s">
        <v>2238</v>
      </c>
      <c r="B57" s="5" t="s">
        <v>2239</v>
      </c>
      <c r="C57" s="5" t="s">
        <v>227</v>
      </c>
      <c r="D57" s="5" t="s">
        <v>24</v>
      </c>
      <c r="E57" s="5" t="s">
        <v>1848</v>
      </c>
      <c r="F57" s="5" t="s">
        <v>1849</v>
      </c>
      <c r="G57" s="5" t="s">
        <v>24</v>
      </c>
      <c r="H57" s="5" t="s">
        <v>66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1885</v>
      </c>
      <c r="N57" s="5" t="s">
        <v>24</v>
      </c>
      <c r="O57" s="5" t="s">
        <v>1986</v>
      </c>
      <c r="P57" s="5" t="s">
        <v>24</v>
      </c>
      <c r="Q57" s="5" t="s">
        <v>24</v>
      </c>
      <c r="R57" s="5" t="s">
        <v>24</v>
      </c>
      <c r="S57" s="5" t="s">
        <v>1852</v>
      </c>
      <c r="T57" s="5" t="s">
        <v>1970</v>
      </c>
      <c r="U57" s="5" t="s">
        <v>1970</v>
      </c>
      <c r="V57" s="5" t="s">
        <v>1854</v>
      </c>
      <c r="W57" s="5" t="s">
        <v>24</v>
      </c>
      <c r="X57" s="5" t="s">
        <v>24</v>
      </c>
      <c r="Y57" s="5" t="s">
        <v>2240</v>
      </c>
      <c r="Z57" s="5" t="s">
        <v>2241</v>
      </c>
      <c r="AA57" s="5" t="s">
        <v>2241</v>
      </c>
      <c r="AB57" s="5" t="s">
        <v>2241</v>
      </c>
      <c r="AC57" s="5" t="s">
        <v>2242</v>
      </c>
      <c r="AD57" s="5" t="s">
        <v>2243</v>
      </c>
      <c r="AE57" s="5" t="s">
        <v>2244</v>
      </c>
      <c r="AF57" s="5" t="s">
        <v>24</v>
      </c>
      <c r="AG57" s="5" t="s">
        <v>24</v>
      </c>
      <c r="AH57" s="5" t="s">
        <v>24</v>
      </c>
      <c r="AI57" s="5" t="s">
        <v>24</v>
      </c>
      <c r="AJ57" s="5" t="s">
        <v>24</v>
      </c>
      <c r="AK57" s="5" t="s">
        <v>24</v>
      </c>
      <c r="AL57" s="5" t="str">
        <f>VLOOKUP(mambo!$H57,Sheet1!B:C,2,FALSE)</f>
        <v>1042369</v>
      </c>
    </row>
    <row r="58" ht="15.75" customHeight="1">
      <c r="A58" s="5" t="s">
        <v>2245</v>
      </c>
      <c r="B58" s="5" t="s">
        <v>2246</v>
      </c>
      <c r="C58" s="5" t="s">
        <v>2126</v>
      </c>
      <c r="D58" s="5" t="s">
        <v>24</v>
      </c>
      <c r="E58" s="5" t="s">
        <v>1848</v>
      </c>
      <c r="F58" s="5" t="s">
        <v>1849</v>
      </c>
      <c r="G58" s="5" t="s">
        <v>24</v>
      </c>
      <c r="H58" s="5" t="s">
        <v>310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1885</v>
      </c>
      <c r="N58" s="5" t="s">
        <v>24</v>
      </c>
      <c r="O58" s="5" t="s">
        <v>2085</v>
      </c>
      <c r="P58" s="5" t="s">
        <v>24</v>
      </c>
      <c r="Q58" s="5" t="s">
        <v>24</v>
      </c>
      <c r="R58" s="5" t="s">
        <v>24</v>
      </c>
      <c r="S58" s="5" t="s">
        <v>1852</v>
      </c>
      <c r="T58" s="5" t="s">
        <v>2127</v>
      </c>
      <c r="U58" s="5" t="s">
        <v>2127</v>
      </c>
      <c r="V58" s="5" t="s">
        <v>1854</v>
      </c>
      <c r="W58" s="5" t="s">
        <v>24</v>
      </c>
      <c r="X58" s="5" t="s">
        <v>24</v>
      </c>
      <c r="Y58" s="5" t="s">
        <v>2247</v>
      </c>
      <c r="Z58" s="5" t="s">
        <v>2248</v>
      </c>
      <c r="AA58" s="5" t="s">
        <v>2248</v>
      </c>
      <c r="AB58" s="5" t="s">
        <v>2248</v>
      </c>
      <c r="AC58" s="5" t="s">
        <v>2249</v>
      </c>
      <c r="AD58" s="5" t="s">
        <v>2250</v>
      </c>
      <c r="AE58" s="5" t="s">
        <v>2251</v>
      </c>
      <c r="AF58" s="5" t="s">
        <v>24</v>
      </c>
      <c r="AG58" s="5" t="s">
        <v>24</v>
      </c>
      <c r="AH58" s="5" t="s">
        <v>24</v>
      </c>
      <c r="AI58" s="5" t="s">
        <v>24</v>
      </c>
      <c r="AJ58" s="5" t="s">
        <v>24</v>
      </c>
      <c r="AK58" s="5" t="s">
        <v>24</v>
      </c>
      <c r="AL58" s="5" t="str">
        <f>VLOOKUP(mambo!$H58,Sheet1!B:C,2,FALSE)</f>
        <v>1238073</v>
      </c>
    </row>
    <row r="59" ht="15.75" customHeight="1">
      <c r="A59" s="5" t="s">
        <v>2252</v>
      </c>
      <c r="B59" s="5" t="s">
        <v>2253</v>
      </c>
      <c r="C59" s="5" t="s">
        <v>2126</v>
      </c>
      <c r="D59" s="5" t="s">
        <v>24</v>
      </c>
      <c r="E59" s="5" t="s">
        <v>1848</v>
      </c>
      <c r="F59" s="5" t="s">
        <v>1849</v>
      </c>
      <c r="G59" s="5" t="s">
        <v>24</v>
      </c>
      <c r="H59" s="5" t="s">
        <v>212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1885</v>
      </c>
      <c r="N59" s="5" t="s">
        <v>24</v>
      </c>
      <c r="O59" s="5" t="s">
        <v>2085</v>
      </c>
      <c r="P59" s="5" t="s">
        <v>24</v>
      </c>
      <c r="Q59" s="5" t="s">
        <v>24</v>
      </c>
      <c r="R59" s="5" t="s">
        <v>24</v>
      </c>
      <c r="S59" s="5" t="s">
        <v>1852</v>
      </c>
      <c r="T59" s="5" t="s">
        <v>2127</v>
      </c>
      <c r="U59" s="5" t="s">
        <v>2127</v>
      </c>
      <c r="V59" s="5" t="s">
        <v>1854</v>
      </c>
      <c r="W59" s="5" t="s">
        <v>24</v>
      </c>
      <c r="X59" s="5" t="s">
        <v>24</v>
      </c>
      <c r="Y59" s="5" t="s">
        <v>2254</v>
      </c>
      <c r="Z59" s="5" t="s">
        <v>2255</v>
      </c>
      <c r="AA59" s="5" t="s">
        <v>2255</v>
      </c>
      <c r="AB59" s="5" t="s">
        <v>2255</v>
      </c>
      <c r="AC59" s="5" t="s">
        <v>2256</v>
      </c>
      <c r="AD59" s="5" t="s">
        <v>2257</v>
      </c>
      <c r="AE59" s="5" t="s">
        <v>24</v>
      </c>
      <c r="AF59" s="5" t="s">
        <v>24</v>
      </c>
      <c r="AG59" s="5" t="s">
        <v>24</v>
      </c>
      <c r="AH59" s="5" t="s">
        <v>24</v>
      </c>
      <c r="AI59" s="5" t="s">
        <v>24</v>
      </c>
      <c r="AJ59" s="5" t="s">
        <v>24</v>
      </c>
      <c r="AK59" s="5" t="s">
        <v>24</v>
      </c>
      <c r="AL59" s="5" t="str">
        <f>VLOOKUP(mambo!$H59,Sheet1!B:C,2,FALSE)</f>
        <v>1219239</v>
      </c>
    </row>
    <row r="60" ht="15.75" customHeight="1">
      <c r="A60" s="5" t="s">
        <v>2258</v>
      </c>
      <c r="B60" s="5" t="s">
        <v>2259</v>
      </c>
      <c r="C60" s="5" t="s">
        <v>227</v>
      </c>
      <c r="D60" s="5" t="s">
        <v>24</v>
      </c>
      <c r="E60" s="5" t="s">
        <v>1848</v>
      </c>
      <c r="F60" s="5" t="s">
        <v>1849</v>
      </c>
      <c r="G60" s="5" t="s">
        <v>24</v>
      </c>
      <c r="H60" s="5" t="s">
        <v>1474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  <c r="N60" s="5" t="s">
        <v>24</v>
      </c>
      <c r="O60" s="5" t="s">
        <v>1933</v>
      </c>
      <c r="P60" s="5" t="s">
        <v>24</v>
      </c>
      <c r="Q60" s="5" t="s">
        <v>24</v>
      </c>
      <c r="R60" s="5" t="s">
        <v>24</v>
      </c>
      <c r="S60" s="5" t="s">
        <v>1852</v>
      </c>
      <c r="T60" s="5" t="s">
        <v>2260</v>
      </c>
      <c r="U60" s="5" t="s">
        <v>2260</v>
      </c>
      <c r="V60" s="5" t="s">
        <v>1854</v>
      </c>
      <c r="W60" s="5" t="s">
        <v>24</v>
      </c>
      <c r="X60" s="5" t="s">
        <v>24</v>
      </c>
      <c r="Y60" s="5" t="s">
        <v>2261</v>
      </c>
      <c r="Z60" s="5" t="s">
        <v>2262</v>
      </c>
      <c r="AA60" s="5" t="s">
        <v>2262</v>
      </c>
      <c r="AB60" s="5" t="s">
        <v>2262</v>
      </c>
      <c r="AC60" s="5" t="s">
        <v>2263</v>
      </c>
      <c r="AD60" s="5" t="s">
        <v>2264</v>
      </c>
      <c r="AE60" s="5" t="s">
        <v>2265</v>
      </c>
      <c r="AF60" s="5" t="s">
        <v>2266</v>
      </c>
      <c r="AG60" s="5" t="s">
        <v>2267</v>
      </c>
      <c r="AH60" s="5" t="s">
        <v>2268</v>
      </c>
      <c r="AI60" s="5" t="s">
        <v>24</v>
      </c>
      <c r="AJ60" s="5" t="s">
        <v>24</v>
      </c>
      <c r="AK60" s="5" t="s">
        <v>24</v>
      </c>
      <c r="AL60" s="5" t="str">
        <f>VLOOKUP(mambo!$H60,Sheet1!B:C,2,FALSE)</f>
        <v>1596441</v>
      </c>
    </row>
    <row r="61" ht="15.75" customHeight="1">
      <c r="A61" s="5" t="s">
        <v>2269</v>
      </c>
      <c r="B61" s="5" t="s">
        <v>2270</v>
      </c>
      <c r="C61" s="5" t="s">
        <v>117</v>
      </c>
      <c r="D61" s="5" t="s">
        <v>24</v>
      </c>
      <c r="E61" s="5" t="s">
        <v>1848</v>
      </c>
      <c r="F61" s="5" t="s">
        <v>1849</v>
      </c>
      <c r="G61" s="5" t="s">
        <v>24</v>
      </c>
      <c r="H61" s="5" t="s">
        <v>177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1851</v>
      </c>
      <c r="P61" s="5" t="s">
        <v>24</v>
      </c>
      <c r="Q61" s="5" t="s">
        <v>24</v>
      </c>
      <c r="R61" s="5" t="s">
        <v>24</v>
      </c>
      <c r="S61" s="5" t="s">
        <v>1852</v>
      </c>
      <c r="T61" s="5" t="s">
        <v>2271</v>
      </c>
      <c r="U61" s="5" t="s">
        <v>2271</v>
      </c>
      <c r="V61" s="5" t="s">
        <v>1854</v>
      </c>
      <c r="W61" s="5" t="s">
        <v>24</v>
      </c>
      <c r="X61" s="5" t="s">
        <v>24</v>
      </c>
      <c r="Y61" s="5" t="s">
        <v>2272</v>
      </c>
      <c r="Z61" s="5" t="s">
        <v>2273</v>
      </c>
      <c r="AA61" s="5" t="s">
        <v>2273</v>
      </c>
      <c r="AB61" s="5" t="s">
        <v>2273</v>
      </c>
      <c r="AC61" s="5" t="s">
        <v>2274</v>
      </c>
      <c r="AD61" s="5" t="s">
        <v>24</v>
      </c>
      <c r="AE61" s="5" t="s">
        <v>24</v>
      </c>
      <c r="AF61" s="5" t="s">
        <v>24</v>
      </c>
      <c r="AG61" s="5" t="s">
        <v>24</v>
      </c>
      <c r="AH61" s="5" t="s">
        <v>24</v>
      </c>
      <c r="AI61" s="5" t="s">
        <v>24</v>
      </c>
      <c r="AJ61" s="5" t="s">
        <v>24</v>
      </c>
      <c r="AK61" s="5" t="s">
        <v>24</v>
      </c>
      <c r="AL61" s="5" t="str">
        <f>VLOOKUP(mambo!$H61,Sheet1!B:C,2,FALSE)</f>
        <v>1855029</v>
      </c>
    </row>
    <row r="62" ht="15.75" customHeight="1">
      <c r="A62" s="5" t="s">
        <v>2275</v>
      </c>
      <c r="B62" s="5" t="s">
        <v>2276</v>
      </c>
      <c r="C62" s="5" t="s">
        <v>106</v>
      </c>
      <c r="D62" s="5" t="s">
        <v>24</v>
      </c>
      <c r="E62" s="5" t="s">
        <v>1848</v>
      </c>
      <c r="F62" s="5" t="s">
        <v>1849</v>
      </c>
      <c r="G62" s="5" t="s">
        <v>24</v>
      </c>
      <c r="H62" s="5" t="s">
        <v>46</v>
      </c>
      <c r="I62" s="5" t="s">
        <v>24</v>
      </c>
      <c r="J62" s="5" t="s">
        <v>24</v>
      </c>
      <c r="K62" s="5" t="s">
        <v>24</v>
      </c>
      <c r="L62" s="5" t="s">
        <v>24</v>
      </c>
      <c r="M62" s="5" t="s">
        <v>24</v>
      </c>
      <c r="N62" s="5" t="s">
        <v>24</v>
      </c>
      <c r="O62" s="5" t="s">
        <v>1851</v>
      </c>
      <c r="P62" s="5" t="s">
        <v>24</v>
      </c>
      <c r="Q62" s="5" t="s">
        <v>24</v>
      </c>
      <c r="R62" s="5" t="s">
        <v>24</v>
      </c>
      <c r="S62" s="5" t="s">
        <v>1852</v>
      </c>
      <c r="T62" s="5" t="s">
        <v>1861</v>
      </c>
      <c r="U62" s="5" t="s">
        <v>1861</v>
      </c>
      <c r="V62" s="5" t="s">
        <v>1854</v>
      </c>
      <c r="W62" s="5" t="s">
        <v>24</v>
      </c>
      <c r="X62" s="5" t="s">
        <v>24</v>
      </c>
      <c r="Y62" s="5" t="s">
        <v>2277</v>
      </c>
      <c r="Z62" s="5" t="s">
        <v>2278</v>
      </c>
      <c r="AA62" s="5" t="s">
        <v>2278</v>
      </c>
      <c r="AB62" s="5" t="s">
        <v>2278</v>
      </c>
      <c r="AC62" s="5" t="s">
        <v>2279</v>
      </c>
      <c r="AD62" s="5" t="s">
        <v>2280</v>
      </c>
      <c r="AE62" s="5" t="s">
        <v>24</v>
      </c>
      <c r="AF62" s="5" t="s">
        <v>24</v>
      </c>
      <c r="AG62" s="5" t="s">
        <v>24</v>
      </c>
      <c r="AH62" s="5" t="s">
        <v>24</v>
      </c>
      <c r="AI62" s="5" t="s">
        <v>24</v>
      </c>
      <c r="AJ62" s="5" t="s">
        <v>24</v>
      </c>
      <c r="AK62" s="5" t="s">
        <v>24</v>
      </c>
      <c r="AL62" s="5" t="str">
        <f>VLOOKUP(mambo!$H62,Sheet1!B:C,2,FALSE)</f>
        <v>1038722</v>
      </c>
    </row>
    <row r="63" ht="15.75" customHeight="1">
      <c r="A63" s="5" t="s">
        <v>2281</v>
      </c>
      <c r="B63" s="5" t="s">
        <v>383</v>
      </c>
      <c r="C63" s="5" t="s">
        <v>227</v>
      </c>
      <c r="D63" s="5" t="s">
        <v>24</v>
      </c>
      <c r="E63" s="5" t="s">
        <v>1848</v>
      </c>
      <c r="F63" s="5" t="s">
        <v>1849</v>
      </c>
      <c r="G63" s="5" t="s">
        <v>24</v>
      </c>
      <c r="H63" s="5" t="s">
        <v>384</v>
      </c>
      <c r="I63" s="5" t="s">
        <v>24</v>
      </c>
      <c r="J63" s="5" t="s">
        <v>24</v>
      </c>
      <c r="K63" s="5" t="s">
        <v>24</v>
      </c>
      <c r="L63" s="5" t="s">
        <v>24</v>
      </c>
      <c r="M63" s="5" t="s">
        <v>24</v>
      </c>
      <c r="N63" s="5" t="s">
        <v>24</v>
      </c>
      <c r="O63" s="5" t="s">
        <v>1933</v>
      </c>
      <c r="P63" s="5" t="s">
        <v>24</v>
      </c>
      <c r="Q63" s="5" t="s">
        <v>24</v>
      </c>
      <c r="R63" s="5" t="s">
        <v>24</v>
      </c>
      <c r="S63" s="5" t="s">
        <v>1852</v>
      </c>
      <c r="T63" s="5" t="s">
        <v>2086</v>
      </c>
      <c r="U63" s="5" t="s">
        <v>2086</v>
      </c>
      <c r="V63" s="5" t="s">
        <v>1854</v>
      </c>
      <c r="W63" s="5" t="s">
        <v>24</v>
      </c>
      <c r="X63" s="5" t="s">
        <v>24</v>
      </c>
      <c r="Y63" s="5" t="s">
        <v>2282</v>
      </c>
      <c r="Z63" s="5" t="s">
        <v>2283</v>
      </c>
      <c r="AA63" s="5" t="s">
        <v>2283</v>
      </c>
      <c r="AB63" s="5" t="s">
        <v>2283</v>
      </c>
      <c r="AC63" s="5" t="s">
        <v>2284</v>
      </c>
      <c r="AD63" s="5" t="s">
        <v>2285</v>
      </c>
      <c r="AE63" s="5" t="s">
        <v>2286</v>
      </c>
      <c r="AF63" s="5" t="s">
        <v>2287</v>
      </c>
      <c r="AG63" s="5" t="s">
        <v>2288</v>
      </c>
      <c r="AH63" s="5" t="s">
        <v>2289</v>
      </c>
      <c r="AI63" s="5" t="s">
        <v>24</v>
      </c>
      <c r="AJ63" s="5" t="s">
        <v>24</v>
      </c>
      <c r="AK63" s="5" t="s">
        <v>24</v>
      </c>
      <c r="AL63" s="5" t="str">
        <f>VLOOKUP(mambo!$H63,Sheet1!B:C,2,FALSE)</f>
        <v>0281225</v>
      </c>
    </row>
    <row r="64" ht="15.75" customHeight="1">
      <c r="A64" s="5" t="s">
        <v>2290</v>
      </c>
      <c r="B64" s="5" t="s">
        <v>2291</v>
      </c>
      <c r="C64" s="5" t="s">
        <v>227</v>
      </c>
      <c r="D64" s="5" t="s">
        <v>24</v>
      </c>
      <c r="E64" s="5" t="s">
        <v>1848</v>
      </c>
      <c r="F64" s="5" t="s">
        <v>1849</v>
      </c>
      <c r="G64" s="5" t="s">
        <v>24</v>
      </c>
      <c r="H64" s="5" t="s">
        <v>31</v>
      </c>
      <c r="I64" s="5" t="s">
        <v>24</v>
      </c>
      <c r="J64" s="5" t="s">
        <v>24</v>
      </c>
      <c r="K64" s="5" t="s">
        <v>24</v>
      </c>
      <c r="L64" s="5" t="s">
        <v>24</v>
      </c>
      <c r="M64" s="5" t="s">
        <v>24</v>
      </c>
      <c r="N64" s="5" t="s">
        <v>24</v>
      </c>
      <c r="O64" s="5" t="s">
        <v>1851</v>
      </c>
      <c r="P64" s="5" t="s">
        <v>24</v>
      </c>
      <c r="Q64" s="5" t="s">
        <v>24</v>
      </c>
      <c r="R64" s="5" t="s">
        <v>24</v>
      </c>
      <c r="S64" s="5" t="s">
        <v>1852</v>
      </c>
      <c r="T64" s="5" t="s">
        <v>1872</v>
      </c>
      <c r="U64" s="5" t="s">
        <v>1872</v>
      </c>
      <c r="V64" s="5" t="s">
        <v>1854</v>
      </c>
      <c r="W64" s="5" t="s">
        <v>24</v>
      </c>
      <c r="X64" s="5" t="s">
        <v>24</v>
      </c>
      <c r="Y64" s="5" t="s">
        <v>2292</v>
      </c>
      <c r="Z64" s="5" t="s">
        <v>2293</v>
      </c>
      <c r="AA64" s="5" t="s">
        <v>2293</v>
      </c>
      <c r="AB64" s="5" t="s">
        <v>2293</v>
      </c>
      <c r="AC64" s="5" t="s">
        <v>2294</v>
      </c>
      <c r="AD64" s="5" t="s">
        <v>2295</v>
      </c>
      <c r="AE64" s="5" t="s">
        <v>2296</v>
      </c>
      <c r="AF64" s="5" t="s">
        <v>2297</v>
      </c>
      <c r="AG64" s="5" t="s">
        <v>24</v>
      </c>
      <c r="AH64" s="5" t="s">
        <v>24</v>
      </c>
      <c r="AI64" s="5" t="s">
        <v>24</v>
      </c>
      <c r="AJ64" s="5" t="s">
        <v>24</v>
      </c>
      <c r="AK64" s="5" t="s">
        <v>24</v>
      </c>
      <c r="AL64" s="5" t="str">
        <f>VLOOKUP(mambo!$H64,Sheet1!B:C,2,FALSE)</f>
        <v>0183567</v>
      </c>
    </row>
    <row r="65" ht="15.75" hidden="1" customHeight="1">
      <c r="A65" s="5" t="s">
        <v>2298</v>
      </c>
      <c r="B65" s="5" t="s">
        <v>2299</v>
      </c>
      <c r="C65" s="5" t="s">
        <v>2300</v>
      </c>
      <c r="D65" s="5" t="s">
        <v>24</v>
      </c>
      <c r="E65" s="5" t="s">
        <v>1848</v>
      </c>
      <c r="F65" s="5" t="s">
        <v>1849</v>
      </c>
      <c r="G65" s="5" t="s">
        <v>24</v>
      </c>
      <c r="H65" s="5" t="s">
        <v>2301</v>
      </c>
      <c r="I65" s="5" t="s">
        <v>24</v>
      </c>
      <c r="J65" s="5" t="s">
        <v>24</v>
      </c>
      <c r="K65" s="5" t="s">
        <v>24</v>
      </c>
      <c r="L65" s="5" t="s">
        <v>24</v>
      </c>
      <c r="M65" s="5" t="s">
        <v>24</v>
      </c>
      <c r="N65" s="5" t="s">
        <v>24</v>
      </c>
      <c r="O65" s="5" t="s">
        <v>1851</v>
      </c>
      <c r="P65" s="5" t="s">
        <v>24</v>
      </c>
      <c r="Q65" s="5" t="s">
        <v>24</v>
      </c>
      <c r="R65" s="5" t="s">
        <v>24</v>
      </c>
      <c r="S65" s="5" t="s">
        <v>1852</v>
      </c>
      <c r="T65" s="5" t="s">
        <v>2302</v>
      </c>
      <c r="U65" s="5" t="s">
        <v>2302</v>
      </c>
      <c r="V65" s="5" t="s">
        <v>1854</v>
      </c>
      <c r="W65" s="5" t="s">
        <v>24</v>
      </c>
      <c r="X65" s="5" t="s">
        <v>24</v>
      </c>
      <c r="Y65" s="5" t="s">
        <v>2303</v>
      </c>
      <c r="Z65" s="5" t="s">
        <v>2304</v>
      </c>
      <c r="AA65" s="5" t="s">
        <v>2304</v>
      </c>
      <c r="AB65" s="5" t="s">
        <v>2304</v>
      </c>
      <c r="AC65" s="5" t="s">
        <v>24</v>
      </c>
      <c r="AD65" s="5" t="s">
        <v>24</v>
      </c>
      <c r="AE65" s="5" t="s">
        <v>24</v>
      </c>
      <c r="AF65" s="5" t="s">
        <v>24</v>
      </c>
      <c r="AG65" s="5" t="s">
        <v>24</v>
      </c>
      <c r="AH65" s="5" t="s">
        <v>24</v>
      </c>
      <c r="AI65" s="5" t="s">
        <v>24</v>
      </c>
      <c r="AJ65" s="5" t="s">
        <v>24</v>
      </c>
      <c r="AK65" s="5" t="s">
        <v>24</v>
      </c>
      <c r="AL65" s="5" t="str">
        <f>VLOOKUP(mambo!$H65,Sheet1!B:C,2,FALSE)</f>
        <v>#N/A</v>
      </c>
    </row>
    <row r="66" ht="15.75" hidden="1" customHeight="1">
      <c r="A66" s="5" t="s">
        <v>2305</v>
      </c>
      <c r="B66" s="5" t="s">
        <v>2306</v>
      </c>
      <c r="C66" s="5" t="s">
        <v>2307</v>
      </c>
      <c r="D66" s="5" t="s">
        <v>24</v>
      </c>
      <c r="E66" s="5" t="s">
        <v>1848</v>
      </c>
      <c r="F66" s="5" t="s">
        <v>1849</v>
      </c>
      <c r="G66" s="5" t="s">
        <v>24</v>
      </c>
      <c r="H66" s="5" t="s">
        <v>2308</v>
      </c>
      <c r="I66" s="5" t="s">
        <v>24</v>
      </c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1851</v>
      </c>
      <c r="P66" s="5" t="s">
        <v>24</v>
      </c>
      <c r="Q66" s="5" t="s">
        <v>24</v>
      </c>
      <c r="R66" s="5" t="s">
        <v>24</v>
      </c>
      <c r="S66" s="5" t="s">
        <v>1852</v>
      </c>
      <c r="T66" s="5" t="s">
        <v>2042</v>
      </c>
      <c r="U66" s="5" t="s">
        <v>2042</v>
      </c>
      <c r="V66" s="5" t="s">
        <v>1854</v>
      </c>
      <c r="W66" s="5" t="s">
        <v>24</v>
      </c>
      <c r="X66" s="5" t="s">
        <v>24</v>
      </c>
      <c r="Y66" s="5" t="s">
        <v>2309</v>
      </c>
      <c r="Z66" s="5" t="s">
        <v>2310</v>
      </c>
      <c r="AA66" s="5" t="s">
        <v>2310</v>
      </c>
      <c r="AB66" s="5" t="s">
        <v>2310</v>
      </c>
      <c r="AC66" s="5" t="s">
        <v>24</v>
      </c>
      <c r="AD66" s="5" t="s">
        <v>24</v>
      </c>
      <c r="AE66" s="5" t="s">
        <v>24</v>
      </c>
      <c r="AF66" s="5" t="s">
        <v>24</v>
      </c>
      <c r="AG66" s="5" t="s">
        <v>24</v>
      </c>
      <c r="AH66" s="5" t="s">
        <v>24</v>
      </c>
      <c r="AI66" s="5" t="s">
        <v>24</v>
      </c>
      <c r="AJ66" s="5" t="s">
        <v>24</v>
      </c>
      <c r="AK66" s="5" t="s">
        <v>24</v>
      </c>
      <c r="AL66" s="5" t="str">
        <f>VLOOKUP(mambo!$H66,Sheet1!B:C,2,FALSE)</f>
        <v>#N/A</v>
      </c>
    </row>
    <row r="67" ht="15.75" customHeight="1">
      <c r="A67" s="5" t="s">
        <v>2311</v>
      </c>
      <c r="B67" s="5" t="s">
        <v>2312</v>
      </c>
      <c r="C67" s="5" t="s">
        <v>106</v>
      </c>
      <c r="D67" s="5" t="s">
        <v>24</v>
      </c>
      <c r="E67" s="5" t="s">
        <v>1848</v>
      </c>
      <c r="F67" s="5" t="s">
        <v>1849</v>
      </c>
      <c r="G67" s="5" t="s">
        <v>24</v>
      </c>
      <c r="H67" s="5" t="s">
        <v>25</v>
      </c>
      <c r="I67" s="5" t="s">
        <v>24</v>
      </c>
      <c r="J67" s="5" t="s">
        <v>24</v>
      </c>
      <c r="K67" s="5" t="s">
        <v>24</v>
      </c>
      <c r="L67" s="5" t="s">
        <v>24</v>
      </c>
      <c r="M67" s="5" t="s">
        <v>24</v>
      </c>
      <c r="N67" s="5" t="s">
        <v>24</v>
      </c>
      <c r="O67" s="5" t="s">
        <v>1851</v>
      </c>
      <c r="P67" s="5" t="s">
        <v>24</v>
      </c>
      <c r="Q67" s="5" t="s">
        <v>24</v>
      </c>
      <c r="R67" s="5" t="s">
        <v>24</v>
      </c>
      <c r="S67" s="5" t="s">
        <v>1852</v>
      </c>
      <c r="T67" s="5" t="s">
        <v>1861</v>
      </c>
      <c r="U67" s="5" t="s">
        <v>1861</v>
      </c>
      <c r="V67" s="5" t="s">
        <v>1854</v>
      </c>
      <c r="W67" s="5" t="s">
        <v>24</v>
      </c>
      <c r="X67" s="5" t="s">
        <v>24</v>
      </c>
      <c r="Y67" s="5" t="s">
        <v>2313</v>
      </c>
      <c r="Z67" s="5" t="s">
        <v>2314</v>
      </c>
      <c r="AA67" s="5" t="s">
        <v>2314</v>
      </c>
      <c r="AB67" s="5" t="s">
        <v>2314</v>
      </c>
      <c r="AC67" s="5" t="s">
        <v>2315</v>
      </c>
      <c r="AD67" s="5" t="s">
        <v>2316</v>
      </c>
      <c r="AE67" s="5" t="s">
        <v>24</v>
      </c>
      <c r="AF67" s="5" t="s">
        <v>24</v>
      </c>
      <c r="AG67" s="5" t="s">
        <v>24</v>
      </c>
      <c r="AH67" s="5" t="s">
        <v>24</v>
      </c>
      <c r="AI67" s="5" t="s">
        <v>24</v>
      </c>
      <c r="AJ67" s="5" t="s">
        <v>24</v>
      </c>
      <c r="AK67" s="5" t="s">
        <v>24</v>
      </c>
      <c r="AL67" s="5" t="str">
        <f>VLOOKUP(mambo!$H67,Sheet1!B:C,2,FALSE)</f>
        <v>1038723</v>
      </c>
    </row>
    <row r="68" ht="15.75" hidden="1" customHeight="1">
      <c r="A68" s="5" t="s">
        <v>2317</v>
      </c>
      <c r="B68" s="5" t="s">
        <v>2318</v>
      </c>
      <c r="C68" s="5" t="s">
        <v>1847</v>
      </c>
      <c r="D68" s="5" t="s">
        <v>24</v>
      </c>
      <c r="E68" s="5" t="s">
        <v>1848</v>
      </c>
      <c r="F68" s="5" t="s">
        <v>1849</v>
      </c>
      <c r="G68" s="5" t="s">
        <v>24</v>
      </c>
      <c r="H68" s="5" t="s">
        <v>2319</v>
      </c>
      <c r="I68" s="5" t="s">
        <v>24</v>
      </c>
      <c r="J68" s="5" t="s">
        <v>24</v>
      </c>
      <c r="K68" s="5" t="s">
        <v>24</v>
      </c>
      <c r="L68" s="5" t="s">
        <v>24</v>
      </c>
      <c r="M68" s="5" t="s">
        <v>24</v>
      </c>
      <c r="N68" s="5" t="s">
        <v>24</v>
      </c>
      <c r="O68" s="5" t="s">
        <v>1851</v>
      </c>
      <c r="P68" s="5" t="s">
        <v>24</v>
      </c>
      <c r="Q68" s="5" t="s">
        <v>24</v>
      </c>
      <c r="R68" s="5" t="s">
        <v>24</v>
      </c>
      <c r="S68" s="5" t="s">
        <v>1852</v>
      </c>
      <c r="T68" s="5" t="s">
        <v>1853</v>
      </c>
      <c r="U68" s="5" t="s">
        <v>1853</v>
      </c>
      <c r="V68" s="5" t="s">
        <v>1854</v>
      </c>
      <c r="W68" s="5" t="s">
        <v>24</v>
      </c>
      <c r="X68" s="5" t="s">
        <v>24</v>
      </c>
      <c r="Y68" s="5" t="s">
        <v>2320</v>
      </c>
      <c r="Z68" s="5" t="s">
        <v>2321</v>
      </c>
      <c r="AA68" s="5" t="s">
        <v>2321</v>
      </c>
      <c r="AB68" s="5" t="s">
        <v>2321</v>
      </c>
      <c r="AC68" s="5" t="s">
        <v>24</v>
      </c>
      <c r="AD68" s="5" t="s">
        <v>24</v>
      </c>
      <c r="AE68" s="5" t="s">
        <v>24</v>
      </c>
      <c r="AF68" s="5" t="s">
        <v>24</v>
      </c>
      <c r="AG68" s="5" t="s">
        <v>24</v>
      </c>
      <c r="AH68" s="5" t="s">
        <v>24</v>
      </c>
      <c r="AI68" s="5" t="s">
        <v>24</v>
      </c>
      <c r="AJ68" s="5" t="s">
        <v>24</v>
      </c>
      <c r="AK68" s="5" t="s">
        <v>24</v>
      </c>
      <c r="AL68" s="5" t="str">
        <f>VLOOKUP(mambo!$H68,Sheet1!B:C,2,FALSE)</f>
        <v>#N/A</v>
      </c>
    </row>
    <row r="69" ht="15.75" hidden="1" customHeight="1">
      <c r="A69" s="5" t="s">
        <v>2322</v>
      </c>
      <c r="B69" s="5" t="s">
        <v>2323</v>
      </c>
      <c r="C69" s="5" t="s">
        <v>145</v>
      </c>
      <c r="D69" s="5" t="s">
        <v>24</v>
      </c>
      <c r="E69" s="5" t="s">
        <v>1848</v>
      </c>
      <c r="F69" s="5" t="s">
        <v>1849</v>
      </c>
      <c r="G69" s="5" t="s">
        <v>24</v>
      </c>
      <c r="H69" s="5" t="s">
        <v>2324</v>
      </c>
      <c r="I69" s="5" t="s">
        <v>24</v>
      </c>
      <c r="J69" s="5" t="s">
        <v>24</v>
      </c>
      <c r="K69" s="5" t="s">
        <v>24</v>
      </c>
      <c r="L69" s="5" t="s">
        <v>24</v>
      </c>
      <c r="M69" s="5" t="s">
        <v>1885</v>
      </c>
      <c r="N69" s="5" t="s">
        <v>24</v>
      </c>
      <c r="O69" s="5" t="s">
        <v>1894</v>
      </c>
      <c r="P69" s="5" t="s">
        <v>24</v>
      </c>
      <c r="Q69" s="5" t="s">
        <v>24</v>
      </c>
      <c r="R69" s="5" t="s">
        <v>24</v>
      </c>
      <c r="S69" s="5" t="s">
        <v>1852</v>
      </c>
      <c r="T69" s="5" t="s">
        <v>2325</v>
      </c>
      <c r="U69" s="5" t="s">
        <v>2325</v>
      </c>
      <c r="V69" s="5" t="s">
        <v>1854</v>
      </c>
      <c r="W69" s="5" t="s">
        <v>24</v>
      </c>
      <c r="X69" s="5" t="s">
        <v>24</v>
      </c>
      <c r="Y69" s="5" t="s">
        <v>2326</v>
      </c>
      <c r="Z69" s="5" t="s">
        <v>2327</v>
      </c>
      <c r="AA69" s="5" t="s">
        <v>2327</v>
      </c>
      <c r="AB69" s="5" t="s">
        <v>2327</v>
      </c>
      <c r="AC69" s="5" t="s">
        <v>24</v>
      </c>
      <c r="AD69" s="5" t="s">
        <v>24</v>
      </c>
      <c r="AE69" s="5" t="s">
        <v>24</v>
      </c>
      <c r="AF69" s="5" t="s">
        <v>24</v>
      </c>
      <c r="AG69" s="5" t="s">
        <v>24</v>
      </c>
      <c r="AH69" s="5" t="s">
        <v>24</v>
      </c>
      <c r="AI69" s="5" t="s">
        <v>24</v>
      </c>
      <c r="AJ69" s="5" t="s">
        <v>24</v>
      </c>
      <c r="AK69" s="5" t="s">
        <v>24</v>
      </c>
      <c r="AL69" s="5" t="str">
        <f>VLOOKUP(mambo!$H69,Sheet1!B:C,2,FALSE)</f>
        <v>#N/A</v>
      </c>
    </row>
    <row r="70" ht="15.75" customHeight="1">
      <c r="A70" s="5" t="s">
        <v>2328</v>
      </c>
      <c r="B70" s="5" t="s">
        <v>2329</v>
      </c>
      <c r="C70" s="5" t="s">
        <v>227</v>
      </c>
      <c r="D70" s="5" t="s">
        <v>24</v>
      </c>
      <c r="E70" s="5" t="s">
        <v>1848</v>
      </c>
      <c r="F70" s="5" t="s">
        <v>1849</v>
      </c>
      <c r="G70" s="5" t="s">
        <v>24</v>
      </c>
      <c r="H70" s="5" t="s">
        <v>233</v>
      </c>
      <c r="I70" s="5" t="s">
        <v>24</v>
      </c>
      <c r="J70" s="5" t="s">
        <v>24</v>
      </c>
      <c r="K70" s="5" t="s">
        <v>24</v>
      </c>
      <c r="L70" s="5" t="s">
        <v>24</v>
      </c>
      <c r="M70" s="5" t="s">
        <v>1885</v>
      </c>
      <c r="N70" s="5" t="s">
        <v>24</v>
      </c>
      <c r="O70" s="5" t="s">
        <v>1986</v>
      </c>
      <c r="P70" s="5" t="s">
        <v>24</v>
      </c>
      <c r="Q70" s="5" t="s">
        <v>24</v>
      </c>
      <c r="R70" s="5" t="s">
        <v>24</v>
      </c>
      <c r="S70" s="5" t="s">
        <v>1852</v>
      </c>
      <c r="T70" s="5" t="s">
        <v>1970</v>
      </c>
      <c r="U70" s="5" t="s">
        <v>1970</v>
      </c>
      <c r="V70" s="5" t="s">
        <v>1854</v>
      </c>
      <c r="W70" s="5" t="s">
        <v>24</v>
      </c>
      <c r="X70" s="5" t="s">
        <v>24</v>
      </c>
      <c r="Y70" s="5" t="s">
        <v>2330</v>
      </c>
      <c r="Z70" s="5" t="s">
        <v>2331</v>
      </c>
      <c r="AA70" s="5" t="s">
        <v>2331</v>
      </c>
      <c r="AB70" s="5" t="s">
        <v>2331</v>
      </c>
      <c r="AC70" s="5" t="s">
        <v>2332</v>
      </c>
      <c r="AD70" s="5" t="s">
        <v>2333</v>
      </c>
      <c r="AE70" s="5" t="s">
        <v>2334</v>
      </c>
      <c r="AF70" s="5" t="s">
        <v>24</v>
      </c>
      <c r="AG70" s="5" t="s">
        <v>24</v>
      </c>
      <c r="AH70" s="5" t="s">
        <v>24</v>
      </c>
      <c r="AI70" s="5" t="s">
        <v>24</v>
      </c>
      <c r="AJ70" s="5" t="s">
        <v>24</v>
      </c>
      <c r="AK70" s="5" t="s">
        <v>24</v>
      </c>
      <c r="AL70" s="5" t="str">
        <f>VLOOKUP(mambo!$H70,Sheet1!B:C,2,FALSE)</f>
        <v>1042386</v>
      </c>
    </row>
    <row r="71" ht="15.75" customHeight="1">
      <c r="A71" s="5" t="s">
        <v>2335</v>
      </c>
      <c r="B71" s="5" t="s">
        <v>2336</v>
      </c>
      <c r="C71" s="5" t="s">
        <v>227</v>
      </c>
      <c r="D71" s="5" t="s">
        <v>24</v>
      </c>
      <c r="E71" s="5" t="s">
        <v>1848</v>
      </c>
      <c r="F71" s="5" t="s">
        <v>1849</v>
      </c>
      <c r="G71" s="5" t="s">
        <v>24</v>
      </c>
      <c r="H71" s="5" t="s">
        <v>269</v>
      </c>
      <c r="I71" s="5" t="s">
        <v>24</v>
      </c>
      <c r="J71" s="5" t="s">
        <v>24</v>
      </c>
      <c r="K71" s="5" t="s">
        <v>24</v>
      </c>
      <c r="L71" s="5" t="s">
        <v>24</v>
      </c>
      <c r="M71" s="5" t="s">
        <v>1885</v>
      </c>
      <c r="N71" s="5" t="s">
        <v>24</v>
      </c>
      <c r="O71" s="5" t="s">
        <v>2337</v>
      </c>
      <c r="P71" s="5" t="s">
        <v>24</v>
      </c>
      <c r="Q71" s="5" t="s">
        <v>24</v>
      </c>
      <c r="R71" s="5" t="s">
        <v>24</v>
      </c>
      <c r="S71" s="5" t="s">
        <v>2020</v>
      </c>
      <c r="T71" s="5" t="s">
        <v>2021</v>
      </c>
      <c r="U71" s="5" t="s">
        <v>2021</v>
      </c>
      <c r="V71" s="5" t="s">
        <v>24</v>
      </c>
      <c r="W71" s="5" t="s">
        <v>24</v>
      </c>
      <c r="X71" s="5" t="s">
        <v>24</v>
      </c>
      <c r="Y71" s="5" t="s">
        <v>2338</v>
      </c>
      <c r="Z71" s="5" t="s">
        <v>2339</v>
      </c>
      <c r="AA71" s="5" t="s">
        <v>2339</v>
      </c>
      <c r="AB71" s="5" t="s">
        <v>2339</v>
      </c>
      <c r="AC71" s="5" t="s">
        <v>2340</v>
      </c>
      <c r="AD71" s="5" t="s">
        <v>2341</v>
      </c>
      <c r="AE71" s="5" t="s">
        <v>2342</v>
      </c>
      <c r="AF71" s="5" t="s">
        <v>24</v>
      </c>
      <c r="AG71" s="5" t="s">
        <v>24</v>
      </c>
      <c r="AH71" s="5" t="s">
        <v>24</v>
      </c>
      <c r="AI71" s="5" t="s">
        <v>24</v>
      </c>
      <c r="AJ71" s="5" t="s">
        <v>24</v>
      </c>
      <c r="AK71" s="5" t="s">
        <v>24</v>
      </c>
      <c r="AL71" s="5" t="str">
        <f>VLOOKUP(mambo!$H71,Sheet1!B:C,2,FALSE)</f>
        <v>1042387</v>
      </c>
    </row>
    <row r="72" ht="15.75" hidden="1" customHeight="1">
      <c r="A72" s="5" t="s">
        <v>2343</v>
      </c>
      <c r="B72" s="5" t="s">
        <v>2344</v>
      </c>
      <c r="C72" s="5" t="s">
        <v>145</v>
      </c>
      <c r="D72" s="5" t="s">
        <v>24</v>
      </c>
      <c r="E72" s="5" t="s">
        <v>1848</v>
      </c>
      <c r="F72" s="5" t="s">
        <v>1849</v>
      </c>
      <c r="G72" s="5" t="s">
        <v>24</v>
      </c>
      <c r="H72" s="5" t="s">
        <v>2345</v>
      </c>
      <c r="I72" s="5" t="s">
        <v>24</v>
      </c>
      <c r="J72" s="5" t="s">
        <v>24</v>
      </c>
      <c r="K72" s="5" t="s">
        <v>24</v>
      </c>
      <c r="L72" s="5" t="s">
        <v>24</v>
      </c>
      <c r="M72" s="5" t="s">
        <v>1885</v>
      </c>
      <c r="N72" s="5" t="s">
        <v>24</v>
      </c>
      <c r="O72" s="5" t="s">
        <v>1894</v>
      </c>
      <c r="P72" s="5" t="s">
        <v>24</v>
      </c>
      <c r="Q72" s="5" t="s">
        <v>24</v>
      </c>
      <c r="R72" s="5" t="s">
        <v>24</v>
      </c>
      <c r="S72" s="5" t="s">
        <v>1852</v>
      </c>
      <c r="T72" s="5" t="s">
        <v>2325</v>
      </c>
      <c r="U72" s="5" t="s">
        <v>2325</v>
      </c>
      <c r="V72" s="5" t="s">
        <v>1854</v>
      </c>
      <c r="W72" s="5" t="s">
        <v>24</v>
      </c>
      <c r="X72" s="5" t="s">
        <v>24</v>
      </c>
      <c r="Y72" s="5" t="s">
        <v>2346</v>
      </c>
      <c r="Z72" s="5" t="s">
        <v>2347</v>
      </c>
      <c r="AA72" s="5" t="s">
        <v>2347</v>
      </c>
      <c r="AB72" s="5" t="s">
        <v>2347</v>
      </c>
      <c r="AC72" s="5" t="s">
        <v>2348</v>
      </c>
      <c r="AD72" s="5" t="s">
        <v>2349</v>
      </c>
      <c r="AE72" s="5" t="s">
        <v>24</v>
      </c>
      <c r="AF72" s="5" t="s">
        <v>24</v>
      </c>
      <c r="AG72" s="5" t="s">
        <v>24</v>
      </c>
      <c r="AH72" s="5" t="s">
        <v>24</v>
      </c>
      <c r="AI72" s="5" t="s">
        <v>24</v>
      </c>
      <c r="AJ72" s="5" t="s">
        <v>24</v>
      </c>
      <c r="AK72" s="5" t="s">
        <v>24</v>
      </c>
      <c r="AL72" s="5" t="str">
        <f>VLOOKUP(mambo!$H72,Sheet1!B:C,2,FALSE)</f>
        <v>#N/A</v>
      </c>
    </row>
    <row r="73" ht="15.75" customHeight="1">
      <c r="A73" s="5" t="s">
        <v>2350</v>
      </c>
      <c r="B73" s="5" t="s">
        <v>2351</v>
      </c>
      <c r="C73" s="5" t="s">
        <v>503</v>
      </c>
      <c r="D73" s="5" t="s">
        <v>24</v>
      </c>
      <c r="E73" s="5" t="s">
        <v>1848</v>
      </c>
      <c r="F73" s="5" t="s">
        <v>1849</v>
      </c>
      <c r="G73" s="5" t="s">
        <v>24</v>
      </c>
      <c r="H73" s="5" t="s">
        <v>1328</v>
      </c>
      <c r="I73" s="5" t="s">
        <v>24</v>
      </c>
      <c r="J73" s="5" t="s">
        <v>24</v>
      </c>
      <c r="K73" s="5" t="s">
        <v>24</v>
      </c>
      <c r="L73" s="5" t="s">
        <v>24</v>
      </c>
      <c r="M73" s="5" t="s">
        <v>24</v>
      </c>
      <c r="N73" s="5" t="s">
        <v>24</v>
      </c>
      <c r="O73" s="5" t="s">
        <v>1933</v>
      </c>
      <c r="P73" s="5" t="s">
        <v>24</v>
      </c>
      <c r="Q73" s="5" t="s">
        <v>24</v>
      </c>
      <c r="R73" s="5" t="s">
        <v>24</v>
      </c>
      <c r="S73" s="5" t="s">
        <v>1852</v>
      </c>
      <c r="T73" s="5" t="s">
        <v>2352</v>
      </c>
      <c r="U73" s="5" t="s">
        <v>2352</v>
      </c>
      <c r="V73" s="5" t="s">
        <v>1854</v>
      </c>
      <c r="W73" s="5" t="s">
        <v>24</v>
      </c>
      <c r="X73" s="5" t="s">
        <v>24</v>
      </c>
      <c r="Y73" s="5" t="s">
        <v>2353</v>
      </c>
      <c r="Z73" s="5" t="s">
        <v>2354</v>
      </c>
      <c r="AA73" s="5" t="s">
        <v>2354</v>
      </c>
      <c r="AB73" s="5" t="s">
        <v>2354</v>
      </c>
      <c r="AC73" s="5" t="s">
        <v>2355</v>
      </c>
      <c r="AD73" s="5" t="s">
        <v>2356</v>
      </c>
      <c r="AE73" s="5" t="s">
        <v>2357</v>
      </c>
      <c r="AF73" s="5" t="s">
        <v>2358</v>
      </c>
      <c r="AG73" s="5" t="s">
        <v>2359</v>
      </c>
      <c r="AH73" s="5" t="s">
        <v>2360</v>
      </c>
      <c r="AI73" s="5" t="s">
        <v>24</v>
      </c>
      <c r="AJ73" s="5" t="s">
        <v>24</v>
      </c>
      <c r="AK73" s="5" t="s">
        <v>24</v>
      </c>
      <c r="AL73" s="5" t="str">
        <f>VLOOKUP(mambo!$H73,Sheet1!B:C,2,FALSE)</f>
        <v>1201945</v>
      </c>
    </row>
    <row r="74" ht="15.75" customHeight="1">
      <c r="A74" s="5" t="s">
        <v>2361</v>
      </c>
      <c r="B74" s="5" t="s">
        <v>2362</v>
      </c>
      <c r="C74" s="5" t="s">
        <v>227</v>
      </c>
      <c r="D74" s="5" t="s">
        <v>24</v>
      </c>
      <c r="E74" s="5" t="s">
        <v>1848</v>
      </c>
      <c r="F74" s="5" t="s">
        <v>1849</v>
      </c>
      <c r="G74" s="5" t="s">
        <v>24</v>
      </c>
      <c r="H74" s="5" t="s">
        <v>441</v>
      </c>
      <c r="I74" s="5" t="s">
        <v>24</v>
      </c>
      <c r="J74" s="5" t="s">
        <v>24</v>
      </c>
      <c r="K74" s="5" t="s">
        <v>24</v>
      </c>
      <c r="L74" s="5" t="s">
        <v>24</v>
      </c>
      <c r="M74" s="5" t="s">
        <v>24</v>
      </c>
      <c r="N74" s="5" t="s">
        <v>24</v>
      </c>
      <c r="O74" s="5" t="s">
        <v>1933</v>
      </c>
      <c r="P74" s="5" t="s">
        <v>24</v>
      </c>
      <c r="Q74" s="5" t="s">
        <v>24</v>
      </c>
      <c r="R74" s="5" t="s">
        <v>24</v>
      </c>
      <c r="S74" s="5" t="s">
        <v>1852</v>
      </c>
      <c r="T74" s="5" t="s">
        <v>2363</v>
      </c>
      <c r="U74" s="5" t="s">
        <v>2363</v>
      </c>
      <c r="V74" s="5" t="s">
        <v>1854</v>
      </c>
      <c r="W74" s="5" t="s">
        <v>24</v>
      </c>
      <c r="X74" s="5" t="s">
        <v>24</v>
      </c>
      <c r="Y74" s="5" t="s">
        <v>2364</v>
      </c>
      <c r="Z74" s="5" t="s">
        <v>2365</v>
      </c>
      <c r="AA74" s="5" t="s">
        <v>2365</v>
      </c>
      <c r="AB74" s="5" t="s">
        <v>2365</v>
      </c>
      <c r="AC74" s="5" t="s">
        <v>2366</v>
      </c>
      <c r="AD74" s="5" t="s">
        <v>2367</v>
      </c>
      <c r="AE74" s="5" t="s">
        <v>2368</v>
      </c>
      <c r="AF74" s="5" t="s">
        <v>2369</v>
      </c>
      <c r="AG74" s="5" t="s">
        <v>24</v>
      </c>
      <c r="AH74" s="5" t="s">
        <v>24</v>
      </c>
      <c r="AI74" s="5" t="s">
        <v>24</v>
      </c>
      <c r="AJ74" s="5" t="s">
        <v>24</v>
      </c>
      <c r="AK74" s="5" t="s">
        <v>24</v>
      </c>
      <c r="AL74" s="5" t="str">
        <f>VLOOKUP(mambo!$H74,Sheet1!B:C,2,FALSE)</f>
        <v>1239489</v>
      </c>
    </row>
    <row r="75" ht="15.75" hidden="1" customHeight="1">
      <c r="A75" s="5" t="s">
        <v>2370</v>
      </c>
      <c r="B75" s="5" t="s">
        <v>2371</v>
      </c>
      <c r="C75" s="5" t="s">
        <v>2372</v>
      </c>
      <c r="D75" s="5" t="s">
        <v>24</v>
      </c>
      <c r="E75" s="5" t="s">
        <v>1848</v>
      </c>
      <c r="F75" s="5" t="s">
        <v>1849</v>
      </c>
      <c r="G75" s="5" t="s">
        <v>24</v>
      </c>
      <c r="H75" s="5" t="s">
        <v>2373</v>
      </c>
      <c r="I75" s="5" t="s">
        <v>24</v>
      </c>
      <c r="J75" s="5" t="s">
        <v>24</v>
      </c>
      <c r="K75" s="5" t="s">
        <v>24</v>
      </c>
      <c r="L75" s="5" t="s">
        <v>24</v>
      </c>
      <c r="M75" s="5" t="s">
        <v>24</v>
      </c>
      <c r="N75" s="5" t="s">
        <v>24</v>
      </c>
      <c r="O75" s="5" t="s">
        <v>1851</v>
      </c>
      <c r="P75" s="5" t="s">
        <v>24</v>
      </c>
      <c r="Q75" s="5" t="s">
        <v>24</v>
      </c>
      <c r="R75" s="5" t="s">
        <v>24</v>
      </c>
      <c r="S75" s="5" t="s">
        <v>1852</v>
      </c>
      <c r="T75" s="5" t="s">
        <v>2374</v>
      </c>
      <c r="U75" s="5" t="s">
        <v>2374</v>
      </c>
      <c r="V75" s="5" t="s">
        <v>1854</v>
      </c>
      <c r="W75" s="5" t="s">
        <v>24</v>
      </c>
      <c r="X75" s="5" t="s">
        <v>24</v>
      </c>
      <c r="Y75" s="5" t="s">
        <v>2375</v>
      </c>
      <c r="Z75" s="5" t="s">
        <v>2376</v>
      </c>
      <c r="AA75" s="5" t="s">
        <v>2376</v>
      </c>
      <c r="AB75" s="5" t="s">
        <v>2376</v>
      </c>
      <c r="AC75" s="5" t="s">
        <v>2377</v>
      </c>
      <c r="AD75" s="5" t="s">
        <v>2378</v>
      </c>
      <c r="AE75" s="5" t="s">
        <v>24</v>
      </c>
      <c r="AF75" s="5" t="s">
        <v>24</v>
      </c>
      <c r="AG75" s="5" t="s">
        <v>24</v>
      </c>
      <c r="AH75" s="5" t="s">
        <v>24</v>
      </c>
      <c r="AI75" s="5" t="s">
        <v>24</v>
      </c>
      <c r="AJ75" s="5" t="s">
        <v>24</v>
      </c>
      <c r="AK75" s="5" t="s">
        <v>24</v>
      </c>
      <c r="AL75" s="5" t="str">
        <f>VLOOKUP(mambo!$H75,Sheet1!B:C,2,FALSE)</f>
        <v>#N/A</v>
      </c>
    </row>
    <row r="76" ht="15.75" customHeight="1">
      <c r="A76" s="5" t="s">
        <v>2379</v>
      </c>
      <c r="B76" s="5" t="s">
        <v>2380</v>
      </c>
      <c r="C76" s="5" t="s">
        <v>2019</v>
      </c>
      <c r="D76" s="5" t="s">
        <v>24</v>
      </c>
      <c r="E76" s="5" t="s">
        <v>1848</v>
      </c>
      <c r="F76" s="5" t="s">
        <v>1849</v>
      </c>
      <c r="G76" s="5" t="s">
        <v>24</v>
      </c>
      <c r="H76" s="5" t="s">
        <v>890</v>
      </c>
      <c r="I76" s="5" t="s">
        <v>24</v>
      </c>
      <c r="J76" s="5" t="s">
        <v>24</v>
      </c>
      <c r="K76" s="5" t="s">
        <v>24</v>
      </c>
      <c r="L76" s="5" t="s">
        <v>24</v>
      </c>
      <c r="M76" s="5" t="s">
        <v>24</v>
      </c>
      <c r="N76" s="5" t="s">
        <v>24</v>
      </c>
      <c r="O76" s="5" t="s">
        <v>1933</v>
      </c>
      <c r="P76" s="5" t="s">
        <v>24</v>
      </c>
      <c r="Q76" s="5" t="s">
        <v>24</v>
      </c>
      <c r="R76" s="5" t="s">
        <v>24</v>
      </c>
      <c r="S76" s="5" t="s">
        <v>1852</v>
      </c>
      <c r="T76" s="5" t="s">
        <v>1861</v>
      </c>
      <c r="U76" s="5" t="s">
        <v>1861</v>
      </c>
      <c r="V76" s="5" t="s">
        <v>1854</v>
      </c>
      <c r="W76" s="5" t="s">
        <v>24</v>
      </c>
      <c r="X76" s="5" t="s">
        <v>24</v>
      </c>
      <c r="Y76" s="5" t="s">
        <v>2381</v>
      </c>
      <c r="Z76" s="5" t="s">
        <v>2382</v>
      </c>
      <c r="AA76" s="5" t="s">
        <v>2382</v>
      </c>
      <c r="AB76" s="5" t="s">
        <v>2382</v>
      </c>
      <c r="AC76" s="5" t="s">
        <v>24</v>
      </c>
      <c r="AD76" s="5" t="s">
        <v>24</v>
      </c>
      <c r="AE76" s="5" t="s">
        <v>24</v>
      </c>
      <c r="AF76" s="5" t="s">
        <v>24</v>
      </c>
      <c r="AG76" s="5" t="s">
        <v>24</v>
      </c>
      <c r="AH76" s="5" t="s">
        <v>24</v>
      </c>
      <c r="AI76" s="5" t="s">
        <v>24</v>
      </c>
      <c r="AJ76" s="5" t="s">
        <v>24</v>
      </c>
      <c r="AK76" s="5" t="s">
        <v>24</v>
      </c>
      <c r="AL76" s="5" t="str">
        <f>VLOOKUP(mambo!$H76,Sheet1!B:C,2,FALSE)</f>
        <v>1354299</v>
      </c>
    </row>
    <row r="77" ht="15.75" customHeight="1">
      <c r="A77" s="5" t="s">
        <v>2383</v>
      </c>
      <c r="B77" s="5" t="s">
        <v>2384</v>
      </c>
      <c r="C77" s="5" t="s">
        <v>227</v>
      </c>
      <c r="D77" s="5" t="s">
        <v>24</v>
      </c>
      <c r="E77" s="5" t="s">
        <v>1848</v>
      </c>
      <c r="F77" s="5" t="s">
        <v>1849</v>
      </c>
      <c r="G77" s="5" t="s">
        <v>24</v>
      </c>
      <c r="H77" s="5" t="s">
        <v>436</v>
      </c>
      <c r="I77" s="5" t="s">
        <v>24</v>
      </c>
      <c r="J77" s="5" t="s">
        <v>24</v>
      </c>
      <c r="K77" s="5" t="s">
        <v>24</v>
      </c>
      <c r="L77" s="5" t="s">
        <v>24</v>
      </c>
      <c r="M77" s="5" t="s">
        <v>24</v>
      </c>
      <c r="N77" s="5" t="s">
        <v>24</v>
      </c>
      <c r="O77" s="5" t="s">
        <v>1933</v>
      </c>
      <c r="P77" s="5" t="s">
        <v>24</v>
      </c>
      <c r="Q77" s="5" t="s">
        <v>24</v>
      </c>
      <c r="R77" s="5" t="s">
        <v>24</v>
      </c>
      <c r="S77" s="5" t="s">
        <v>1852</v>
      </c>
      <c r="T77" s="5" t="s">
        <v>2363</v>
      </c>
      <c r="U77" s="5" t="s">
        <v>2363</v>
      </c>
      <c r="V77" s="5" t="s">
        <v>1854</v>
      </c>
      <c r="W77" s="5" t="s">
        <v>24</v>
      </c>
      <c r="X77" s="5" t="s">
        <v>24</v>
      </c>
      <c r="Y77" s="5" t="s">
        <v>2385</v>
      </c>
      <c r="Z77" s="5" t="s">
        <v>2386</v>
      </c>
      <c r="AA77" s="5" t="s">
        <v>2386</v>
      </c>
      <c r="AB77" s="5" t="s">
        <v>2386</v>
      </c>
      <c r="AC77" s="5" t="s">
        <v>2387</v>
      </c>
      <c r="AD77" s="5" t="s">
        <v>2388</v>
      </c>
      <c r="AE77" s="5" t="s">
        <v>2389</v>
      </c>
      <c r="AF77" s="5" t="s">
        <v>2390</v>
      </c>
      <c r="AG77" s="5" t="s">
        <v>24</v>
      </c>
      <c r="AH77" s="5" t="s">
        <v>24</v>
      </c>
      <c r="AI77" s="5" t="s">
        <v>24</v>
      </c>
      <c r="AJ77" s="5" t="s">
        <v>24</v>
      </c>
      <c r="AK77" s="5" t="s">
        <v>24</v>
      </c>
      <c r="AL77" s="5" t="str">
        <f>VLOOKUP(mambo!$H77,Sheet1!B:C,2,FALSE)</f>
        <v>1239490</v>
      </c>
    </row>
    <row r="78" ht="15.75" hidden="1" customHeight="1">
      <c r="A78" s="5" t="s">
        <v>2391</v>
      </c>
      <c r="B78" s="5" t="s">
        <v>2392</v>
      </c>
      <c r="C78" s="5" t="s">
        <v>117</v>
      </c>
      <c r="D78" s="5" t="s">
        <v>24</v>
      </c>
      <c r="E78" s="5" t="s">
        <v>1848</v>
      </c>
      <c r="F78" s="5" t="s">
        <v>1849</v>
      </c>
      <c r="G78" s="5" t="s">
        <v>24</v>
      </c>
      <c r="H78" s="5" t="s">
        <v>2393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5" t="s">
        <v>1933</v>
      </c>
      <c r="P78" s="5" t="s">
        <v>24</v>
      </c>
      <c r="Q78" s="5" t="s">
        <v>24</v>
      </c>
      <c r="R78" s="5" t="s">
        <v>24</v>
      </c>
      <c r="S78" s="5" t="s">
        <v>1852</v>
      </c>
      <c r="T78" s="5" t="s">
        <v>2047</v>
      </c>
      <c r="U78" s="5" t="s">
        <v>2047</v>
      </c>
      <c r="V78" s="5" t="s">
        <v>1854</v>
      </c>
      <c r="W78" s="5" t="s">
        <v>24</v>
      </c>
      <c r="X78" s="5" t="s">
        <v>24</v>
      </c>
      <c r="Y78" s="5" t="s">
        <v>2394</v>
      </c>
      <c r="Z78" s="5" t="s">
        <v>2395</v>
      </c>
      <c r="AA78" s="5" t="s">
        <v>2395</v>
      </c>
      <c r="AB78" s="5" t="s">
        <v>2395</v>
      </c>
      <c r="AC78" s="5" t="s">
        <v>2396</v>
      </c>
      <c r="AD78" s="5" t="s">
        <v>2397</v>
      </c>
      <c r="AE78" s="5" t="s">
        <v>2398</v>
      </c>
      <c r="AF78" s="5" t="s">
        <v>2399</v>
      </c>
      <c r="AG78" s="5" t="s">
        <v>24</v>
      </c>
      <c r="AH78" s="5" t="s">
        <v>24</v>
      </c>
      <c r="AI78" s="5" t="s">
        <v>24</v>
      </c>
      <c r="AJ78" s="5" t="s">
        <v>24</v>
      </c>
      <c r="AK78" s="5" t="s">
        <v>24</v>
      </c>
      <c r="AL78" s="5" t="str">
        <f>VLOOKUP(mambo!$H78,Sheet1!B:C,2,FALSE)</f>
        <v>#N/A</v>
      </c>
    </row>
    <row r="79" ht="15.75" customHeight="1">
      <c r="A79" s="5" t="s">
        <v>2400</v>
      </c>
      <c r="B79" s="5" t="s">
        <v>2401</v>
      </c>
      <c r="C79" s="5" t="s">
        <v>2019</v>
      </c>
      <c r="D79" s="5" t="s">
        <v>24</v>
      </c>
      <c r="E79" s="5" t="s">
        <v>1848</v>
      </c>
      <c r="F79" s="5" t="s">
        <v>1849</v>
      </c>
      <c r="G79" s="5" t="s">
        <v>24</v>
      </c>
      <c r="H79" s="5" t="s">
        <v>1266</v>
      </c>
      <c r="I79" s="5" t="s">
        <v>24</v>
      </c>
      <c r="J79" s="5" t="s">
        <v>24</v>
      </c>
      <c r="K79" s="5" t="s">
        <v>24</v>
      </c>
      <c r="L79" s="5" t="s">
        <v>24</v>
      </c>
      <c r="M79" s="5" t="s">
        <v>2402</v>
      </c>
      <c r="N79" s="5" t="s">
        <v>24</v>
      </c>
      <c r="O79" s="5" t="s">
        <v>1917</v>
      </c>
      <c r="P79" s="5" t="s">
        <v>24</v>
      </c>
      <c r="Q79" s="5" t="s">
        <v>24</v>
      </c>
      <c r="R79" s="5" t="s">
        <v>24</v>
      </c>
      <c r="S79" s="5" t="s">
        <v>1852</v>
      </c>
      <c r="T79" s="5" t="s">
        <v>2403</v>
      </c>
      <c r="U79" s="5" t="s">
        <v>2403</v>
      </c>
      <c r="V79" s="5" t="s">
        <v>1854</v>
      </c>
      <c r="W79" s="5" t="s">
        <v>24</v>
      </c>
      <c r="X79" s="5" t="s">
        <v>24</v>
      </c>
      <c r="Y79" s="5" t="s">
        <v>2404</v>
      </c>
      <c r="Z79" s="5" t="s">
        <v>2405</v>
      </c>
      <c r="AA79" s="5" t="s">
        <v>2405</v>
      </c>
      <c r="AB79" s="5" t="s">
        <v>2405</v>
      </c>
      <c r="AC79" s="5" t="s">
        <v>24</v>
      </c>
      <c r="AD79" s="5" t="s">
        <v>24</v>
      </c>
      <c r="AE79" s="5" t="s">
        <v>24</v>
      </c>
      <c r="AF79" s="5" t="s">
        <v>24</v>
      </c>
      <c r="AG79" s="5" t="s">
        <v>24</v>
      </c>
      <c r="AH79" s="5" t="s">
        <v>24</v>
      </c>
      <c r="AI79" s="5" t="s">
        <v>24</v>
      </c>
      <c r="AJ79" s="5" t="s">
        <v>24</v>
      </c>
      <c r="AK79" s="5" t="s">
        <v>24</v>
      </c>
      <c r="AL79" s="5" t="str">
        <f>VLOOKUP(mambo!$H79,Sheet1!B:C,2,FALSE)</f>
        <v>1340460</v>
      </c>
    </row>
    <row r="80" ht="15.75" customHeight="1">
      <c r="A80" s="5" t="s">
        <v>2406</v>
      </c>
      <c r="B80" s="5" t="s">
        <v>2407</v>
      </c>
      <c r="C80" s="5" t="s">
        <v>2019</v>
      </c>
      <c r="D80" s="5" t="s">
        <v>24</v>
      </c>
      <c r="E80" s="5" t="s">
        <v>1848</v>
      </c>
      <c r="F80" s="5" t="s">
        <v>1849</v>
      </c>
      <c r="G80" s="5" t="s">
        <v>24</v>
      </c>
      <c r="H80" s="5" t="s">
        <v>900</v>
      </c>
      <c r="I80" s="5" t="s">
        <v>24</v>
      </c>
      <c r="J80" s="5" t="s">
        <v>24</v>
      </c>
      <c r="K80" s="5" t="s">
        <v>24</v>
      </c>
      <c r="L80" s="5" t="s">
        <v>24</v>
      </c>
      <c r="M80" s="5" t="s">
        <v>24</v>
      </c>
      <c r="N80" s="5" t="s">
        <v>24</v>
      </c>
      <c r="O80" s="5" t="s">
        <v>1933</v>
      </c>
      <c r="P80" s="5" t="s">
        <v>24</v>
      </c>
      <c r="Q80" s="5" t="s">
        <v>24</v>
      </c>
      <c r="R80" s="5" t="s">
        <v>24</v>
      </c>
      <c r="S80" s="5" t="s">
        <v>1852</v>
      </c>
      <c r="T80" s="5" t="s">
        <v>2408</v>
      </c>
      <c r="U80" s="5" t="s">
        <v>2408</v>
      </c>
      <c r="V80" s="5" t="s">
        <v>1854</v>
      </c>
      <c r="W80" s="5" t="s">
        <v>24</v>
      </c>
      <c r="X80" s="5" t="s">
        <v>24</v>
      </c>
      <c r="Y80" s="5" t="s">
        <v>2409</v>
      </c>
      <c r="Z80" s="5" t="s">
        <v>2410</v>
      </c>
      <c r="AA80" s="5" t="s">
        <v>2410</v>
      </c>
      <c r="AB80" s="5" t="s">
        <v>2410</v>
      </c>
      <c r="AC80" s="5" t="s">
        <v>24</v>
      </c>
      <c r="AD80" s="5" t="s">
        <v>24</v>
      </c>
      <c r="AE80" s="5" t="s">
        <v>24</v>
      </c>
      <c r="AF80" s="5" t="s">
        <v>24</v>
      </c>
      <c r="AG80" s="5" t="s">
        <v>24</v>
      </c>
      <c r="AH80" s="5" t="s">
        <v>24</v>
      </c>
      <c r="AI80" s="5" t="s">
        <v>24</v>
      </c>
      <c r="AJ80" s="5" t="s">
        <v>24</v>
      </c>
      <c r="AK80" s="5" t="s">
        <v>24</v>
      </c>
      <c r="AL80" s="5" t="str">
        <f>VLOOKUP(mambo!$H80,Sheet1!B:C,2,FALSE)</f>
        <v>1340447</v>
      </c>
    </row>
    <row r="81" ht="15.75" hidden="1" customHeight="1">
      <c r="A81" s="5" t="s">
        <v>2411</v>
      </c>
      <c r="B81" s="5" t="s">
        <v>2412</v>
      </c>
      <c r="C81" s="5" t="s">
        <v>2019</v>
      </c>
      <c r="D81" s="5" t="s">
        <v>24</v>
      </c>
      <c r="E81" s="5" t="s">
        <v>1848</v>
      </c>
      <c r="F81" s="5" t="s">
        <v>1849</v>
      </c>
      <c r="G81" s="5" t="s">
        <v>24</v>
      </c>
      <c r="H81" s="5" t="s">
        <v>2413</v>
      </c>
      <c r="I81" s="5" t="s">
        <v>24</v>
      </c>
      <c r="J81" s="5" t="s">
        <v>24</v>
      </c>
      <c r="K81" s="5" t="s">
        <v>24</v>
      </c>
      <c r="L81" s="5" t="s">
        <v>24</v>
      </c>
      <c r="M81" s="5" t="s">
        <v>24</v>
      </c>
      <c r="N81" s="5" t="s">
        <v>24</v>
      </c>
      <c r="O81" s="5" t="s">
        <v>2148</v>
      </c>
      <c r="P81" s="5" t="s">
        <v>24</v>
      </c>
      <c r="Q81" s="5" t="s">
        <v>24</v>
      </c>
      <c r="R81" s="5" t="s">
        <v>24</v>
      </c>
      <c r="S81" s="5" t="s">
        <v>2020</v>
      </c>
      <c r="T81" s="5" t="s">
        <v>2021</v>
      </c>
      <c r="U81" s="5" t="s">
        <v>2021</v>
      </c>
      <c r="V81" s="5" t="s">
        <v>24</v>
      </c>
      <c r="W81" s="5" t="s">
        <v>24</v>
      </c>
      <c r="X81" s="5" t="s">
        <v>24</v>
      </c>
      <c r="Y81" s="5" t="s">
        <v>2414</v>
      </c>
      <c r="Z81" s="5" t="s">
        <v>2415</v>
      </c>
      <c r="AA81" s="5" t="s">
        <v>2415</v>
      </c>
      <c r="AB81" s="5" t="s">
        <v>2415</v>
      </c>
      <c r="AC81" s="5" t="s">
        <v>24</v>
      </c>
      <c r="AD81" s="5" t="s">
        <v>24</v>
      </c>
      <c r="AE81" s="5" t="s">
        <v>24</v>
      </c>
      <c r="AF81" s="5" t="s">
        <v>24</v>
      </c>
      <c r="AG81" s="5" t="s">
        <v>24</v>
      </c>
      <c r="AH81" s="5" t="s">
        <v>24</v>
      </c>
      <c r="AI81" s="5" t="s">
        <v>24</v>
      </c>
      <c r="AJ81" s="5" t="s">
        <v>24</v>
      </c>
      <c r="AK81" s="5" t="s">
        <v>24</v>
      </c>
      <c r="AL81" s="5" t="str">
        <f>VLOOKUP(mambo!$H81,Sheet1!B:C,2,FALSE)</f>
        <v>#N/A</v>
      </c>
    </row>
    <row r="82" ht="15.75" customHeight="1">
      <c r="A82" s="5" t="s">
        <v>2416</v>
      </c>
      <c r="B82" s="5" t="s">
        <v>2417</v>
      </c>
      <c r="C82" s="5" t="s">
        <v>503</v>
      </c>
      <c r="D82" s="5" t="s">
        <v>24</v>
      </c>
      <c r="E82" s="5" t="s">
        <v>1848</v>
      </c>
      <c r="F82" s="5" t="s">
        <v>1849</v>
      </c>
      <c r="G82" s="5" t="s">
        <v>24</v>
      </c>
      <c r="H82" s="5" t="s">
        <v>202</v>
      </c>
      <c r="I82" s="5" t="s">
        <v>24</v>
      </c>
      <c r="J82" s="5" t="s">
        <v>24</v>
      </c>
      <c r="K82" s="5" t="s">
        <v>24</v>
      </c>
      <c r="L82" s="5" t="s">
        <v>24</v>
      </c>
      <c r="M82" s="5" t="s">
        <v>1885</v>
      </c>
      <c r="N82" s="5" t="s">
        <v>24</v>
      </c>
      <c r="O82" s="5" t="s">
        <v>1949</v>
      </c>
      <c r="P82" s="5" t="s">
        <v>24</v>
      </c>
      <c r="Q82" s="5" t="s">
        <v>24</v>
      </c>
      <c r="R82" s="5" t="s">
        <v>24</v>
      </c>
      <c r="S82" s="5" t="s">
        <v>2020</v>
      </c>
      <c r="T82" s="5" t="s">
        <v>2021</v>
      </c>
      <c r="U82" s="5" t="s">
        <v>2021</v>
      </c>
      <c r="V82" s="5" t="s">
        <v>24</v>
      </c>
      <c r="W82" s="5" t="s">
        <v>24</v>
      </c>
      <c r="X82" s="5" t="s">
        <v>24</v>
      </c>
      <c r="Y82" s="5" t="s">
        <v>2418</v>
      </c>
      <c r="Z82" s="5" t="s">
        <v>2419</v>
      </c>
      <c r="AA82" s="5" t="s">
        <v>2419</v>
      </c>
      <c r="AB82" s="5" t="s">
        <v>2419</v>
      </c>
      <c r="AC82" s="5" t="s">
        <v>2420</v>
      </c>
      <c r="AD82" s="5" t="s">
        <v>2421</v>
      </c>
      <c r="AE82" s="5" t="s">
        <v>2422</v>
      </c>
      <c r="AF82" s="5" t="s">
        <v>2423</v>
      </c>
      <c r="AG82" s="5" t="s">
        <v>2424</v>
      </c>
      <c r="AH82" s="5" t="s">
        <v>2425</v>
      </c>
      <c r="AI82" s="5" t="s">
        <v>2426</v>
      </c>
      <c r="AJ82" s="5" t="s">
        <v>24</v>
      </c>
      <c r="AK82" s="5" t="s">
        <v>24</v>
      </c>
      <c r="AL82" s="5" t="str">
        <f>VLOOKUP(mambo!$H82,Sheet1!B:C,2,FALSE)</f>
        <v>1194402</v>
      </c>
    </row>
    <row r="83" ht="15.75" hidden="1" customHeight="1">
      <c r="A83" s="5" t="s">
        <v>2427</v>
      </c>
      <c r="B83" s="5" t="s">
        <v>2428</v>
      </c>
      <c r="C83" s="5" t="s">
        <v>106</v>
      </c>
      <c r="D83" s="5" t="s">
        <v>24</v>
      </c>
      <c r="E83" s="5" t="s">
        <v>1848</v>
      </c>
      <c r="F83" s="5" t="s">
        <v>1849</v>
      </c>
      <c r="G83" s="5" t="s">
        <v>24</v>
      </c>
      <c r="H83" s="5" t="s">
        <v>2429</v>
      </c>
      <c r="I83" s="5" t="s">
        <v>24</v>
      </c>
      <c r="J83" s="5" t="s">
        <v>24</v>
      </c>
      <c r="K83" s="5" t="s">
        <v>24</v>
      </c>
      <c r="L83" s="5" t="s">
        <v>24</v>
      </c>
      <c r="M83" s="5" t="s">
        <v>24</v>
      </c>
      <c r="N83" s="5" t="s">
        <v>24</v>
      </c>
      <c r="O83" s="5" t="s">
        <v>1851</v>
      </c>
      <c r="P83" s="5" t="s">
        <v>24</v>
      </c>
      <c r="Q83" s="5" t="s">
        <v>24</v>
      </c>
      <c r="R83" s="5" t="s">
        <v>24</v>
      </c>
      <c r="S83" s="5" t="s">
        <v>1852</v>
      </c>
      <c r="T83" s="5" t="s">
        <v>1861</v>
      </c>
      <c r="U83" s="5" t="s">
        <v>1861</v>
      </c>
      <c r="V83" s="5" t="s">
        <v>1854</v>
      </c>
      <c r="W83" s="5" t="s">
        <v>24</v>
      </c>
      <c r="X83" s="5" t="s">
        <v>24</v>
      </c>
      <c r="Y83" s="5" t="s">
        <v>2430</v>
      </c>
      <c r="Z83" s="5" t="s">
        <v>2431</v>
      </c>
      <c r="AA83" s="5" t="s">
        <v>2431</v>
      </c>
      <c r="AB83" s="5" t="s">
        <v>2431</v>
      </c>
      <c r="AC83" s="5" t="s">
        <v>2432</v>
      </c>
      <c r="AD83" s="5" t="s">
        <v>2433</v>
      </c>
      <c r="AE83" s="5" t="s">
        <v>24</v>
      </c>
      <c r="AF83" s="5" t="s">
        <v>24</v>
      </c>
      <c r="AG83" s="5" t="s">
        <v>24</v>
      </c>
      <c r="AH83" s="5" t="s">
        <v>24</v>
      </c>
      <c r="AI83" s="5" t="s">
        <v>24</v>
      </c>
      <c r="AJ83" s="5" t="s">
        <v>24</v>
      </c>
      <c r="AK83" s="5" t="s">
        <v>24</v>
      </c>
      <c r="AL83" s="5" t="str">
        <f>VLOOKUP(mambo!$H83,Sheet1!B:C,2,FALSE)</f>
        <v>#N/A</v>
      </c>
    </row>
    <row r="84" ht="15.75" customHeight="1">
      <c r="A84" s="5" t="s">
        <v>2434</v>
      </c>
      <c r="B84" s="5" t="s">
        <v>2435</v>
      </c>
      <c r="C84" s="5" t="s">
        <v>106</v>
      </c>
      <c r="D84" s="5" t="s">
        <v>24</v>
      </c>
      <c r="E84" s="5" t="s">
        <v>1848</v>
      </c>
      <c r="F84" s="5" t="s">
        <v>1849</v>
      </c>
      <c r="G84" s="5" t="s">
        <v>24</v>
      </c>
      <c r="H84" s="5" t="s">
        <v>493</v>
      </c>
      <c r="I84" s="5" t="s">
        <v>24</v>
      </c>
      <c r="J84" s="5" t="s">
        <v>24</v>
      </c>
      <c r="K84" s="5" t="s">
        <v>24</v>
      </c>
      <c r="L84" s="5" t="s">
        <v>24</v>
      </c>
      <c r="M84" s="5" t="s">
        <v>24</v>
      </c>
      <c r="N84" s="5" t="s">
        <v>24</v>
      </c>
      <c r="O84" s="5" t="s">
        <v>1851</v>
      </c>
      <c r="P84" s="5" t="s">
        <v>24</v>
      </c>
      <c r="Q84" s="5" t="s">
        <v>24</v>
      </c>
      <c r="R84" s="5" t="s">
        <v>24</v>
      </c>
      <c r="S84" s="5" t="s">
        <v>1852</v>
      </c>
      <c r="T84" s="5" t="s">
        <v>1861</v>
      </c>
      <c r="U84" s="5" t="s">
        <v>1861</v>
      </c>
      <c r="V84" s="5" t="s">
        <v>1854</v>
      </c>
      <c r="W84" s="5" t="s">
        <v>24</v>
      </c>
      <c r="X84" s="5" t="s">
        <v>24</v>
      </c>
      <c r="Y84" s="5" t="s">
        <v>2436</v>
      </c>
      <c r="Z84" s="5" t="s">
        <v>2437</v>
      </c>
      <c r="AA84" s="5" t="s">
        <v>2437</v>
      </c>
      <c r="AB84" s="5" t="s">
        <v>2437</v>
      </c>
      <c r="AC84" s="5" t="s">
        <v>2438</v>
      </c>
      <c r="AD84" s="5" t="s">
        <v>2439</v>
      </c>
      <c r="AE84" s="5" t="s">
        <v>24</v>
      </c>
      <c r="AF84" s="5" t="s">
        <v>24</v>
      </c>
      <c r="AG84" s="5" t="s">
        <v>24</v>
      </c>
      <c r="AH84" s="5" t="s">
        <v>24</v>
      </c>
      <c r="AI84" s="5" t="s">
        <v>24</v>
      </c>
      <c r="AJ84" s="5" t="s">
        <v>24</v>
      </c>
      <c r="AK84" s="5" t="s">
        <v>24</v>
      </c>
      <c r="AL84" s="5" t="str">
        <f>VLOOKUP(mambo!$H84,Sheet1!B:C,2,FALSE)</f>
        <v>4222712</v>
      </c>
    </row>
    <row r="85" ht="15.75" customHeight="1">
      <c r="A85" s="5" t="s">
        <v>2440</v>
      </c>
      <c r="B85" s="5" t="s">
        <v>2441</v>
      </c>
      <c r="C85" s="5" t="s">
        <v>145</v>
      </c>
      <c r="D85" s="5" t="s">
        <v>24</v>
      </c>
      <c r="E85" s="5" t="s">
        <v>1848</v>
      </c>
      <c r="F85" s="5" t="s">
        <v>1849</v>
      </c>
      <c r="G85" s="5" t="s">
        <v>24</v>
      </c>
      <c r="H85" s="5" t="s">
        <v>161</v>
      </c>
      <c r="I85" s="5" t="s">
        <v>24</v>
      </c>
      <c r="J85" s="5" t="s">
        <v>24</v>
      </c>
      <c r="K85" s="5" t="s">
        <v>24</v>
      </c>
      <c r="L85" s="5" t="s">
        <v>24</v>
      </c>
      <c r="M85" s="5" t="s">
        <v>1885</v>
      </c>
      <c r="N85" s="5" t="s">
        <v>24</v>
      </c>
      <c r="O85" s="5" t="s">
        <v>1917</v>
      </c>
      <c r="P85" s="5" t="s">
        <v>24</v>
      </c>
      <c r="Q85" s="5" t="s">
        <v>24</v>
      </c>
      <c r="R85" s="5" t="s">
        <v>24</v>
      </c>
      <c r="S85" s="5" t="s">
        <v>1852</v>
      </c>
      <c r="T85" s="5" t="s">
        <v>1939</v>
      </c>
      <c r="U85" s="5" t="s">
        <v>1939</v>
      </c>
      <c r="V85" s="5" t="s">
        <v>1854</v>
      </c>
      <c r="W85" s="5" t="s">
        <v>24</v>
      </c>
      <c r="X85" s="5" t="s">
        <v>24</v>
      </c>
      <c r="Y85" s="5" t="s">
        <v>2442</v>
      </c>
      <c r="Z85" s="5" t="s">
        <v>2443</v>
      </c>
      <c r="AA85" s="5" t="s">
        <v>2443</v>
      </c>
      <c r="AB85" s="5" t="s">
        <v>2443</v>
      </c>
      <c r="AC85" s="5" t="s">
        <v>24</v>
      </c>
      <c r="AD85" s="5" t="s">
        <v>24</v>
      </c>
      <c r="AE85" s="5" t="s">
        <v>24</v>
      </c>
      <c r="AF85" s="5" t="s">
        <v>24</v>
      </c>
      <c r="AG85" s="5" t="s">
        <v>24</v>
      </c>
      <c r="AH85" s="5" t="s">
        <v>24</v>
      </c>
      <c r="AI85" s="5" t="s">
        <v>24</v>
      </c>
      <c r="AJ85" s="5" t="s">
        <v>24</v>
      </c>
      <c r="AK85" s="5" t="s">
        <v>24</v>
      </c>
      <c r="AL85" s="5" t="str">
        <f>VLOOKUP(mambo!$H85,Sheet1!B:C,2,FALSE)</f>
        <v>1114199</v>
      </c>
    </row>
    <row r="86" ht="15.75" customHeight="1">
      <c r="A86" s="5" t="s">
        <v>2444</v>
      </c>
      <c r="B86" s="5" t="s">
        <v>2445</v>
      </c>
      <c r="C86" s="5" t="s">
        <v>2019</v>
      </c>
      <c r="D86" s="5" t="s">
        <v>24</v>
      </c>
      <c r="E86" s="5" t="s">
        <v>1848</v>
      </c>
      <c r="F86" s="5" t="s">
        <v>1849</v>
      </c>
      <c r="G86" s="5" t="s">
        <v>24</v>
      </c>
      <c r="H86" s="5" t="s">
        <v>1421</v>
      </c>
      <c r="I86" s="5" t="s">
        <v>24</v>
      </c>
      <c r="J86" s="5" t="s">
        <v>24</v>
      </c>
      <c r="K86" s="5" t="s">
        <v>24</v>
      </c>
      <c r="L86" s="5" t="s">
        <v>24</v>
      </c>
      <c r="M86" s="5" t="s">
        <v>2402</v>
      </c>
      <c r="N86" s="5" t="s">
        <v>24</v>
      </c>
      <c r="O86" s="5" t="s">
        <v>1917</v>
      </c>
      <c r="P86" s="5" t="s">
        <v>24</v>
      </c>
      <c r="Q86" s="5" t="s">
        <v>24</v>
      </c>
      <c r="R86" s="5" t="s">
        <v>24</v>
      </c>
      <c r="S86" s="5" t="s">
        <v>1852</v>
      </c>
      <c r="T86" s="5" t="s">
        <v>2403</v>
      </c>
      <c r="U86" s="5" t="s">
        <v>2403</v>
      </c>
      <c r="V86" s="5" t="s">
        <v>1854</v>
      </c>
      <c r="W86" s="5" t="s">
        <v>24</v>
      </c>
      <c r="X86" s="5" t="s">
        <v>24</v>
      </c>
      <c r="Y86" s="5" t="s">
        <v>2446</v>
      </c>
      <c r="Z86" s="5" t="s">
        <v>2447</v>
      </c>
      <c r="AA86" s="5" t="s">
        <v>2447</v>
      </c>
      <c r="AB86" s="5" t="s">
        <v>2447</v>
      </c>
      <c r="AC86" s="5" t="s">
        <v>24</v>
      </c>
      <c r="AD86" s="5" t="s">
        <v>24</v>
      </c>
      <c r="AE86" s="5" t="s">
        <v>24</v>
      </c>
      <c r="AF86" s="5" t="s">
        <v>24</v>
      </c>
      <c r="AG86" s="5" t="s">
        <v>24</v>
      </c>
      <c r="AH86" s="5" t="s">
        <v>24</v>
      </c>
      <c r="AI86" s="5" t="s">
        <v>24</v>
      </c>
      <c r="AJ86" s="5" t="s">
        <v>24</v>
      </c>
      <c r="AK86" s="5" t="s">
        <v>24</v>
      </c>
      <c r="AL86" s="5" t="str">
        <f>VLOOKUP(mambo!$H86,Sheet1!B:C,2,FALSE)</f>
        <v>1340461</v>
      </c>
    </row>
    <row r="87" ht="15.75" customHeight="1">
      <c r="A87" s="5" t="s">
        <v>2448</v>
      </c>
      <c r="B87" s="5" t="s">
        <v>283</v>
      </c>
      <c r="C87" s="5" t="s">
        <v>106</v>
      </c>
      <c r="D87" s="5" t="s">
        <v>24</v>
      </c>
      <c r="E87" s="5" t="s">
        <v>1848</v>
      </c>
      <c r="F87" s="5" t="s">
        <v>1849</v>
      </c>
      <c r="G87" s="5" t="s">
        <v>24</v>
      </c>
      <c r="H87" s="5" t="s">
        <v>284</v>
      </c>
      <c r="I87" s="5" t="s">
        <v>24</v>
      </c>
      <c r="J87" s="5" t="s">
        <v>24</v>
      </c>
      <c r="K87" s="5" t="s">
        <v>24</v>
      </c>
      <c r="L87" s="5" t="s">
        <v>24</v>
      </c>
      <c r="M87" s="5" t="s">
        <v>1885</v>
      </c>
      <c r="N87" s="5" t="s">
        <v>24</v>
      </c>
      <c r="O87" s="5" t="s">
        <v>2085</v>
      </c>
      <c r="P87" s="5" t="s">
        <v>24</v>
      </c>
      <c r="Q87" s="5" t="s">
        <v>24</v>
      </c>
      <c r="R87" s="5" t="s">
        <v>24</v>
      </c>
      <c r="S87" s="5" t="s">
        <v>2020</v>
      </c>
      <c r="T87" s="5" t="s">
        <v>2021</v>
      </c>
      <c r="U87" s="5" t="s">
        <v>2021</v>
      </c>
      <c r="V87" s="5" t="s">
        <v>24</v>
      </c>
      <c r="W87" s="5" t="s">
        <v>24</v>
      </c>
      <c r="X87" s="5" t="s">
        <v>24</v>
      </c>
      <c r="Y87" s="5" t="s">
        <v>2449</v>
      </c>
      <c r="Z87" s="5" t="s">
        <v>2450</v>
      </c>
      <c r="AA87" s="5" t="s">
        <v>2450</v>
      </c>
      <c r="AB87" s="5" t="s">
        <v>2450</v>
      </c>
      <c r="AC87" s="5" t="s">
        <v>2451</v>
      </c>
      <c r="AD87" s="5" t="s">
        <v>2452</v>
      </c>
      <c r="AE87" s="5" t="s">
        <v>2453</v>
      </c>
      <c r="AF87" s="5" t="s">
        <v>2454</v>
      </c>
      <c r="AG87" s="5" t="s">
        <v>24</v>
      </c>
      <c r="AH87" s="5" t="s">
        <v>24</v>
      </c>
      <c r="AI87" s="5" t="s">
        <v>24</v>
      </c>
      <c r="AJ87" s="5" t="s">
        <v>24</v>
      </c>
      <c r="AK87" s="5" t="s">
        <v>24</v>
      </c>
      <c r="AL87" s="5" t="str">
        <f>VLOOKUP(mambo!$H87,Sheet1!B:C,2,FALSE)</f>
        <v>1148941</v>
      </c>
    </row>
    <row r="88" ht="15.75" hidden="1" customHeight="1">
      <c r="A88" s="5" t="s">
        <v>2455</v>
      </c>
      <c r="B88" s="5" t="s">
        <v>2456</v>
      </c>
      <c r="C88" s="5" t="s">
        <v>1961</v>
      </c>
      <c r="D88" s="5" t="s">
        <v>24</v>
      </c>
      <c r="E88" s="5" t="s">
        <v>1848</v>
      </c>
      <c r="F88" s="5" t="s">
        <v>1849</v>
      </c>
      <c r="G88" s="5" t="s">
        <v>24</v>
      </c>
      <c r="H88" s="5" t="s">
        <v>2457</v>
      </c>
      <c r="I88" s="5" t="s">
        <v>24</v>
      </c>
      <c r="J88" s="5" t="s">
        <v>24</v>
      </c>
      <c r="K88" s="5" t="s">
        <v>24</v>
      </c>
      <c r="L88" s="5" t="s">
        <v>24</v>
      </c>
      <c r="M88" s="5" t="s">
        <v>1885</v>
      </c>
      <c r="N88" s="5" t="s">
        <v>24</v>
      </c>
      <c r="O88" s="5" t="s">
        <v>1917</v>
      </c>
      <c r="P88" s="5" t="s">
        <v>24</v>
      </c>
      <c r="Q88" s="5" t="s">
        <v>24</v>
      </c>
      <c r="R88" s="5" t="s">
        <v>24</v>
      </c>
      <c r="S88" s="5" t="s">
        <v>1852</v>
      </c>
      <c r="T88" s="5" t="s">
        <v>2458</v>
      </c>
      <c r="U88" s="5" t="s">
        <v>2458</v>
      </c>
      <c r="V88" s="5" t="s">
        <v>1854</v>
      </c>
      <c r="W88" s="5" t="s">
        <v>24</v>
      </c>
      <c r="X88" s="5" t="s">
        <v>24</v>
      </c>
      <c r="Y88" s="5" t="s">
        <v>2459</v>
      </c>
      <c r="Z88" s="5" t="s">
        <v>2460</v>
      </c>
      <c r="AA88" s="5" t="s">
        <v>2460</v>
      </c>
      <c r="AB88" s="5" t="s">
        <v>2460</v>
      </c>
      <c r="AC88" s="5" t="s">
        <v>24</v>
      </c>
      <c r="AD88" s="5" t="s">
        <v>24</v>
      </c>
      <c r="AE88" s="5" t="s">
        <v>24</v>
      </c>
      <c r="AF88" s="5" t="s">
        <v>24</v>
      </c>
      <c r="AG88" s="5" t="s">
        <v>24</v>
      </c>
      <c r="AH88" s="5" t="s">
        <v>24</v>
      </c>
      <c r="AI88" s="5" t="s">
        <v>24</v>
      </c>
      <c r="AJ88" s="5" t="s">
        <v>24</v>
      </c>
      <c r="AK88" s="5" t="s">
        <v>24</v>
      </c>
      <c r="AL88" s="5" t="str">
        <f>VLOOKUP(mambo!$H88,Sheet1!B:C,2,FALSE)</f>
        <v>#N/A</v>
      </c>
    </row>
    <row r="89" ht="15.75" customHeight="1">
      <c r="A89" s="5" t="s">
        <v>2461</v>
      </c>
      <c r="B89" s="5" t="s">
        <v>2462</v>
      </c>
      <c r="C89" s="5" t="s">
        <v>294</v>
      </c>
      <c r="D89" s="5" t="s">
        <v>24</v>
      </c>
      <c r="E89" s="5" t="s">
        <v>1848</v>
      </c>
      <c r="F89" s="5" t="s">
        <v>1849</v>
      </c>
      <c r="G89" s="5" t="s">
        <v>24</v>
      </c>
      <c r="H89" s="5" t="s">
        <v>941</v>
      </c>
      <c r="I89" s="5" t="s">
        <v>24</v>
      </c>
      <c r="J89" s="5" t="s">
        <v>24</v>
      </c>
      <c r="K89" s="5" t="s">
        <v>24</v>
      </c>
      <c r="L89" s="5" t="s">
        <v>24</v>
      </c>
      <c r="M89" s="5" t="s">
        <v>24</v>
      </c>
      <c r="N89" s="5" t="s">
        <v>24</v>
      </c>
      <c r="O89" s="5" t="s">
        <v>1933</v>
      </c>
      <c r="P89" s="5" t="s">
        <v>24</v>
      </c>
      <c r="Q89" s="5" t="s">
        <v>24</v>
      </c>
      <c r="R89" s="5" t="s">
        <v>24</v>
      </c>
      <c r="S89" s="5" t="s">
        <v>1852</v>
      </c>
      <c r="T89" s="5" t="s">
        <v>2463</v>
      </c>
      <c r="U89" s="5" t="s">
        <v>2463</v>
      </c>
      <c r="V89" s="5" t="s">
        <v>1854</v>
      </c>
      <c r="W89" s="5" t="s">
        <v>24</v>
      </c>
      <c r="X89" s="5" t="s">
        <v>24</v>
      </c>
      <c r="Y89" s="5" t="s">
        <v>2464</v>
      </c>
      <c r="Z89" s="5" t="s">
        <v>2465</v>
      </c>
      <c r="AA89" s="5" t="s">
        <v>2465</v>
      </c>
      <c r="AB89" s="5" t="s">
        <v>2465</v>
      </c>
      <c r="AC89" s="5" t="s">
        <v>24</v>
      </c>
      <c r="AD89" s="5" t="s">
        <v>24</v>
      </c>
      <c r="AE89" s="5" t="s">
        <v>24</v>
      </c>
      <c r="AF89" s="5" t="s">
        <v>24</v>
      </c>
      <c r="AG89" s="5" t="s">
        <v>24</v>
      </c>
      <c r="AH89" s="5" t="s">
        <v>24</v>
      </c>
      <c r="AI89" s="5" t="s">
        <v>24</v>
      </c>
      <c r="AJ89" s="5" t="s">
        <v>24</v>
      </c>
      <c r="AK89" s="5" t="s">
        <v>24</v>
      </c>
      <c r="AL89" s="5" t="str">
        <f>VLOOKUP(mambo!$H89,Sheet1!B:C,2,FALSE)</f>
        <v>1187456</v>
      </c>
    </row>
    <row r="90" ht="15.75" hidden="1" customHeight="1">
      <c r="A90" s="5" t="s">
        <v>2466</v>
      </c>
      <c r="B90" s="5" t="s">
        <v>2467</v>
      </c>
      <c r="C90" s="5" t="s">
        <v>2468</v>
      </c>
      <c r="D90" s="5" t="s">
        <v>24</v>
      </c>
      <c r="E90" s="5" t="s">
        <v>1848</v>
      </c>
      <c r="F90" s="5" t="s">
        <v>1849</v>
      </c>
      <c r="G90" s="5" t="s">
        <v>24</v>
      </c>
      <c r="H90" s="5" t="s">
        <v>2469</v>
      </c>
      <c r="I90" s="5" t="s">
        <v>24</v>
      </c>
      <c r="J90" s="5" t="s">
        <v>24</v>
      </c>
      <c r="K90" s="5" t="s">
        <v>24</v>
      </c>
      <c r="L90" s="5" t="s">
        <v>24</v>
      </c>
      <c r="M90" s="5" t="s">
        <v>24</v>
      </c>
      <c r="N90" s="5" t="s">
        <v>24</v>
      </c>
      <c r="O90" s="5" t="s">
        <v>1933</v>
      </c>
      <c r="P90" s="5" t="s">
        <v>24</v>
      </c>
      <c r="Q90" s="5" t="s">
        <v>24</v>
      </c>
      <c r="R90" s="5" t="s">
        <v>24</v>
      </c>
      <c r="S90" s="5" t="s">
        <v>1852</v>
      </c>
      <c r="T90" s="5" t="s">
        <v>2066</v>
      </c>
      <c r="U90" s="5" t="s">
        <v>2066</v>
      </c>
      <c r="V90" s="5" t="s">
        <v>1854</v>
      </c>
      <c r="W90" s="5" t="s">
        <v>24</v>
      </c>
      <c r="X90" s="5" t="s">
        <v>24</v>
      </c>
      <c r="Y90" s="5" t="s">
        <v>2470</v>
      </c>
      <c r="Z90" s="5" t="s">
        <v>2471</v>
      </c>
      <c r="AA90" s="5" t="s">
        <v>2471</v>
      </c>
      <c r="AB90" s="5" t="s">
        <v>2471</v>
      </c>
      <c r="AC90" s="5" t="s">
        <v>24</v>
      </c>
      <c r="AD90" s="5" t="s">
        <v>24</v>
      </c>
      <c r="AE90" s="5" t="s">
        <v>24</v>
      </c>
      <c r="AF90" s="5" t="s">
        <v>24</v>
      </c>
      <c r="AG90" s="5" t="s">
        <v>24</v>
      </c>
      <c r="AH90" s="5" t="s">
        <v>24</v>
      </c>
      <c r="AI90" s="5" t="s">
        <v>24</v>
      </c>
      <c r="AJ90" s="5" t="s">
        <v>24</v>
      </c>
      <c r="AK90" s="5" t="s">
        <v>24</v>
      </c>
      <c r="AL90" s="5" t="str">
        <f>VLOOKUP(mambo!$H90,Sheet1!B:C,2,FALSE)</f>
        <v>#N/A</v>
      </c>
    </row>
    <row r="91" ht="15.75" hidden="1" customHeight="1">
      <c r="A91" s="5" t="s">
        <v>2472</v>
      </c>
      <c r="B91" s="5" t="s">
        <v>2473</v>
      </c>
      <c r="C91" s="5" t="s">
        <v>2468</v>
      </c>
      <c r="D91" s="5" t="s">
        <v>24</v>
      </c>
      <c r="E91" s="5" t="s">
        <v>1848</v>
      </c>
      <c r="F91" s="5" t="s">
        <v>1849</v>
      </c>
      <c r="G91" s="5" t="s">
        <v>24</v>
      </c>
      <c r="H91" s="5" t="s">
        <v>2474</v>
      </c>
      <c r="I91" s="5" t="s">
        <v>24</v>
      </c>
      <c r="J91" s="5" t="s">
        <v>24</v>
      </c>
      <c r="K91" s="5" t="s">
        <v>24</v>
      </c>
      <c r="L91" s="5" t="s">
        <v>24</v>
      </c>
      <c r="M91" s="5" t="s">
        <v>1885</v>
      </c>
      <c r="N91" s="5" t="s">
        <v>24</v>
      </c>
      <c r="O91" s="5" t="s">
        <v>1917</v>
      </c>
      <c r="P91" s="5" t="s">
        <v>24</v>
      </c>
      <c r="Q91" s="5" t="s">
        <v>24</v>
      </c>
      <c r="R91" s="5" t="s">
        <v>24</v>
      </c>
      <c r="S91" s="5" t="s">
        <v>1852</v>
      </c>
      <c r="T91" s="5" t="s">
        <v>2475</v>
      </c>
      <c r="U91" s="5" t="s">
        <v>2475</v>
      </c>
      <c r="V91" s="5" t="s">
        <v>1854</v>
      </c>
      <c r="W91" s="5" t="s">
        <v>24</v>
      </c>
      <c r="X91" s="5" t="s">
        <v>24</v>
      </c>
      <c r="Y91" s="5" t="s">
        <v>2476</v>
      </c>
      <c r="Z91" s="5" t="s">
        <v>2477</v>
      </c>
      <c r="AA91" s="5" t="s">
        <v>2477</v>
      </c>
      <c r="AB91" s="5" t="s">
        <v>2477</v>
      </c>
      <c r="AC91" s="5" t="s">
        <v>24</v>
      </c>
      <c r="AD91" s="5" t="s">
        <v>24</v>
      </c>
      <c r="AE91" s="5" t="s">
        <v>24</v>
      </c>
      <c r="AF91" s="5" t="s">
        <v>24</v>
      </c>
      <c r="AG91" s="5" t="s">
        <v>24</v>
      </c>
      <c r="AH91" s="5" t="s">
        <v>24</v>
      </c>
      <c r="AI91" s="5" t="s">
        <v>24</v>
      </c>
      <c r="AJ91" s="5" t="s">
        <v>24</v>
      </c>
      <c r="AK91" s="5" t="s">
        <v>24</v>
      </c>
      <c r="AL91" s="5" t="str">
        <f>VLOOKUP(mambo!$H91,Sheet1!B:C,2,FALSE)</f>
        <v>#N/A</v>
      </c>
    </row>
    <row r="92" ht="15.75" hidden="1" customHeight="1">
      <c r="A92" s="5" t="s">
        <v>2478</v>
      </c>
      <c r="B92" s="5" t="s">
        <v>2479</v>
      </c>
      <c r="C92" s="5" t="s">
        <v>2468</v>
      </c>
      <c r="D92" s="5" t="s">
        <v>24</v>
      </c>
      <c r="E92" s="5" t="s">
        <v>1848</v>
      </c>
      <c r="F92" s="5" t="s">
        <v>1849</v>
      </c>
      <c r="G92" s="5" t="s">
        <v>24</v>
      </c>
      <c r="H92" s="5" t="s">
        <v>2480</v>
      </c>
      <c r="I92" s="5" t="s">
        <v>24</v>
      </c>
      <c r="J92" s="5" t="s">
        <v>24</v>
      </c>
      <c r="K92" s="5" t="s">
        <v>24</v>
      </c>
      <c r="L92" s="5" t="s">
        <v>24</v>
      </c>
      <c r="M92" s="5" t="s">
        <v>1885</v>
      </c>
      <c r="N92" s="5" t="s">
        <v>24</v>
      </c>
      <c r="O92" s="5" t="s">
        <v>1917</v>
      </c>
      <c r="P92" s="5" t="s">
        <v>24</v>
      </c>
      <c r="Q92" s="5" t="s">
        <v>24</v>
      </c>
      <c r="R92" s="5" t="s">
        <v>24</v>
      </c>
      <c r="S92" s="5" t="s">
        <v>1852</v>
      </c>
      <c r="T92" s="5" t="s">
        <v>2481</v>
      </c>
      <c r="U92" s="5" t="s">
        <v>2481</v>
      </c>
      <c r="V92" s="5" t="s">
        <v>1854</v>
      </c>
      <c r="W92" s="5" t="s">
        <v>24</v>
      </c>
      <c r="X92" s="5" t="s">
        <v>24</v>
      </c>
      <c r="Y92" s="5" t="s">
        <v>2482</v>
      </c>
      <c r="Z92" s="5" t="s">
        <v>2483</v>
      </c>
      <c r="AA92" s="5" t="s">
        <v>2483</v>
      </c>
      <c r="AB92" s="5" t="s">
        <v>2483</v>
      </c>
      <c r="AC92" s="5" t="s">
        <v>24</v>
      </c>
      <c r="AD92" s="5" t="s">
        <v>24</v>
      </c>
      <c r="AE92" s="5" t="s">
        <v>24</v>
      </c>
      <c r="AF92" s="5" t="s">
        <v>24</v>
      </c>
      <c r="AG92" s="5" t="s">
        <v>24</v>
      </c>
      <c r="AH92" s="5" t="s">
        <v>24</v>
      </c>
      <c r="AI92" s="5" t="s">
        <v>24</v>
      </c>
      <c r="AJ92" s="5" t="s">
        <v>24</v>
      </c>
      <c r="AK92" s="5" t="s">
        <v>24</v>
      </c>
      <c r="AL92" s="5" t="str">
        <f>VLOOKUP(mambo!$H92,Sheet1!B:C,2,FALSE)</f>
        <v>#N/A</v>
      </c>
    </row>
    <row r="93" ht="15.75" hidden="1" customHeight="1">
      <c r="A93" s="5" t="s">
        <v>2484</v>
      </c>
      <c r="B93" s="5" t="s">
        <v>2485</v>
      </c>
      <c r="C93" s="5" t="s">
        <v>2468</v>
      </c>
      <c r="D93" s="5" t="s">
        <v>24</v>
      </c>
      <c r="E93" s="5" t="s">
        <v>1848</v>
      </c>
      <c r="F93" s="5" t="s">
        <v>1849</v>
      </c>
      <c r="G93" s="5" t="s">
        <v>24</v>
      </c>
      <c r="H93" s="5" t="s">
        <v>2486</v>
      </c>
      <c r="I93" s="5" t="s">
        <v>24</v>
      </c>
      <c r="J93" s="5" t="s">
        <v>24</v>
      </c>
      <c r="K93" s="5" t="s">
        <v>24</v>
      </c>
      <c r="L93" s="5" t="s">
        <v>24</v>
      </c>
      <c r="M93" s="5" t="s">
        <v>24</v>
      </c>
      <c r="N93" s="5" t="s">
        <v>24</v>
      </c>
      <c r="O93" s="5" t="s">
        <v>1933</v>
      </c>
      <c r="P93" s="5" t="s">
        <v>24</v>
      </c>
      <c r="Q93" s="5" t="s">
        <v>24</v>
      </c>
      <c r="R93" s="5" t="s">
        <v>24</v>
      </c>
      <c r="S93" s="5" t="s">
        <v>1852</v>
      </c>
      <c r="T93" s="5" t="s">
        <v>2487</v>
      </c>
      <c r="U93" s="5" t="s">
        <v>2487</v>
      </c>
      <c r="V93" s="5" t="s">
        <v>1854</v>
      </c>
      <c r="W93" s="5" t="s">
        <v>24</v>
      </c>
      <c r="X93" s="5" t="s">
        <v>24</v>
      </c>
      <c r="Y93" s="5" t="s">
        <v>2488</v>
      </c>
      <c r="Z93" s="5" t="s">
        <v>2489</v>
      </c>
      <c r="AA93" s="5" t="s">
        <v>2489</v>
      </c>
      <c r="AB93" s="5" t="s">
        <v>2489</v>
      </c>
      <c r="AC93" s="5" t="s">
        <v>24</v>
      </c>
      <c r="AD93" s="5" t="s">
        <v>24</v>
      </c>
      <c r="AE93" s="5" t="s">
        <v>24</v>
      </c>
      <c r="AF93" s="5" t="s">
        <v>24</v>
      </c>
      <c r="AG93" s="5" t="s">
        <v>24</v>
      </c>
      <c r="AH93" s="5" t="s">
        <v>24</v>
      </c>
      <c r="AI93" s="5" t="s">
        <v>24</v>
      </c>
      <c r="AJ93" s="5" t="s">
        <v>24</v>
      </c>
      <c r="AK93" s="5" t="s">
        <v>24</v>
      </c>
      <c r="AL93" s="5" t="str">
        <f>VLOOKUP(mambo!$H93,Sheet1!B:C,2,FALSE)</f>
        <v>#N/A</v>
      </c>
    </row>
    <row r="94" ht="15.75" customHeight="1">
      <c r="A94" s="5" t="s">
        <v>2490</v>
      </c>
      <c r="B94" s="5" t="s">
        <v>2491</v>
      </c>
      <c r="C94" s="5" t="s">
        <v>145</v>
      </c>
      <c r="D94" s="5" t="s">
        <v>24</v>
      </c>
      <c r="E94" s="5" t="s">
        <v>1848</v>
      </c>
      <c r="F94" s="5" t="s">
        <v>1849</v>
      </c>
      <c r="G94" s="5" t="s">
        <v>24</v>
      </c>
      <c r="H94" s="5" t="s">
        <v>182</v>
      </c>
      <c r="I94" s="5" t="s">
        <v>24</v>
      </c>
      <c r="J94" s="5" t="s">
        <v>24</v>
      </c>
      <c r="K94" s="5" t="s">
        <v>24</v>
      </c>
      <c r="L94" s="5" t="s">
        <v>24</v>
      </c>
      <c r="M94" s="5" t="s">
        <v>1885</v>
      </c>
      <c r="N94" s="5" t="s">
        <v>24</v>
      </c>
      <c r="O94" s="5" t="s">
        <v>1917</v>
      </c>
      <c r="P94" s="5" t="s">
        <v>24</v>
      </c>
      <c r="Q94" s="5" t="s">
        <v>24</v>
      </c>
      <c r="R94" s="5" t="s">
        <v>24</v>
      </c>
      <c r="S94" s="5" t="s">
        <v>1852</v>
      </c>
      <c r="T94" s="5" t="s">
        <v>2042</v>
      </c>
      <c r="U94" s="5" t="s">
        <v>2042</v>
      </c>
      <c r="V94" s="5" t="s">
        <v>1854</v>
      </c>
      <c r="W94" s="5" t="s">
        <v>24</v>
      </c>
      <c r="X94" s="5" t="s">
        <v>24</v>
      </c>
      <c r="Y94" s="5" t="s">
        <v>2492</v>
      </c>
      <c r="Z94" s="5" t="s">
        <v>2493</v>
      </c>
      <c r="AA94" s="5" t="s">
        <v>2493</v>
      </c>
      <c r="AB94" s="5" t="s">
        <v>2493</v>
      </c>
      <c r="AC94" s="5" t="s">
        <v>24</v>
      </c>
      <c r="AD94" s="5" t="s">
        <v>24</v>
      </c>
      <c r="AE94" s="5" t="s">
        <v>24</v>
      </c>
      <c r="AF94" s="5" t="s">
        <v>24</v>
      </c>
      <c r="AG94" s="5" t="s">
        <v>24</v>
      </c>
      <c r="AH94" s="5" t="s">
        <v>24</v>
      </c>
      <c r="AI94" s="5" t="s">
        <v>24</v>
      </c>
      <c r="AJ94" s="5" t="s">
        <v>24</v>
      </c>
      <c r="AK94" s="5" t="s">
        <v>24</v>
      </c>
      <c r="AL94" s="5" t="str">
        <f>VLOOKUP(mambo!$H94,Sheet1!B:C,2,FALSE)</f>
        <v>1114202</v>
      </c>
    </row>
    <row r="95" ht="15.75" hidden="1" customHeight="1">
      <c r="A95" s="5" t="s">
        <v>2494</v>
      </c>
      <c r="B95" s="5" t="s">
        <v>2495</v>
      </c>
      <c r="C95" s="5" t="s">
        <v>482</v>
      </c>
      <c r="D95" s="5" t="s">
        <v>24</v>
      </c>
      <c r="E95" s="5" t="s">
        <v>1848</v>
      </c>
      <c r="F95" s="5" t="s">
        <v>1849</v>
      </c>
      <c r="G95" s="5" t="s">
        <v>24</v>
      </c>
      <c r="H95" s="5" t="s">
        <v>2496</v>
      </c>
      <c r="I95" s="5" t="s">
        <v>24</v>
      </c>
      <c r="J95" s="5" t="s">
        <v>24</v>
      </c>
      <c r="K95" s="5" t="s">
        <v>24</v>
      </c>
      <c r="L95" s="5" t="s">
        <v>24</v>
      </c>
      <c r="M95" s="5" t="s">
        <v>1885</v>
      </c>
      <c r="N95" s="5" t="s">
        <v>24</v>
      </c>
      <c r="O95" s="5" t="s">
        <v>1917</v>
      </c>
      <c r="P95" s="5" t="s">
        <v>24</v>
      </c>
      <c r="Q95" s="5" t="s">
        <v>24</v>
      </c>
      <c r="R95" s="5" t="s">
        <v>24</v>
      </c>
      <c r="S95" s="5" t="s">
        <v>2020</v>
      </c>
      <c r="T95" s="5" t="s">
        <v>2021</v>
      </c>
      <c r="U95" s="5" t="s">
        <v>2021</v>
      </c>
      <c r="V95" s="5" t="s">
        <v>24</v>
      </c>
      <c r="W95" s="5" t="s">
        <v>24</v>
      </c>
      <c r="X95" s="5" t="s">
        <v>24</v>
      </c>
      <c r="Y95" s="5" t="s">
        <v>2497</v>
      </c>
      <c r="Z95" s="5" t="s">
        <v>2498</v>
      </c>
      <c r="AA95" s="5" t="s">
        <v>2498</v>
      </c>
      <c r="AB95" s="5" t="s">
        <v>2498</v>
      </c>
      <c r="AC95" s="5" t="s">
        <v>24</v>
      </c>
      <c r="AD95" s="5" t="s">
        <v>24</v>
      </c>
      <c r="AE95" s="5" t="s">
        <v>24</v>
      </c>
      <c r="AF95" s="5" t="s">
        <v>24</v>
      </c>
      <c r="AG95" s="5" t="s">
        <v>24</v>
      </c>
      <c r="AH95" s="5" t="s">
        <v>24</v>
      </c>
      <c r="AI95" s="5" t="s">
        <v>24</v>
      </c>
      <c r="AJ95" s="5" t="s">
        <v>24</v>
      </c>
      <c r="AK95" s="5" t="s">
        <v>24</v>
      </c>
      <c r="AL95" s="5" t="str">
        <f>VLOOKUP(mambo!$H95,Sheet1!B:C,2,FALSE)</f>
        <v>#N/A</v>
      </c>
    </row>
    <row r="96" ht="15.75" hidden="1" customHeight="1">
      <c r="A96" s="5" t="s">
        <v>2499</v>
      </c>
      <c r="B96" s="5" t="s">
        <v>2500</v>
      </c>
      <c r="C96" s="5" t="s">
        <v>227</v>
      </c>
      <c r="D96" s="5" t="s">
        <v>24</v>
      </c>
      <c r="E96" s="5" t="s">
        <v>1848</v>
      </c>
      <c r="F96" s="5" t="s">
        <v>1849</v>
      </c>
      <c r="G96" s="5" t="s">
        <v>24</v>
      </c>
      <c r="H96" s="5" t="s">
        <v>2501</v>
      </c>
      <c r="I96" s="5" t="s">
        <v>24</v>
      </c>
      <c r="J96" s="5" t="s">
        <v>24</v>
      </c>
      <c r="K96" s="5" t="s">
        <v>24</v>
      </c>
      <c r="L96" s="5" t="s">
        <v>24</v>
      </c>
      <c r="M96" s="5" t="s">
        <v>24</v>
      </c>
      <c r="N96" s="5" t="s">
        <v>24</v>
      </c>
      <c r="O96" s="5" t="s">
        <v>1933</v>
      </c>
      <c r="P96" s="5" t="s">
        <v>24</v>
      </c>
      <c r="Q96" s="5" t="s">
        <v>24</v>
      </c>
      <c r="R96" s="5" t="s">
        <v>24</v>
      </c>
      <c r="S96" s="5" t="s">
        <v>1852</v>
      </c>
      <c r="T96" s="5" t="s">
        <v>2502</v>
      </c>
      <c r="U96" s="5" t="s">
        <v>2502</v>
      </c>
      <c r="V96" s="5" t="s">
        <v>1854</v>
      </c>
      <c r="W96" s="5" t="s">
        <v>24</v>
      </c>
      <c r="X96" s="5" t="s">
        <v>24</v>
      </c>
      <c r="Y96" s="5" t="s">
        <v>2503</v>
      </c>
      <c r="Z96" s="5" t="s">
        <v>2504</v>
      </c>
      <c r="AA96" s="5" t="s">
        <v>2504</v>
      </c>
      <c r="AB96" s="5" t="s">
        <v>2504</v>
      </c>
      <c r="AC96" s="5" t="s">
        <v>24</v>
      </c>
      <c r="AD96" s="5" t="s">
        <v>24</v>
      </c>
      <c r="AE96" s="5" t="s">
        <v>24</v>
      </c>
      <c r="AF96" s="5" t="s">
        <v>24</v>
      </c>
      <c r="AG96" s="5" t="s">
        <v>24</v>
      </c>
      <c r="AH96" s="5" t="s">
        <v>24</v>
      </c>
      <c r="AI96" s="5" t="s">
        <v>24</v>
      </c>
      <c r="AJ96" s="5" t="s">
        <v>24</v>
      </c>
      <c r="AK96" s="5" t="s">
        <v>24</v>
      </c>
      <c r="AL96" s="5" t="str">
        <f>VLOOKUP(mambo!$H96,Sheet1!B:C,2,FALSE)</f>
        <v>#N/A</v>
      </c>
    </row>
    <row r="97" ht="15.75" customHeight="1">
      <c r="A97" s="5" t="s">
        <v>2505</v>
      </c>
      <c r="B97" s="5" t="s">
        <v>2506</v>
      </c>
      <c r="C97" s="5" t="s">
        <v>2019</v>
      </c>
      <c r="D97" s="5" t="s">
        <v>24</v>
      </c>
      <c r="E97" s="5" t="s">
        <v>1848</v>
      </c>
      <c r="F97" s="5" t="s">
        <v>1849</v>
      </c>
      <c r="G97" s="5" t="s">
        <v>24</v>
      </c>
      <c r="H97" s="5" t="s">
        <v>875</v>
      </c>
      <c r="I97" s="5" t="s">
        <v>24</v>
      </c>
      <c r="J97" s="5" t="s">
        <v>24</v>
      </c>
      <c r="K97" s="5" t="s">
        <v>24</v>
      </c>
      <c r="L97" s="5" t="s">
        <v>24</v>
      </c>
      <c r="M97" s="5" t="s">
        <v>24</v>
      </c>
      <c r="N97" s="5" t="s">
        <v>24</v>
      </c>
      <c r="O97" s="5" t="s">
        <v>1933</v>
      </c>
      <c r="P97" s="5" t="s">
        <v>24</v>
      </c>
      <c r="Q97" s="5" t="s">
        <v>24</v>
      </c>
      <c r="R97" s="5" t="s">
        <v>24</v>
      </c>
      <c r="S97" s="5" t="s">
        <v>2020</v>
      </c>
      <c r="T97" s="5" t="s">
        <v>2021</v>
      </c>
      <c r="U97" s="5" t="s">
        <v>2021</v>
      </c>
      <c r="V97" s="5" t="s">
        <v>24</v>
      </c>
      <c r="W97" s="5" t="s">
        <v>24</v>
      </c>
      <c r="X97" s="5" t="s">
        <v>24</v>
      </c>
      <c r="Y97" s="5" t="s">
        <v>2507</v>
      </c>
      <c r="Z97" s="5" t="s">
        <v>2508</v>
      </c>
      <c r="AA97" s="5" t="s">
        <v>2508</v>
      </c>
      <c r="AB97" s="5" t="s">
        <v>2508</v>
      </c>
      <c r="AC97" s="5" t="s">
        <v>24</v>
      </c>
      <c r="AD97" s="5" t="s">
        <v>24</v>
      </c>
      <c r="AE97" s="5" t="s">
        <v>24</v>
      </c>
      <c r="AF97" s="5" t="s">
        <v>24</v>
      </c>
      <c r="AG97" s="5" t="s">
        <v>24</v>
      </c>
      <c r="AH97" s="5" t="s">
        <v>24</v>
      </c>
      <c r="AI97" s="5" t="s">
        <v>24</v>
      </c>
      <c r="AJ97" s="5" t="s">
        <v>24</v>
      </c>
      <c r="AK97" s="5" t="s">
        <v>24</v>
      </c>
      <c r="AL97" s="5" t="str">
        <f>VLOOKUP(mambo!$H97,Sheet1!B:C,2,FALSE)</f>
        <v>1405431</v>
      </c>
    </row>
    <row r="98" ht="15.75" hidden="1" customHeight="1">
      <c r="A98" s="5" t="s">
        <v>2509</v>
      </c>
      <c r="B98" s="5" t="s">
        <v>2510</v>
      </c>
      <c r="C98" s="5" t="s">
        <v>139</v>
      </c>
      <c r="D98" s="5" t="s">
        <v>24</v>
      </c>
      <c r="E98" s="5" t="s">
        <v>1848</v>
      </c>
      <c r="F98" s="5" t="s">
        <v>1849</v>
      </c>
      <c r="G98" s="5" t="s">
        <v>24</v>
      </c>
      <c r="H98" s="5" t="s">
        <v>2511</v>
      </c>
      <c r="I98" s="5" t="s">
        <v>24</v>
      </c>
      <c r="J98" s="5" t="s">
        <v>24</v>
      </c>
      <c r="K98" s="5" t="s">
        <v>24</v>
      </c>
      <c r="L98" s="5" t="s">
        <v>24</v>
      </c>
      <c r="M98" s="5" t="s">
        <v>24</v>
      </c>
      <c r="N98" s="5" t="s">
        <v>24</v>
      </c>
      <c r="O98" s="5" t="s">
        <v>1933</v>
      </c>
      <c r="P98" s="5" t="s">
        <v>24</v>
      </c>
      <c r="Q98" s="5" t="s">
        <v>24</v>
      </c>
      <c r="R98" s="5" t="s">
        <v>24</v>
      </c>
      <c r="S98" s="5" t="s">
        <v>1852</v>
      </c>
      <c r="T98" s="5" t="s">
        <v>2066</v>
      </c>
      <c r="U98" s="5" t="s">
        <v>2066</v>
      </c>
      <c r="V98" s="5" t="s">
        <v>1854</v>
      </c>
      <c r="W98" s="5" t="s">
        <v>24</v>
      </c>
      <c r="X98" s="5" t="s">
        <v>24</v>
      </c>
      <c r="Y98" s="5" t="s">
        <v>2512</v>
      </c>
      <c r="Z98" s="5" t="s">
        <v>2513</v>
      </c>
      <c r="AA98" s="5" t="s">
        <v>2513</v>
      </c>
      <c r="AB98" s="5" t="s">
        <v>2513</v>
      </c>
      <c r="AC98" s="5" t="s">
        <v>2514</v>
      </c>
      <c r="AD98" s="5" t="s">
        <v>2515</v>
      </c>
      <c r="AE98" s="5" t="s">
        <v>24</v>
      </c>
      <c r="AF98" s="5" t="s">
        <v>24</v>
      </c>
      <c r="AG98" s="5" t="s">
        <v>24</v>
      </c>
      <c r="AH98" s="5" t="s">
        <v>24</v>
      </c>
      <c r="AI98" s="5" t="s">
        <v>24</v>
      </c>
      <c r="AJ98" s="5" t="s">
        <v>24</v>
      </c>
      <c r="AK98" s="5" t="s">
        <v>24</v>
      </c>
      <c r="AL98" s="5" t="str">
        <f>VLOOKUP(mambo!$H98,Sheet1!B:C,2,FALSE)</f>
        <v>#N/A</v>
      </c>
    </row>
    <row r="99" ht="15.75" customHeight="1">
      <c r="A99" s="5" t="s">
        <v>2516</v>
      </c>
      <c r="B99" s="5" t="s">
        <v>2517</v>
      </c>
      <c r="C99" s="5" t="s">
        <v>503</v>
      </c>
      <c r="D99" s="5" t="s">
        <v>24</v>
      </c>
      <c r="E99" s="5" t="s">
        <v>1848</v>
      </c>
      <c r="F99" s="5" t="s">
        <v>1849</v>
      </c>
      <c r="G99" s="5" t="s">
        <v>24</v>
      </c>
      <c r="H99" s="5" t="s">
        <v>140</v>
      </c>
      <c r="I99" s="5" t="s">
        <v>24</v>
      </c>
      <c r="J99" s="5" t="s">
        <v>24</v>
      </c>
      <c r="K99" s="5" t="s">
        <v>24</v>
      </c>
      <c r="L99" s="5" t="s">
        <v>24</v>
      </c>
      <c r="M99" s="5" t="s">
        <v>1885</v>
      </c>
      <c r="N99" s="5" t="s">
        <v>24</v>
      </c>
      <c r="O99" s="5" t="s">
        <v>24</v>
      </c>
      <c r="P99" s="5" t="s">
        <v>24</v>
      </c>
      <c r="Q99" s="5" t="s">
        <v>24</v>
      </c>
      <c r="R99" s="5" t="s">
        <v>24</v>
      </c>
      <c r="S99" s="5" t="s">
        <v>1852</v>
      </c>
      <c r="T99" s="5" t="s">
        <v>1923</v>
      </c>
      <c r="U99" s="5" t="s">
        <v>1923</v>
      </c>
      <c r="V99" s="5" t="s">
        <v>1854</v>
      </c>
      <c r="W99" s="5" t="s">
        <v>24</v>
      </c>
      <c r="X99" s="5" t="s">
        <v>24</v>
      </c>
      <c r="Y99" s="5" t="s">
        <v>2518</v>
      </c>
      <c r="Z99" s="5" t="s">
        <v>2519</v>
      </c>
      <c r="AA99" s="5" t="s">
        <v>2519</v>
      </c>
      <c r="AB99" s="5" t="s">
        <v>2519</v>
      </c>
      <c r="AC99" s="5" t="s">
        <v>2520</v>
      </c>
      <c r="AD99" s="5" t="s">
        <v>2521</v>
      </c>
      <c r="AE99" s="5" t="s">
        <v>2522</v>
      </c>
      <c r="AF99" s="5" t="s">
        <v>2523</v>
      </c>
      <c r="AG99" s="5" t="s">
        <v>2524</v>
      </c>
      <c r="AH99" s="5" t="s">
        <v>2525</v>
      </c>
      <c r="AI99" s="5" t="s">
        <v>2526</v>
      </c>
      <c r="AJ99" s="5" t="s">
        <v>2527</v>
      </c>
      <c r="AK99" s="5" t="s">
        <v>24</v>
      </c>
      <c r="AL99" s="5" t="str">
        <f>VLOOKUP(mambo!$H99,Sheet1!B:C,2,FALSE)</f>
        <v>1194404</v>
      </c>
    </row>
    <row r="100" ht="15.75" hidden="1" customHeight="1">
      <c r="A100" s="5" t="s">
        <v>2528</v>
      </c>
      <c r="B100" s="5" t="s">
        <v>2529</v>
      </c>
      <c r="C100" s="5" t="s">
        <v>227</v>
      </c>
      <c r="D100" s="5" t="s">
        <v>24</v>
      </c>
      <c r="E100" s="5" t="s">
        <v>1848</v>
      </c>
      <c r="F100" s="5" t="s">
        <v>1849</v>
      </c>
      <c r="G100" s="5" t="s">
        <v>24</v>
      </c>
      <c r="H100" s="5" t="s">
        <v>2530</v>
      </c>
      <c r="I100" s="5" t="s">
        <v>24</v>
      </c>
      <c r="J100" s="5" t="s">
        <v>24</v>
      </c>
      <c r="K100" s="5" t="s">
        <v>24</v>
      </c>
      <c r="L100" s="5" t="s">
        <v>24</v>
      </c>
      <c r="M100" s="5" t="s">
        <v>24</v>
      </c>
      <c r="N100" s="5" t="s">
        <v>24</v>
      </c>
      <c r="O100" s="5" t="s">
        <v>1851</v>
      </c>
      <c r="P100" s="5" t="s">
        <v>24</v>
      </c>
      <c r="Q100" s="5" t="s">
        <v>24</v>
      </c>
      <c r="R100" s="5" t="s">
        <v>24</v>
      </c>
      <c r="S100" s="5" t="s">
        <v>1852</v>
      </c>
      <c r="T100" s="5" t="s">
        <v>2502</v>
      </c>
      <c r="U100" s="5" t="s">
        <v>2502</v>
      </c>
      <c r="V100" s="5" t="s">
        <v>1854</v>
      </c>
      <c r="W100" s="5" t="s">
        <v>24</v>
      </c>
      <c r="X100" s="5" t="s">
        <v>24</v>
      </c>
      <c r="Y100" s="5" t="s">
        <v>2531</v>
      </c>
      <c r="Z100" s="5" t="s">
        <v>2532</v>
      </c>
      <c r="AA100" s="5" t="s">
        <v>2532</v>
      </c>
      <c r="AB100" s="5" t="s">
        <v>2532</v>
      </c>
      <c r="AC100" s="5" t="s">
        <v>2533</v>
      </c>
      <c r="AD100" s="5" t="s">
        <v>2534</v>
      </c>
      <c r="AE100" s="5" t="s">
        <v>2535</v>
      </c>
      <c r="AF100" s="5" t="s">
        <v>2536</v>
      </c>
      <c r="AG100" s="5" t="s">
        <v>24</v>
      </c>
      <c r="AH100" s="5" t="s">
        <v>24</v>
      </c>
      <c r="AI100" s="5" t="s">
        <v>24</v>
      </c>
      <c r="AJ100" s="5" t="s">
        <v>24</v>
      </c>
      <c r="AK100" s="5" t="s">
        <v>24</v>
      </c>
      <c r="AL100" s="5" t="str">
        <f>VLOOKUP(mambo!$H100,Sheet1!B:C,2,FALSE)</f>
        <v>#N/A</v>
      </c>
    </row>
    <row r="101" ht="15.75" hidden="1" customHeight="1">
      <c r="A101" s="5" t="s">
        <v>2537</v>
      </c>
      <c r="B101" s="5" t="s">
        <v>2538</v>
      </c>
      <c r="C101" s="5" t="s">
        <v>1883</v>
      </c>
      <c r="D101" s="5" t="s">
        <v>24</v>
      </c>
      <c r="E101" s="5" t="s">
        <v>1848</v>
      </c>
      <c r="F101" s="5" t="s">
        <v>1849</v>
      </c>
      <c r="G101" s="5" t="s">
        <v>24</v>
      </c>
      <c r="H101" s="5" t="s">
        <v>2539</v>
      </c>
      <c r="I101" s="5" t="s">
        <v>24</v>
      </c>
      <c r="J101" s="5" t="s">
        <v>24</v>
      </c>
      <c r="K101" s="5" t="s">
        <v>24</v>
      </c>
      <c r="L101" s="5" t="s">
        <v>24</v>
      </c>
      <c r="M101" s="5" t="s">
        <v>1885</v>
      </c>
      <c r="N101" s="5" t="s">
        <v>24</v>
      </c>
      <c r="O101" s="5" t="s">
        <v>1886</v>
      </c>
      <c r="P101" s="5" t="s">
        <v>24</v>
      </c>
      <c r="Q101" s="5" t="s">
        <v>24</v>
      </c>
      <c r="R101" s="5" t="s">
        <v>24</v>
      </c>
      <c r="S101" s="5" t="s">
        <v>1852</v>
      </c>
      <c r="T101" s="5" t="s">
        <v>1887</v>
      </c>
      <c r="U101" s="5" t="s">
        <v>1887</v>
      </c>
      <c r="V101" s="5" t="s">
        <v>1854</v>
      </c>
      <c r="W101" s="5" t="s">
        <v>24</v>
      </c>
      <c r="X101" s="5" t="s">
        <v>24</v>
      </c>
      <c r="Y101" s="5" t="s">
        <v>2540</v>
      </c>
      <c r="Z101" s="5" t="s">
        <v>2541</v>
      </c>
      <c r="AA101" s="5" t="s">
        <v>2541</v>
      </c>
      <c r="AB101" s="5" t="s">
        <v>2541</v>
      </c>
      <c r="AC101" s="5" t="s">
        <v>24</v>
      </c>
      <c r="AD101" s="5" t="s">
        <v>24</v>
      </c>
      <c r="AE101" s="5" t="s">
        <v>24</v>
      </c>
      <c r="AF101" s="5" t="s">
        <v>24</v>
      </c>
      <c r="AG101" s="5" t="s">
        <v>24</v>
      </c>
      <c r="AH101" s="5" t="s">
        <v>24</v>
      </c>
      <c r="AI101" s="5" t="s">
        <v>24</v>
      </c>
      <c r="AJ101" s="5" t="s">
        <v>24</v>
      </c>
      <c r="AK101" s="5" t="s">
        <v>24</v>
      </c>
      <c r="AL101" s="5" t="str">
        <f>VLOOKUP(mambo!$H101,Sheet1!B:C,2,FALSE)</f>
        <v>#N/A</v>
      </c>
    </row>
    <row r="102" ht="15.75" hidden="1" customHeight="1">
      <c r="A102" s="5" t="s">
        <v>2542</v>
      </c>
      <c r="B102" s="5" t="s">
        <v>2543</v>
      </c>
      <c r="C102" s="5" t="s">
        <v>1883</v>
      </c>
      <c r="D102" s="5" t="s">
        <v>24</v>
      </c>
      <c r="E102" s="5" t="s">
        <v>1848</v>
      </c>
      <c r="F102" s="5" t="s">
        <v>1849</v>
      </c>
      <c r="G102" s="5" t="s">
        <v>24</v>
      </c>
      <c r="H102" s="5" t="s">
        <v>2544</v>
      </c>
      <c r="I102" s="5" t="s">
        <v>24</v>
      </c>
      <c r="J102" s="5" t="s">
        <v>24</v>
      </c>
      <c r="K102" s="5" t="s">
        <v>24</v>
      </c>
      <c r="L102" s="5" t="s">
        <v>24</v>
      </c>
      <c r="M102" s="5" t="s">
        <v>1885</v>
      </c>
      <c r="N102" s="5" t="s">
        <v>24</v>
      </c>
      <c r="O102" s="5" t="s">
        <v>1886</v>
      </c>
      <c r="P102" s="5" t="s">
        <v>24</v>
      </c>
      <c r="Q102" s="5" t="s">
        <v>24</v>
      </c>
      <c r="R102" s="5" t="s">
        <v>24</v>
      </c>
      <c r="S102" s="5" t="s">
        <v>1852</v>
      </c>
      <c r="T102" s="5" t="s">
        <v>1887</v>
      </c>
      <c r="U102" s="5" t="s">
        <v>1887</v>
      </c>
      <c r="V102" s="5" t="s">
        <v>1854</v>
      </c>
      <c r="W102" s="5" t="s">
        <v>24</v>
      </c>
      <c r="X102" s="5" t="s">
        <v>24</v>
      </c>
      <c r="Y102" s="5" t="s">
        <v>2545</v>
      </c>
      <c r="Z102" s="5" t="s">
        <v>2546</v>
      </c>
      <c r="AA102" s="5" t="s">
        <v>2546</v>
      </c>
      <c r="AB102" s="5" t="s">
        <v>2546</v>
      </c>
      <c r="AC102" s="5" t="s">
        <v>24</v>
      </c>
      <c r="AD102" s="5" t="s">
        <v>24</v>
      </c>
      <c r="AE102" s="5" t="s">
        <v>24</v>
      </c>
      <c r="AF102" s="5" t="s">
        <v>24</v>
      </c>
      <c r="AG102" s="5" t="s">
        <v>24</v>
      </c>
      <c r="AH102" s="5" t="s">
        <v>24</v>
      </c>
      <c r="AI102" s="5" t="s">
        <v>24</v>
      </c>
      <c r="AJ102" s="5" t="s">
        <v>24</v>
      </c>
      <c r="AK102" s="5" t="s">
        <v>24</v>
      </c>
      <c r="AL102" s="5" t="str">
        <f>VLOOKUP(mambo!$H102,Sheet1!B:C,2,FALSE)</f>
        <v>#N/A</v>
      </c>
    </row>
    <row r="103" ht="15.75" hidden="1" customHeight="1">
      <c r="A103" s="5" t="s">
        <v>2547</v>
      </c>
      <c r="B103" s="5" t="s">
        <v>2548</v>
      </c>
      <c r="C103" s="5" t="s">
        <v>1883</v>
      </c>
      <c r="D103" s="5" t="s">
        <v>24</v>
      </c>
      <c r="E103" s="5" t="s">
        <v>1848</v>
      </c>
      <c r="F103" s="5" t="s">
        <v>1849</v>
      </c>
      <c r="G103" s="5" t="s">
        <v>24</v>
      </c>
      <c r="H103" s="5" t="s">
        <v>2549</v>
      </c>
      <c r="I103" s="5" t="s">
        <v>24</v>
      </c>
      <c r="J103" s="5" t="s">
        <v>24</v>
      </c>
      <c r="K103" s="5" t="s">
        <v>24</v>
      </c>
      <c r="L103" s="5" t="s">
        <v>24</v>
      </c>
      <c r="M103" s="5" t="s">
        <v>1885</v>
      </c>
      <c r="N103" s="5" t="s">
        <v>24</v>
      </c>
      <c r="O103" s="5" t="s">
        <v>1886</v>
      </c>
      <c r="P103" s="5" t="s">
        <v>24</v>
      </c>
      <c r="Q103" s="5" t="s">
        <v>24</v>
      </c>
      <c r="R103" s="5" t="s">
        <v>24</v>
      </c>
      <c r="S103" s="5" t="s">
        <v>1852</v>
      </c>
      <c r="T103" s="5" t="s">
        <v>1887</v>
      </c>
      <c r="U103" s="5" t="s">
        <v>1887</v>
      </c>
      <c r="V103" s="5" t="s">
        <v>1854</v>
      </c>
      <c r="W103" s="5" t="s">
        <v>24</v>
      </c>
      <c r="X103" s="5" t="s">
        <v>24</v>
      </c>
      <c r="Y103" s="5" t="s">
        <v>2550</v>
      </c>
      <c r="Z103" s="5" t="s">
        <v>2551</v>
      </c>
      <c r="AA103" s="5" t="s">
        <v>2551</v>
      </c>
      <c r="AB103" s="5" t="s">
        <v>2551</v>
      </c>
      <c r="AC103" s="5" t="s">
        <v>24</v>
      </c>
      <c r="AD103" s="5" t="s">
        <v>24</v>
      </c>
      <c r="AE103" s="5" t="s">
        <v>24</v>
      </c>
      <c r="AF103" s="5" t="s">
        <v>24</v>
      </c>
      <c r="AG103" s="5" t="s">
        <v>24</v>
      </c>
      <c r="AH103" s="5" t="s">
        <v>24</v>
      </c>
      <c r="AI103" s="5" t="s">
        <v>24</v>
      </c>
      <c r="AJ103" s="5" t="s">
        <v>24</v>
      </c>
      <c r="AK103" s="5" t="s">
        <v>24</v>
      </c>
      <c r="AL103" s="5" t="str">
        <f>VLOOKUP(mambo!$H103,Sheet1!B:C,2,FALSE)</f>
        <v>#N/A</v>
      </c>
    </row>
    <row r="104" ht="15.75" hidden="1" customHeight="1">
      <c r="A104" s="5" t="s">
        <v>2552</v>
      </c>
      <c r="B104" s="5" t="s">
        <v>2553</v>
      </c>
      <c r="C104" s="5" t="s">
        <v>1883</v>
      </c>
      <c r="D104" s="5" t="s">
        <v>24</v>
      </c>
      <c r="E104" s="5" t="s">
        <v>1848</v>
      </c>
      <c r="F104" s="5" t="s">
        <v>1849</v>
      </c>
      <c r="G104" s="5" t="s">
        <v>24</v>
      </c>
      <c r="H104" s="5" t="s">
        <v>2554</v>
      </c>
      <c r="I104" s="5" t="s">
        <v>24</v>
      </c>
      <c r="J104" s="5" t="s">
        <v>24</v>
      </c>
      <c r="K104" s="5" t="s">
        <v>24</v>
      </c>
      <c r="L104" s="5" t="s">
        <v>24</v>
      </c>
      <c r="M104" s="5" t="s">
        <v>1885</v>
      </c>
      <c r="N104" s="5" t="s">
        <v>24</v>
      </c>
      <c r="O104" s="5" t="s">
        <v>1886</v>
      </c>
      <c r="P104" s="5" t="s">
        <v>24</v>
      </c>
      <c r="Q104" s="5" t="s">
        <v>24</v>
      </c>
      <c r="R104" s="5" t="s">
        <v>24</v>
      </c>
      <c r="S104" s="5" t="s">
        <v>1852</v>
      </c>
      <c r="T104" s="5" t="s">
        <v>1887</v>
      </c>
      <c r="U104" s="5" t="s">
        <v>1887</v>
      </c>
      <c r="V104" s="5" t="s">
        <v>1854</v>
      </c>
      <c r="W104" s="5" t="s">
        <v>24</v>
      </c>
      <c r="X104" s="5" t="s">
        <v>24</v>
      </c>
      <c r="Y104" s="5" t="s">
        <v>2555</v>
      </c>
      <c r="Z104" s="5" t="s">
        <v>2556</v>
      </c>
      <c r="AA104" s="5" t="s">
        <v>2556</v>
      </c>
      <c r="AB104" s="5" t="s">
        <v>2556</v>
      </c>
      <c r="AC104" s="5" t="s">
        <v>24</v>
      </c>
      <c r="AD104" s="5" t="s">
        <v>24</v>
      </c>
      <c r="AE104" s="5" t="s">
        <v>24</v>
      </c>
      <c r="AF104" s="5" t="s">
        <v>24</v>
      </c>
      <c r="AG104" s="5" t="s">
        <v>24</v>
      </c>
      <c r="AH104" s="5" t="s">
        <v>24</v>
      </c>
      <c r="AI104" s="5" t="s">
        <v>24</v>
      </c>
      <c r="AJ104" s="5" t="s">
        <v>24</v>
      </c>
      <c r="AK104" s="5" t="s">
        <v>24</v>
      </c>
      <c r="AL104" s="5" t="str">
        <f>VLOOKUP(mambo!$H104,Sheet1!B:C,2,FALSE)</f>
        <v>#N/A</v>
      </c>
    </row>
    <row r="105" ht="15.75" hidden="1" customHeight="1">
      <c r="A105" s="5" t="s">
        <v>2557</v>
      </c>
      <c r="B105" s="5" t="s">
        <v>2558</v>
      </c>
      <c r="C105" s="5" t="s">
        <v>117</v>
      </c>
      <c r="D105" s="5" t="s">
        <v>24</v>
      </c>
      <c r="E105" s="5" t="s">
        <v>1848</v>
      </c>
      <c r="F105" s="5" t="s">
        <v>1849</v>
      </c>
      <c r="G105" s="5" t="s">
        <v>24</v>
      </c>
      <c r="H105" s="5" t="s">
        <v>2559</v>
      </c>
      <c r="I105" s="5" t="s">
        <v>24</v>
      </c>
      <c r="J105" s="5" t="s">
        <v>24</v>
      </c>
      <c r="K105" s="5" t="s">
        <v>24</v>
      </c>
      <c r="L105" s="5" t="s">
        <v>24</v>
      </c>
      <c r="M105" s="5" t="s">
        <v>24</v>
      </c>
      <c r="N105" s="5" t="s">
        <v>24</v>
      </c>
      <c r="O105" s="5" t="s">
        <v>1933</v>
      </c>
      <c r="P105" s="5" t="s">
        <v>24</v>
      </c>
      <c r="Q105" s="5" t="s">
        <v>24</v>
      </c>
      <c r="R105" s="5" t="s">
        <v>24</v>
      </c>
      <c r="S105" s="5" t="s">
        <v>1852</v>
      </c>
      <c r="T105" s="5" t="s">
        <v>2047</v>
      </c>
      <c r="U105" s="5" t="s">
        <v>2047</v>
      </c>
      <c r="V105" s="5" t="s">
        <v>1854</v>
      </c>
      <c r="W105" s="5" t="s">
        <v>24</v>
      </c>
      <c r="X105" s="5" t="s">
        <v>24</v>
      </c>
      <c r="Y105" s="5" t="s">
        <v>2560</v>
      </c>
      <c r="Z105" s="5" t="s">
        <v>2561</v>
      </c>
      <c r="AA105" s="5" t="s">
        <v>2561</v>
      </c>
      <c r="AB105" s="5" t="s">
        <v>2561</v>
      </c>
      <c r="AC105" s="5" t="s">
        <v>2562</v>
      </c>
      <c r="AD105" s="5" t="s">
        <v>24</v>
      </c>
      <c r="AE105" s="5" t="s">
        <v>24</v>
      </c>
      <c r="AF105" s="5" t="s">
        <v>24</v>
      </c>
      <c r="AG105" s="5" t="s">
        <v>24</v>
      </c>
      <c r="AH105" s="5" t="s">
        <v>24</v>
      </c>
      <c r="AI105" s="5" t="s">
        <v>24</v>
      </c>
      <c r="AJ105" s="5" t="s">
        <v>24</v>
      </c>
      <c r="AK105" s="5" t="s">
        <v>24</v>
      </c>
      <c r="AL105" s="5" t="str">
        <f>VLOOKUP(mambo!$H105,Sheet1!B:C,2,FALSE)</f>
        <v>#N/A</v>
      </c>
    </row>
    <row r="106" ht="15.75" hidden="1" customHeight="1">
      <c r="A106" s="5" t="s">
        <v>2563</v>
      </c>
      <c r="B106" s="5" t="s">
        <v>2564</v>
      </c>
      <c r="C106" s="5" t="s">
        <v>117</v>
      </c>
      <c r="D106" s="5" t="s">
        <v>24</v>
      </c>
      <c r="E106" s="5" t="s">
        <v>1848</v>
      </c>
      <c r="F106" s="5" t="s">
        <v>1849</v>
      </c>
      <c r="G106" s="5" t="s">
        <v>24</v>
      </c>
      <c r="H106" s="5" t="s">
        <v>2565</v>
      </c>
      <c r="I106" s="5" t="s">
        <v>24</v>
      </c>
      <c r="J106" s="5" t="s">
        <v>24</v>
      </c>
      <c r="K106" s="5" t="s">
        <v>24</v>
      </c>
      <c r="L106" s="5" t="s">
        <v>24</v>
      </c>
      <c r="M106" s="5" t="s">
        <v>24</v>
      </c>
      <c r="N106" s="5" t="s">
        <v>24</v>
      </c>
      <c r="O106" s="5" t="s">
        <v>1933</v>
      </c>
      <c r="P106" s="5" t="s">
        <v>24</v>
      </c>
      <c r="Q106" s="5" t="s">
        <v>24</v>
      </c>
      <c r="R106" s="5" t="s">
        <v>24</v>
      </c>
      <c r="S106" s="5" t="s">
        <v>1852</v>
      </c>
      <c r="T106" s="5" t="s">
        <v>2047</v>
      </c>
      <c r="U106" s="5" t="s">
        <v>2047</v>
      </c>
      <c r="V106" s="5" t="s">
        <v>1854</v>
      </c>
      <c r="W106" s="5" t="s">
        <v>24</v>
      </c>
      <c r="X106" s="5" t="s">
        <v>24</v>
      </c>
      <c r="Y106" s="5" t="s">
        <v>2566</v>
      </c>
      <c r="Z106" s="5" t="s">
        <v>2567</v>
      </c>
      <c r="AA106" s="5" t="s">
        <v>2567</v>
      </c>
      <c r="AB106" s="5" t="s">
        <v>2567</v>
      </c>
      <c r="AC106" s="5" t="s">
        <v>2568</v>
      </c>
      <c r="AD106" s="5" t="s">
        <v>24</v>
      </c>
      <c r="AE106" s="5" t="s">
        <v>24</v>
      </c>
      <c r="AF106" s="5" t="s">
        <v>24</v>
      </c>
      <c r="AG106" s="5" t="s">
        <v>24</v>
      </c>
      <c r="AH106" s="5" t="s">
        <v>24</v>
      </c>
      <c r="AI106" s="5" t="s">
        <v>24</v>
      </c>
      <c r="AJ106" s="5" t="s">
        <v>24</v>
      </c>
      <c r="AK106" s="5" t="s">
        <v>24</v>
      </c>
      <c r="AL106" s="5" t="str">
        <f>VLOOKUP(mambo!$H106,Sheet1!B:C,2,FALSE)</f>
        <v>#N/A</v>
      </c>
    </row>
    <row r="107" ht="15.75" hidden="1" customHeight="1">
      <c r="A107" s="5" t="s">
        <v>2569</v>
      </c>
      <c r="B107" s="5" t="s">
        <v>2570</v>
      </c>
      <c r="C107" s="5" t="s">
        <v>227</v>
      </c>
      <c r="D107" s="5" t="s">
        <v>24</v>
      </c>
      <c r="E107" s="5" t="s">
        <v>1848</v>
      </c>
      <c r="F107" s="5" t="s">
        <v>1849</v>
      </c>
      <c r="G107" s="5" t="s">
        <v>24</v>
      </c>
      <c r="H107" s="5" t="s">
        <v>2571</v>
      </c>
      <c r="I107" s="5" t="s">
        <v>24</v>
      </c>
      <c r="J107" s="5" t="s">
        <v>24</v>
      </c>
      <c r="K107" s="5" t="s">
        <v>24</v>
      </c>
      <c r="L107" s="5" t="s">
        <v>24</v>
      </c>
      <c r="M107" s="5" t="s">
        <v>1885</v>
      </c>
      <c r="N107" s="5" t="s">
        <v>24</v>
      </c>
      <c r="O107" s="5" t="s">
        <v>24</v>
      </c>
      <c r="P107" s="5" t="s">
        <v>24</v>
      </c>
      <c r="Q107" s="5" t="s">
        <v>24</v>
      </c>
      <c r="R107" s="5" t="s">
        <v>24</v>
      </c>
      <c r="S107" s="5" t="s">
        <v>1852</v>
      </c>
      <c r="T107" s="5" t="s">
        <v>1970</v>
      </c>
      <c r="U107" s="5" t="s">
        <v>1970</v>
      </c>
      <c r="V107" s="5" t="s">
        <v>1854</v>
      </c>
      <c r="W107" s="5" t="s">
        <v>24</v>
      </c>
      <c r="X107" s="5" t="s">
        <v>24</v>
      </c>
      <c r="Y107" s="5" t="s">
        <v>2572</v>
      </c>
      <c r="Z107" s="5" t="s">
        <v>2573</v>
      </c>
      <c r="AA107" s="5" t="s">
        <v>2573</v>
      </c>
      <c r="AB107" s="5" t="s">
        <v>2573</v>
      </c>
      <c r="AC107" s="5" t="s">
        <v>24</v>
      </c>
      <c r="AD107" s="5" t="s">
        <v>24</v>
      </c>
      <c r="AE107" s="5" t="s">
        <v>24</v>
      </c>
      <c r="AF107" s="5" t="s">
        <v>24</v>
      </c>
      <c r="AG107" s="5" t="s">
        <v>24</v>
      </c>
      <c r="AH107" s="5" t="s">
        <v>24</v>
      </c>
      <c r="AI107" s="5" t="s">
        <v>24</v>
      </c>
      <c r="AJ107" s="5" t="s">
        <v>24</v>
      </c>
      <c r="AK107" s="5" t="s">
        <v>24</v>
      </c>
      <c r="AL107" s="5" t="str">
        <f>VLOOKUP(mambo!$H107,Sheet1!B:C,2,FALSE)</f>
        <v>#N/A</v>
      </c>
    </row>
    <row r="108" ht="15.75" hidden="1" customHeight="1">
      <c r="A108" s="5" t="s">
        <v>2574</v>
      </c>
      <c r="B108" s="5" t="s">
        <v>2575</v>
      </c>
      <c r="C108" s="5" t="s">
        <v>227</v>
      </c>
      <c r="D108" s="5" t="s">
        <v>24</v>
      </c>
      <c r="E108" s="5" t="s">
        <v>1848</v>
      </c>
      <c r="F108" s="5" t="s">
        <v>1849</v>
      </c>
      <c r="G108" s="5" t="s">
        <v>24</v>
      </c>
      <c r="H108" s="5" t="s">
        <v>2576</v>
      </c>
      <c r="I108" s="5" t="s">
        <v>24</v>
      </c>
      <c r="J108" s="5" t="s">
        <v>24</v>
      </c>
      <c r="K108" s="5" t="s">
        <v>24</v>
      </c>
      <c r="L108" s="5" t="s">
        <v>24</v>
      </c>
      <c r="M108" s="5" t="s">
        <v>1885</v>
      </c>
      <c r="N108" s="5" t="s">
        <v>24</v>
      </c>
      <c r="O108" s="5" t="s">
        <v>24</v>
      </c>
      <c r="P108" s="5" t="s">
        <v>24</v>
      </c>
      <c r="Q108" s="5" t="s">
        <v>24</v>
      </c>
      <c r="R108" s="5" t="s">
        <v>24</v>
      </c>
      <c r="S108" s="5" t="s">
        <v>1852</v>
      </c>
      <c r="T108" s="5" t="s">
        <v>1970</v>
      </c>
      <c r="U108" s="5" t="s">
        <v>1970</v>
      </c>
      <c r="V108" s="5" t="s">
        <v>1854</v>
      </c>
      <c r="W108" s="5" t="s">
        <v>24</v>
      </c>
      <c r="X108" s="5" t="s">
        <v>24</v>
      </c>
      <c r="Y108" s="5" t="s">
        <v>2577</v>
      </c>
      <c r="Z108" s="5" t="s">
        <v>2578</v>
      </c>
      <c r="AA108" s="5" t="s">
        <v>2578</v>
      </c>
      <c r="AB108" s="5" t="s">
        <v>2578</v>
      </c>
      <c r="AC108" s="5" t="s">
        <v>24</v>
      </c>
      <c r="AD108" s="5" t="s">
        <v>24</v>
      </c>
      <c r="AE108" s="5" t="s">
        <v>24</v>
      </c>
      <c r="AF108" s="5" t="s">
        <v>24</v>
      </c>
      <c r="AG108" s="5" t="s">
        <v>24</v>
      </c>
      <c r="AH108" s="5" t="s">
        <v>24</v>
      </c>
      <c r="AI108" s="5" t="s">
        <v>24</v>
      </c>
      <c r="AJ108" s="5" t="s">
        <v>24</v>
      </c>
      <c r="AK108" s="5" t="s">
        <v>24</v>
      </c>
      <c r="AL108" s="5" t="str">
        <f>VLOOKUP(mambo!$H108,Sheet1!B:C,2,FALSE)</f>
        <v>#N/A</v>
      </c>
    </row>
    <row r="109" ht="15.75" hidden="1" customHeight="1">
      <c r="A109" s="5" t="s">
        <v>2579</v>
      </c>
      <c r="B109" s="5" t="s">
        <v>2580</v>
      </c>
      <c r="C109" s="5" t="s">
        <v>227</v>
      </c>
      <c r="D109" s="5" t="s">
        <v>24</v>
      </c>
      <c r="E109" s="5" t="s">
        <v>1848</v>
      </c>
      <c r="F109" s="5" t="s">
        <v>1849</v>
      </c>
      <c r="G109" s="5" t="s">
        <v>24</v>
      </c>
      <c r="H109" s="5" t="s">
        <v>2581</v>
      </c>
      <c r="I109" s="5" t="s">
        <v>24</v>
      </c>
      <c r="J109" s="5" t="s">
        <v>24</v>
      </c>
      <c r="K109" s="5" t="s">
        <v>24</v>
      </c>
      <c r="L109" s="5" t="s">
        <v>24</v>
      </c>
      <c r="M109" s="5" t="s">
        <v>24</v>
      </c>
      <c r="N109" s="5" t="s">
        <v>24</v>
      </c>
      <c r="O109" s="5" t="s">
        <v>1933</v>
      </c>
      <c r="P109" s="5" t="s">
        <v>24</v>
      </c>
      <c r="Q109" s="5" t="s">
        <v>24</v>
      </c>
      <c r="R109" s="5" t="s">
        <v>24</v>
      </c>
      <c r="S109" s="5" t="s">
        <v>1852</v>
      </c>
      <c r="T109" s="5" t="s">
        <v>2502</v>
      </c>
      <c r="U109" s="5" t="s">
        <v>2502</v>
      </c>
      <c r="V109" s="5" t="s">
        <v>1854</v>
      </c>
      <c r="W109" s="5" t="s">
        <v>24</v>
      </c>
      <c r="X109" s="5" t="s">
        <v>24</v>
      </c>
      <c r="Y109" s="5" t="s">
        <v>2582</v>
      </c>
      <c r="Z109" s="5" t="s">
        <v>2583</v>
      </c>
      <c r="AA109" s="5" t="s">
        <v>2583</v>
      </c>
      <c r="AB109" s="5" t="s">
        <v>2583</v>
      </c>
      <c r="AC109" s="5" t="s">
        <v>2584</v>
      </c>
      <c r="AD109" s="5" t="s">
        <v>2585</v>
      </c>
      <c r="AE109" s="5" t="s">
        <v>2586</v>
      </c>
      <c r="AF109" s="5" t="s">
        <v>2587</v>
      </c>
      <c r="AG109" s="5" t="s">
        <v>24</v>
      </c>
      <c r="AH109" s="5" t="s">
        <v>24</v>
      </c>
      <c r="AI109" s="5" t="s">
        <v>24</v>
      </c>
      <c r="AJ109" s="5" t="s">
        <v>24</v>
      </c>
      <c r="AK109" s="5" t="s">
        <v>24</v>
      </c>
      <c r="AL109" s="5" t="str">
        <f>VLOOKUP(mambo!$H109,Sheet1!B:C,2,FALSE)</f>
        <v>#N/A</v>
      </c>
    </row>
    <row r="110" ht="15.75" hidden="1" customHeight="1">
      <c r="A110" s="5" t="s">
        <v>2588</v>
      </c>
      <c r="B110" s="5" t="s">
        <v>2589</v>
      </c>
      <c r="C110" s="5" t="s">
        <v>1961</v>
      </c>
      <c r="D110" s="5" t="s">
        <v>24</v>
      </c>
      <c r="E110" s="5" t="s">
        <v>1848</v>
      </c>
      <c r="F110" s="5" t="s">
        <v>1849</v>
      </c>
      <c r="G110" s="5" t="s">
        <v>24</v>
      </c>
      <c r="H110" s="5" t="s">
        <v>2590</v>
      </c>
      <c r="I110" s="5" t="s">
        <v>24</v>
      </c>
      <c r="J110" s="5" t="s">
        <v>24</v>
      </c>
      <c r="K110" s="5" t="s">
        <v>24</v>
      </c>
      <c r="L110" s="5" t="s">
        <v>24</v>
      </c>
      <c r="M110" s="5" t="s">
        <v>1885</v>
      </c>
      <c r="N110" s="5" t="s">
        <v>24</v>
      </c>
      <c r="O110" s="5" t="s">
        <v>1917</v>
      </c>
      <c r="P110" s="5" t="s">
        <v>24</v>
      </c>
      <c r="Q110" s="5" t="s">
        <v>24</v>
      </c>
      <c r="R110" s="5" t="s">
        <v>24</v>
      </c>
      <c r="S110" s="5" t="s">
        <v>1852</v>
      </c>
      <c r="T110" s="5" t="s">
        <v>2458</v>
      </c>
      <c r="U110" s="5" t="s">
        <v>2458</v>
      </c>
      <c r="V110" s="5" t="s">
        <v>1854</v>
      </c>
      <c r="W110" s="5" t="s">
        <v>24</v>
      </c>
      <c r="X110" s="5" t="s">
        <v>24</v>
      </c>
      <c r="Y110" s="5" t="s">
        <v>2591</v>
      </c>
      <c r="Z110" s="5" t="s">
        <v>2592</v>
      </c>
      <c r="AA110" s="5" t="s">
        <v>2592</v>
      </c>
      <c r="AB110" s="5" t="s">
        <v>2592</v>
      </c>
      <c r="AC110" s="5" t="s">
        <v>24</v>
      </c>
      <c r="AD110" s="5" t="s">
        <v>24</v>
      </c>
      <c r="AE110" s="5" t="s">
        <v>24</v>
      </c>
      <c r="AF110" s="5" t="s">
        <v>24</v>
      </c>
      <c r="AG110" s="5" t="s">
        <v>24</v>
      </c>
      <c r="AH110" s="5" t="s">
        <v>24</v>
      </c>
      <c r="AI110" s="5" t="s">
        <v>24</v>
      </c>
      <c r="AJ110" s="5" t="s">
        <v>24</v>
      </c>
      <c r="AK110" s="5" t="s">
        <v>24</v>
      </c>
      <c r="AL110" s="5" t="str">
        <f>VLOOKUP(mambo!$H110,Sheet1!B:C,2,FALSE)</f>
        <v>#N/A</v>
      </c>
    </row>
    <row r="111" ht="15.75" hidden="1" customHeight="1">
      <c r="A111" s="5" t="s">
        <v>2593</v>
      </c>
      <c r="B111" s="5" t="s">
        <v>2594</v>
      </c>
      <c r="C111" s="5" t="s">
        <v>117</v>
      </c>
      <c r="D111" s="5" t="s">
        <v>24</v>
      </c>
      <c r="E111" s="5" t="s">
        <v>1848</v>
      </c>
      <c r="F111" s="5" t="s">
        <v>1849</v>
      </c>
      <c r="G111" s="5" t="s">
        <v>24</v>
      </c>
      <c r="H111" s="5" t="s">
        <v>2595</v>
      </c>
      <c r="I111" s="5" t="s">
        <v>24</v>
      </c>
      <c r="J111" s="5" t="s">
        <v>24</v>
      </c>
      <c r="K111" s="5" t="s">
        <v>24</v>
      </c>
      <c r="L111" s="5" t="s">
        <v>24</v>
      </c>
      <c r="M111" s="5" t="s">
        <v>24</v>
      </c>
      <c r="N111" s="5" t="s">
        <v>24</v>
      </c>
      <c r="O111" s="5" t="s">
        <v>1851</v>
      </c>
      <c r="P111" s="5" t="s">
        <v>24</v>
      </c>
      <c r="Q111" s="5" t="s">
        <v>24</v>
      </c>
      <c r="R111" s="5" t="s">
        <v>24</v>
      </c>
      <c r="S111" s="5" t="s">
        <v>1852</v>
      </c>
      <c r="T111" s="5" t="s">
        <v>2596</v>
      </c>
      <c r="U111" s="5" t="s">
        <v>2596</v>
      </c>
      <c r="V111" s="5" t="s">
        <v>1854</v>
      </c>
      <c r="W111" s="5" t="s">
        <v>24</v>
      </c>
      <c r="X111" s="5" t="s">
        <v>24</v>
      </c>
      <c r="Y111" s="5" t="s">
        <v>2597</v>
      </c>
      <c r="Z111" s="5" t="s">
        <v>2598</v>
      </c>
      <c r="AA111" s="5" t="s">
        <v>2598</v>
      </c>
      <c r="AB111" s="5" t="s">
        <v>2598</v>
      </c>
      <c r="AC111" s="5" t="s">
        <v>24</v>
      </c>
      <c r="AD111" s="5" t="s">
        <v>24</v>
      </c>
      <c r="AE111" s="5" t="s">
        <v>24</v>
      </c>
      <c r="AF111" s="5" t="s">
        <v>24</v>
      </c>
      <c r="AG111" s="5" t="s">
        <v>24</v>
      </c>
      <c r="AH111" s="5" t="s">
        <v>24</v>
      </c>
      <c r="AI111" s="5" t="s">
        <v>24</v>
      </c>
      <c r="AJ111" s="5" t="s">
        <v>24</v>
      </c>
      <c r="AK111" s="5" t="s">
        <v>24</v>
      </c>
      <c r="AL111" s="5" t="str">
        <f>VLOOKUP(mambo!$H111,Sheet1!B:C,2,FALSE)</f>
        <v>#N/A</v>
      </c>
    </row>
    <row r="112" ht="15.75" customHeight="1">
      <c r="A112" s="5" t="s">
        <v>2599</v>
      </c>
      <c r="B112" s="5" t="s">
        <v>2600</v>
      </c>
      <c r="C112" s="5" t="s">
        <v>117</v>
      </c>
      <c r="D112" s="5" t="s">
        <v>24</v>
      </c>
      <c r="E112" s="5" t="s">
        <v>1848</v>
      </c>
      <c r="F112" s="5" t="s">
        <v>1849</v>
      </c>
      <c r="G112" s="5" t="s">
        <v>24</v>
      </c>
      <c r="H112" s="5" t="s">
        <v>118</v>
      </c>
      <c r="I112" s="5" t="s">
        <v>24</v>
      </c>
      <c r="J112" s="5" t="s">
        <v>24</v>
      </c>
      <c r="K112" s="5" t="s">
        <v>24</v>
      </c>
      <c r="L112" s="5" t="s">
        <v>24</v>
      </c>
      <c r="M112" s="5" t="s">
        <v>24</v>
      </c>
      <c r="N112" s="5" t="s">
        <v>24</v>
      </c>
      <c r="O112" s="5" t="s">
        <v>1851</v>
      </c>
      <c r="P112" s="5" t="s">
        <v>24</v>
      </c>
      <c r="Q112" s="5" t="s">
        <v>24</v>
      </c>
      <c r="R112" s="5" t="s">
        <v>24</v>
      </c>
      <c r="S112" s="5" t="s">
        <v>1852</v>
      </c>
      <c r="T112" s="5" t="s">
        <v>2463</v>
      </c>
      <c r="U112" s="5" t="s">
        <v>2463</v>
      </c>
      <c r="V112" s="5" t="s">
        <v>1854</v>
      </c>
      <c r="W112" s="5" t="s">
        <v>24</v>
      </c>
      <c r="X112" s="5" t="s">
        <v>24</v>
      </c>
      <c r="Y112" s="5" t="s">
        <v>2601</v>
      </c>
      <c r="Z112" s="5" t="s">
        <v>2602</v>
      </c>
      <c r="AA112" s="5" t="s">
        <v>2602</v>
      </c>
      <c r="AB112" s="5" t="s">
        <v>2602</v>
      </c>
      <c r="AC112" s="5" t="s">
        <v>2603</v>
      </c>
      <c r="AD112" s="5" t="s">
        <v>2604</v>
      </c>
      <c r="AE112" s="5" t="s">
        <v>24</v>
      </c>
      <c r="AF112" s="5" t="s">
        <v>24</v>
      </c>
      <c r="AG112" s="5" t="s">
        <v>24</v>
      </c>
      <c r="AH112" s="5" t="s">
        <v>24</v>
      </c>
      <c r="AI112" s="5" t="s">
        <v>24</v>
      </c>
      <c r="AJ112" s="5" t="s">
        <v>24</v>
      </c>
      <c r="AK112" s="5" t="s">
        <v>24</v>
      </c>
      <c r="AL112" s="5" t="str">
        <f>VLOOKUP(mambo!$H112,Sheet1!B:C,2,FALSE)</f>
        <v>5682805</v>
      </c>
    </row>
    <row r="113" ht="15.75" hidden="1" customHeight="1">
      <c r="A113" s="5" t="s">
        <v>2605</v>
      </c>
      <c r="B113" s="5" t="s">
        <v>2606</v>
      </c>
      <c r="C113" s="5" t="s">
        <v>227</v>
      </c>
      <c r="D113" s="5" t="s">
        <v>24</v>
      </c>
      <c r="E113" s="5" t="s">
        <v>1848</v>
      </c>
      <c r="F113" s="5" t="s">
        <v>1849</v>
      </c>
      <c r="G113" s="5" t="s">
        <v>24</v>
      </c>
      <c r="H113" s="5" t="s">
        <v>2607</v>
      </c>
      <c r="I113" s="5" t="s">
        <v>24</v>
      </c>
      <c r="J113" s="5" t="s">
        <v>24</v>
      </c>
      <c r="K113" s="5" t="s">
        <v>24</v>
      </c>
      <c r="L113" s="5" t="s">
        <v>24</v>
      </c>
      <c r="M113" s="5" t="s">
        <v>1885</v>
      </c>
      <c r="N113" s="5" t="s">
        <v>24</v>
      </c>
      <c r="O113" s="5" t="s">
        <v>1986</v>
      </c>
      <c r="P113" s="5" t="s">
        <v>24</v>
      </c>
      <c r="Q113" s="5" t="s">
        <v>24</v>
      </c>
      <c r="R113" s="5" t="s">
        <v>24</v>
      </c>
      <c r="S113" s="5" t="s">
        <v>1852</v>
      </c>
      <c r="T113" s="5" t="s">
        <v>1970</v>
      </c>
      <c r="U113" s="5" t="s">
        <v>1970</v>
      </c>
      <c r="V113" s="5" t="s">
        <v>1854</v>
      </c>
      <c r="W113" s="5" t="s">
        <v>24</v>
      </c>
      <c r="X113" s="5" t="s">
        <v>24</v>
      </c>
      <c r="Y113" s="5" t="s">
        <v>2608</v>
      </c>
      <c r="Z113" s="5" t="s">
        <v>2609</v>
      </c>
      <c r="AA113" s="5" t="s">
        <v>2609</v>
      </c>
      <c r="AB113" s="5" t="s">
        <v>2609</v>
      </c>
      <c r="AC113" s="5" t="s">
        <v>2610</v>
      </c>
      <c r="AD113" s="5" t="s">
        <v>2611</v>
      </c>
      <c r="AE113" s="5" t="s">
        <v>2612</v>
      </c>
      <c r="AF113" s="5" t="s">
        <v>24</v>
      </c>
      <c r="AG113" s="5" t="s">
        <v>24</v>
      </c>
      <c r="AH113" s="5" t="s">
        <v>24</v>
      </c>
      <c r="AI113" s="5" t="s">
        <v>24</v>
      </c>
      <c r="AJ113" s="5" t="s">
        <v>24</v>
      </c>
      <c r="AK113" s="5" t="s">
        <v>24</v>
      </c>
      <c r="AL113" s="5" t="str">
        <f>VLOOKUP(mambo!$H113,Sheet1!B:C,2,FALSE)</f>
        <v>#N/A</v>
      </c>
    </row>
    <row r="114" ht="15.75" hidden="1" customHeight="1">
      <c r="A114" s="5" t="s">
        <v>2613</v>
      </c>
      <c r="B114" s="5" t="s">
        <v>2614</v>
      </c>
      <c r="C114" s="5" t="s">
        <v>503</v>
      </c>
      <c r="D114" s="5" t="s">
        <v>24</v>
      </c>
      <c r="E114" s="5" t="s">
        <v>1848</v>
      </c>
      <c r="F114" s="5" t="s">
        <v>1849</v>
      </c>
      <c r="G114" s="5" t="s">
        <v>24</v>
      </c>
      <c r="H114" s="5" t="s">
        <v>2615</v>
      </c>
      <c r="I114" s="5" t="s">
        <v>24</v>
      </c>
      <c r="J114" s="5" t="s">
        <v>24</v>
      </c>
      <c r="K114" s="5" t="s">
        <v>24</v>
      </c>
      <c r="L114" s="5" t="s">
        <v>24</v>
      </c>
      <c r="M114" s="5" t="s">
        <v>24</v>
      </c>
      <c r="N114" s="5" t="s">
        <v>24</v>
      </c>
      <c r="O114" s="5" t="s">
        <v>1933</v>
      </c>
      <c r="P114" s="5" t="s">
        <v>24</v>
      </c>
      <c r="Q114" s="5" t="s">
        <v>24</v>
      </c>
      <c r="R114" s="5" t="s">
        <v>24</v>
      </c>
      <c r="S114" s="5" t="s">
        <v>2020</v>
      </c>
      <c r="T114" s="5" t="s">
        <v>2021</v>
      </c>
      <c r="U114" s="5" t="s">
        <v>2021</v>
      </c>
      <c r="V114" s="5" t="s">
        <v>24</v>
      </c>
      <c r="W114" s="5" t="s">
        <v>24</v>
      </c>
      <c r="X114" s="5" t="s">
        <v>24</v>
      </c>
      <c r="Y114" s="5" t="s">
        <v>2616</v>
      </c>
      <c r="Z114" s="5" t="s">
        <v>2617</v>
      </c>
      <c r="AA114" s="5" t="s">
        <v>2617</v>
      </c>
      <c r="AB114" s="5" t="s">
        <v>2617</v>
      </c>
      <c r="AC114" s="5" t="s">
        <v>2618</v>
      </c>
      <c r="AD114" s="5" t="s">
        <v>2619</v>
      </c>
      <c r="AE114" s="5" t="s">
        <v>2620</v>
      </c>
      <c r="AF114" s="5" t="s">
        <v>2621</v>
      </c>
      <c r="AG114" s="5" t="s">
        <v>24</v>
      </c>
      <c r="AH114" s="5" t="s">
        <v>24</v>
      </c>
      <c r="AI114" s="5" t="s">
        <v>24</v>
      </c>
      <c r="AJ114" s="5" t="s">
        <v>24</v>
      </c>
      <c r="AK114" s="5" t="s">
        <v>24</v>
      </c>
      <c r="AL114" s="5" t="str">
        <f>VLOOKUP(mambo!$H114,Sheet1!B:C,2,FALSE)</f>
        <v>#N/A</v>
      </c>
    </row>
    <row r="115" ht="15.75" hidden="1" customHeight="1">
      <c r="A115" s="5" t="s">
        <v>2622</v>
      </c>
      <c r="B115" s="5" t="s">
        <v>2623</v>
      </c>
      <c r="C115" s="5" t="s">
        <v>2624</v>
      </c>
      <c r="D115" s="5" t="s">
        <v>24</v>
      </c>
      <c r="E115" s="5" t="s">
        <v>1848</v>
      </c>
      <c r="F115" s="5" t="s">
        <v>1849</v>
      </c>
      <c r="G115" s="5" t="s">
        <v>24</v>
      </c>
      <c r="H115" s="5" t="s">
        <v>2625</v>
      </c>
      <c r="I115" s="5" t="s">
        <v>24</v>
      </c>
      <c r="J115" s="5" t="s">
        <v>24</v>
      </c>
      <c r="K115" s="5" t="s">
        <v>24</v>
      </c>
      <c r="L115" s="5" t="s">
        <v>24</v>
      </c>
      <c r="M115" s="5" t="s">
        <v>24</v>
      </c>
      <c r="N115" s="5" t="s">
        <v>24</v>
      </c>
      <c r="O115" s="5" t="s">
        <v>2626</v>
      </c>
      <c r="P115" s="5" t="s">
        <v>24</v>
      </c>
      <c r="Q115" s="5" t="s">
        <v>24</v>
      </c>
      <c r="R115" s="5" t="s">
        <v>24</v>
      </c>
      <c r="S115" s="5" t="s">
        <v>1852</v>
      </c>
      <c r="T115" s="5" t="s">
        <v>2627</v>
      </c>
      <c r="U115" s="5" t="s">
        <v>2627</v>
      </c>
      <c r="V115" s="5" t="s">
        <v>1854</v>
      </c>
      <c r="W115" s="5" t="s">
        <v>24</v>
      </c>
      <c r="X115" s="5" t="s">
        <v>24</v>
      </c>
      <c r="Y115" s="5" t="s">
        <v>2628</v>
      </c>
      <c r="Z115" s="5" t="s">
        <v>2629</v>
      </c>
      <c r="AA115" s="5" t="s">
        <v>2629</v>
      </c>
      <c r="AB115" s="5" t="s">
        <v>2629</v>
      </c>
      <c r="AC115" s="5" t="s">
        <v>2630</v>
      </c>
      <c r="AD115" s="5" t="s">
        <v>2631</v>
      </c>
      <c r="AE115" s="5" t="s">
        <v>2632</v>
      </c>
      <c r="AF115" s="5" t="s">
        <v>24</v>
      </c>
      <c r="AG115" s="5" t="s">
        <v>24</v>
      </c>
      <c r="AH115" s="5" t="s">
        <v>24</v>
      </c>
      <c r="AI115" s="5" t="s">
        <v>24</v>
      </c>
      <c r="AJ115" s="5" t="s">
        <v>24</v>
      </c>
      <c r="AK115" s="5" t="s">
        <v>24</v>
      </c>
      <c r="AL115" s="5" t="str">
        <f>VLOOKUP(mambo!$H115,Sheet1!B:C,2,FALSE)</f>
        <v>#N/A</v>
      </c>
    </row>
    <row r="116" ht="15.75" customHeight="1">
      <c r="A116" s="5" t="s">
        <v>2633</v>
      </c>
      <c r="B116" s="5" t="s">
        <v>2634</v>
      </c>
      <c r="C116" s="5" t="s">
        <v>2635</v>
      </c>
      <c r="D116" s="5" t="s">
        <v>24</v>
      </c>
      <c r="E116" s="5" t="s">
        <v>1848</v>
      </c>
      <c r="F116" s="5" t="s">
        <v>1849</v>
      </c>
      <c r="G116" s="5" t="s">
        <v>24</v>
      </c>
      <c r="H116" s="5" t="s">
        <v>56</v>
      </c>
      <c r="I116" s="5" t="s">
        <v>24</v>
      </c>
      <c r="J116" s="5" t="s">
        <v>24</v>
      </c>
      <c r="K116" s="5" t="s">
        <v>24</v>
      </c>
      <c r="L116" s="5" t="s">
        <v>24</v>
      </c>
      <c r="M116" s="5" t="s">
        <v>24</v>
      </c>
      <c r="N116" s="5" t="s">
        <v>24</v>
      </c>
      <c r="O116" s="5" t="s">
        <v>1894</v>
      </c>
      <c r="P116" s="5" t="s">
        <v>24</v>
      </c>
      <c r="Q116" s="5" t="s">
        <v>24</v>
      </c>
      <c r="R116" s="5" t="s">
        <v>24</v>
      </c>
      <c r="S116" s="5" t="s">
        <v>1852</v>
      </c>
      <c r="T116" s="5" t="s">
        <v>2636</v>
      </c>
      <c r="U116" s="5" t="s">
        <v>2636</v>
      </c>
      <c r="V116" s="5" t="s">
        <v>1854</v>
      </c>
      <c r="W116" s="5" t="s">
        <v>24</v>
      </c>
      <c r="X116" s="5" t="s">
        <v>24</v>
      </c>
      <c r="Y116" s="5" t="s">
        <v>2637</v>
      </c>
      <c r="Z116" s="5" t="s">
        <v>2638</v>
      </c>
      <c r="AA116" s="5" t="s">
        <v>2638</v>
      </c>
      <c r="AB116" s="5" t="s">
        <v>2638</v>
      </c>
      <c r="AC116" s="5" t="s">
        <v>2639</v>
      </c>
      <c r="AD116" s="5" t="s">
        <v>24</v>
      </c>
      <c r="AE116" s="5" t="s">
        <v>24</v>
      </c>
      <c r="AF116" s="5" t="s">
        <v>24</v>
      </c>
      <c r="AG116" s="5" t="s">
        <v>24</v>
      </c>
      <c r="AH116" s="5" t="s">
        <v>24</v>
      </c>
      <c r="AI116" s="5" t="s">
        <v>24</v>
      </c>
      <c r="AJ116" s="5" t="s">
        <v>24</v>
      </c>
      <c r="AK116" s="5" t="s">
        <v>24</v>
      </c>
      <c r="AL116" s="5" t="str">
        <f>VLOOKUP(mambo!$H116,Sheet1!B:C,2,FALSE)</f>
        <v>0250672</v>
      </c>
    </row>
    <row r="117" ht="15.75" hidden="1" customHeight="1">
      <c r="A117" s="5" t="s">
        <v>2640</v>
      </c>
      <c r="B117" s="5" t="s">
        <v>2641</v>
      </c>
      <c r="C117" s="5" t="s">
        <v>2642</v>
      </c>
      <c r="D117" s="5" t="s">
        <v>24</v>
      </c>
      <c r="E117" s="5" t="s">
        <v>1848</v>
      </c>
      <c r="F117" s="5" t="s">
        <v>1849</v>
      </c>
      <c r="G117" s="5" t="s">
        <v>24</v>
      </c>
      <c r="H117" s="5" t="s">
        <v>2643</v>
      </c>
      <c r="I117" s="5" t="s">
        <v>24</v>
      </c>
      <c r="J117" s="5" t="s">
        <v>24</v>
      </c>
      <c r="K117" s="5" t="s">
        <v>24</v>
      </c>
      <c r="L117" s="5" t="s">
        <v>24</v>
      </c>
      <c r="M117" s="5" t="s">
        <v>24</v>
      </c>
      <c r="N117" s="5" t="s">
        <v>24</v>
      </c>
      <c r="O117" s="5" t="s">
        <v>1894</v>
      </c>
      <c r="P117" s="5" t="s">
        <v>24</v>
      </c>
      <c r="Q117" s="5" t="s">
        <v>24</v>
      </c>
      <c r="R117" s="5" t="s">
        <v>24</v>
      </c>
      <c r="S117" s="5" t="s">
        <v>1852</v>
      </c>
      <c r="T117" s="5" t="s">
        <v>1872</v>
      </c>
      <c r="U117" s="5" t="s">
        <v>1872</v>
      </c>
      <c r="V117" s="5" t="s">
        <v>1854</v>
      </c>
      <c r="W117" s="5" t="s">
        <v>24</v>
      </c>
      <c r="X117" s="5" t="s">
        <v>24</v>
      </c>
      <c r="Y117" s="5" t="s">
        <v>2644</v>
      </c>
      <c r="Z117" s="5" t="s">
        <v>2645</v>
      </c>
      <c r="AA117" s="5" t="s">
        <v>2645</v>
      </c>
      <c r="AB117" s="5" t="s">
        <v>2645</v>
      </c>
      <c r="AC117" s="5" t="s">
        <v>2646</v>
      </c>
      <c r="AD117" s="5" t="s">
        <v>2647</v>
      </c>
      <c r="AE117" s="5" t="s">
        <v>2648</v>
      </c>
      <c r="AF117" s="5" t="s">
        <v>2649</v>
      </c>
      <c r="AG117" s="5" t="s">
        <v>24</v>
      </c>
      <c r="AH117" s="5" t="s">
        <v>24</v>
      </c>
      <c r="AI117" s="5" t="s">
        <v>24</v>
      </c>
      <c r="AJ117" s="5" t="s">
        <v>24</v>
      </c>
      <c r="AK117" s="5" t="s">
        <v>24</v>
      </c>
      <c r="AL117" s="5" t="str">
        <f>VLOOKUP(mambo!$H117,Sheet1!B:C,2,FALSE)</f>
        <v>#N/A</v>
      </c>
    </row>
    <row r="118" ht="15.75" customHeight="1">
      <c r="A118" s="5" t="s">
        <v>2650</v>
      </c>
      <c r="B118" s="5" t="s">
        <v>544</v>
      </c>
      <c r="C118" s="5" t="s">
        <v>227</v>
      </c>
      <c r="D118" s="5" t="s">
        <v>24</v>
      </c>
      <c r="E118" s="5" t="s">
        <v>1848</v>
      </c>
      <c r="F118" s="5" t="s">
        <v>1849</v>
      </c>
      <c r="G118" s="5" t="s">
        <v>24</v>
      </c>
      <c r="H118" s="5" t="s">
        <v>545</v>
      </c>
      <c r="I118" s="5" t="s">
        <v>24</v>
      </c>
      <c r="J118" s="5" t="s">
        <v>24</v>
      </c>
      <c r="K118" s="5" t="s">
        <v>24</v>
      </c>
      <c r="L118" s="5" t="s">
        <v>24</v>
      </c>
      <c r="M118" s="5" t="s">
        <v>24</v>
      </c>
      <c r="N118" s="5" t="s">
        <v>24</v>
      </c>
      <c r="O118" s="5" t="s">
        <v>1894</v>
      </c>
      <c r="P118" s="5" t="s">
        <v>24</v>
      </c>
      <c r="Q118" s="5" t="s">
        <v>24</v>
      </c>
      <c r="R118" s="5" t="s">
        <v>24</v>
      </c>
      <c r="S118" s="5" t="s">
        <v>1852</v>
      </c>
      <c r="T118" s="5" t="s">
        <v>1872</v>
      </c>
      <c r="U118" s="5" t="s">
        <v>1872</v>
      </c>
      <c r="V118" s="5" t="s">
        <v>1854</v>
      </c>
      <c r="W118" s="5" t="s">
        <v>24</v>
      </c>
      <c r="X118" s="5" t="s">
        <v>24</v>
      </c>
      <c r="Y118" s="5" t="s">
        <v>2651</v>
      </c>
      <c r="Z118" s="5" t="s">
        <v>2652</v>
      </c>
      <c r="AA118" s="5" t="s">
        <v>2652</v>
      </c>
      <c r="AB118" s="5" t="s">
        <v>2652</v>
      </c>
      <c r="AC118" s="5" t="s">
        <v>2653</v>
      </c>
      <c r="AD118" s="5" t="s">
        <v>2654</v>
      </c>
      <c r="AE118" s="5" t="s">
        <v>2655</v>
      </c>
      <c r="AF118" s="5" t="s">
        <v>2656</v>
      </c>
      <c r="AG118" s="5" t="s">
        <v>24</v>
      </c>
      <c r="AH118" s="5" t="s">
        <v>24</v>
      </c>
      <c r="AI118" s="5" t="s">
        <v>24</v>
      </c>
      <c r="AJ118" s="5" t="s">
        <v>24</v>
      </c>
      <c r="AK118" s="5" t="s">
        <v>24</v>
      </c>
      <c r="AL118" s="5" t="str">
        <f>VLOOKUP(mambo!$H118,Sheet1!B:C,2,FALSE)</f>
        <v>1190088</v>
      </c>
    </row>
    <row r="119" ht="15.75" customHeight="1">
      <c r="A119" s="5" t="s">
        <v>2657</v>
      </c>
      <c r="B119" s="5" t="s">
        <v>2658</v>
      </c>
      <c r="C119" s="5" t="s">
        <v>503</v>
      </c>
      <c r="D119" s="5" t="s">
        <v>24</v>
      </c>
      <c r="E119" s="5" t="s">
        <v>1848</v>
      </c>
      <c r="F119" s="5" t="s">
        <v>1849</v>
      </c>
      <c r="G119" s="5" t="s">
        <v>24</v>
      </c>
      <c r="H119" s="5" t="s">
        <v>51</v>
      </c>
      <c r="I119" s="5" t="s">
        <v>24</v>
      </c>
      <c r="J119" s="5" t="s">
        <v>24</v>
      </c>
      <c r="K119" s="5" t="s">
        <v>24</v>
      </c>
      <c r="L119" s="5" t="s">
        <v>24</v>
      </c>
      <c r="M119" s="5" t="s">
        <v>24</v>
      </c>
      <c r="N119" s="5" t="s">
        <v>24</v>
      </c>
      <c r="O119" s="5" t="s">
        <v>1894</v>
      </c>
      <c r="P119" s="5" t="s">
        <v>24</v>
      </c>
      <c r="Q119" s="5" t="s">
        <v>24</v>
      </c>
      <c r="R119" s="5" t="s">
        <v>24</v>
      </c>
      <c r="S119" s="5" t="s">
        <v>1852</v>
      </c>
      <c r="T119" s="5" t="s">
        <v>2636</v>
      </c>
      <c r="U119" s="5" t="s">
        <v>2636</v>
      </c>
      <c r="V119" s="5" t="s">
        <v>1854</v>
      </c>
      <c r="W119" s="5" t="s">
        <v>24</v>
      </c>
      <c r="X119" s="5" t="s">
        <v>24</v>
      </c>
      <c r="Y119" s="5" t="s">
        <v>2659</v>
      </c>
      <c r="Z119" s="5" t="s">
        <v>2660</v>
      </c>
      <c r="AA119" s="5" t="s">
        <v>2660</v>
      </c>
      <c r="AB119" s="5" t="s">
        <v>2660</v>
      </c>
      <c r="AC119" s="5" t="s">
        <v>2661</v>
      </c>
      <c r="AD119" s="5" t="s">
        <v>24</v>
      </c>
      <c r="AE119" s="5" t="s">
        <v>24</v>
      </c>
      <c r="AF119" s="5" t="s">
        <v>24</v>
      </c>
      <c r="AG119" s="5" t="s">
        <v>24</v>
      </c>
      <c r="AH119" s="5" t="s">
        <v>24</v>
      </c>
      <c r="AI119" s="5" t="s">
        <v>24</v>
      </c>
      <c r="AJ119" s="5" t="s">
        <v>24</v>
      </c>
      <c r="AK119" s="5" t="s">
        <v>24</v>
      </c>
      <c r="AL119" s="5" t="str">
        <f>VLOOKUP(mambo!$H119,Sheet1!B:C,2,FALSE)</f>
        <v>0798341</v>
      </c>
    </row>
    <row r="120" ht="15.75" hidden="1" customHeight="1">
      <c r="A120" s="5" t="s">
        <v>2662</v>
      </c>
      <c r="B120" s="5" t="s">
        <v>2663</v>
      </c>
      <c r="C120" s="5" t="s">
        <v>2624</v>
      </c>
      <c r="D120" s="5" t="s">
        <v>24</v>
      </c>
      <c r="E120" s="5" t="s">
        <v>1848</v>
      </c>
      <c r="F120" s="5" t="s">
        <v>1849</v>
      </c>
      <c r="G120" s="5" t="s">
        <v>24</v>
      </c>
      <c r="H120" s="5" t="s">
        <v>2664</v>
      </c>
      <c r="I120" s="5" t="s">
        <v>24</v>
      </c>
      <c r="J120" s="5" t="s">
        <v>24</v>
      </c>
      <c r="K120" s="5" t="s">
        <v>24</v>
      </c>
      <c r="L120" s="5" t="s">
        <v>24</v>
      </c>
      <c r="M120" s="5" t="s">
        <v>24</v>
      </c>
      <c r="N120" s="5" t="s">
        <v>24</v>
      </c>
      <c r="O120" s="5" t="s">
        <v>2626</v>
      </c>
      <c r="P120" s="5" t="s">
        <v>24</v>
      </c>
      <c r="Q120" s="5" t="s">
        <v>24</v>
      </c>
      <c r="R120" s="5" t="s">
        <v>24</v>
      </c>
      <c r="S120" s="5" t="s">
        <v>1852</v>
      </c>
      <c r="T120" s="5" t="s">
        <v>2627</v>
      </c>
      <c r="U120" s="5" t="s">
        <v>2627</v>
      </c>
      <c r="V120" s="5" t="s">
        <v>1854</v>
      </c>
      <c r="W120" s="5" t="s">
        <v>24</v>
      </c>
      <c r="X120" s="5" t="s">
        <v>24</v>
      </c>
      <c r="Y120" s="5" t="s">
        <v>2665</v>
      </c>
      <c r="Z120" s="5" t="s">
        <v>2666</v>
      </c>
      <c r="AA120" s="5" t="s">
        <v>2666</v>
      </c>
      <c r="AB120" s="5" t="s">
        <v>2666</v>
      </c>
      <c r="AC120" s="5" t="s">
        <v>2667</v>
      </c>
      <c r="AD120" s="5" t="s">
        <v>2668</v>
      </c>
      <c r="AE120" s="5" t="s">
        <v>2669</v>
      </c>
      <c r="AF120" s="5" t="s">
        <v>2670</v>
      </c>
      <c r="AG120" s="5" t="s">
        <v>24</v>
      </c>
      <c r="AH120" s="5" t="s">
        <v>24</v>
      </c>
      <c r="AI120" s="5" t="s">
        <v>24</v>
      </c>
      <c r="AJ120" s="5" t="s">
        <v>24</v>
      </c>
      <c r="AK120" s="5" t="s">
        <v>24</v>
      </c>
      <c r="AL120" s="5" t="str">
        <f>VLOOKUP(mambo!$H120,Sheet1!B:C,2,FALSE)</f>
        <v>#N/A</v>
      </c>
    </row>
    <row r="121" ht="15.75" customHeight="1">
      <c r="A121" s="5" t="s">
        <v>2671</v>
      </c>
      <c r="B121" s="5" t="s">
        <v>2672</v>
      </c>
      <c r="C121" s="5" t="s">
        <v>2635</v>
      </c>
      <c r="D121" s="5" t="s">
        <v>24</v>
      </c>
      <c r="E121" s="5" t="s">
        <v>1848</v>
      </c>
      <c r="F121" s="5" t="s">
        <v>1849</v>
      </c>
      <c r="G121" s="5" t="s">
        <v>24</v>
      </c>
      <c r="H121" s="5" t="s">
        <v>101</v>
      </c>
      <c r="I121" s="5" t="s">
        <v>24</v>
      </c>
      <c r="J121" s="5" t="s">
        <v>24</v>
      </c>
      <c r="K121" s="5" t="s">
        <v>24</v>
      </c>
      <c r="L121" s="5" t="s">
        <v>24</v>
      </c>
      <c r="M121" s="5" t="s">
        <v>24</v>
      </c>
      <c r="N121" s="5" t="s">
        <v>24</v>
      </c>
      <c r="O121" s="5" t="s">
        <v>1894</v>
      </c>
      <c r="P121" s="5" t="s">
        <v>24</v>
      </c>
      <c r="Q121" s="5" t="s">
        <v>24</v>
      </c>
      <c r="R121" s="5" t="s">
        <v>24</v>
      </c>
      <c r="S121" s="5" t="s">
        <v>1852</v>
      </c>
      <c r="T121" s="5" t="s">
        <v>2636</v>
      </c>
      <c r="U121" s="5" t="s">
        <v>2636</v>
      </c>
      <c r="V121" s="5" t="s">
        <v>1854</v>
      </c>
      <c r="W121" s="5" t="s">
        <v>24</v>
      </c>
      <c r="X121" s="5" t="s">
        <v>24</v>
      </c>
      <c r="Y121" s="5" t="s">
        <v>2673</v>
      </c>
      <c r="Z121" s="5" t="s">
        <v>2674</v>
      </c>
      <c r="AA121" s="5" t="s">
        <v>2674</v>
      </c>
      <c r="AB121" s="5" t="s">
        <v>2674</v>
      </c>
      <c r="AC121" s="5" t="s">
        <v>2675</v>
      </c>
      <c r="AD121" s="5" t="s">
        <v>2676</v>
      </c>
      <c r="AE121" s="5" t="s">
        <v>2677</v>
      </c>
      <c r="AF121" s="5" t="s">
        <v>24</v>
      </c>
      <c r="AG121" s="5" t="s">
        <v>24</v>
      </c>
      <c r="AH121" s="5" t="s">
        <v>24</v>
      </c>
      <c r="AI121" s="5" t="s">
        <v>24</v>
      </c>
      <c r="AJ121" s="5" t="s">
        <v>24</v>
      </c>
      <c r="AK121" s="5" t="s">
        <v>24</v>
      </c>
      <c r="AL121" s="5" t="str">
        <f>VLOOKUP(mambo!$H121,Sheet1!B:C,2,FALSE)</f>
        <v>3347201</v>
      </c>
    </row>
    <row r="122" ht="15.75" customHeight="1">
      <c r="A122" s="5" t="s">
        <v>2678</v>
      </c>
      <c r="B122" s="5" t="s">
        <v>2679</v>
      </c>
      <c r="C122" s="5" t="s">
        <v>2680</v>
      </c>
      <c r="D122" s="5" t="s">
        <v>24</v>
      </c>
      <c r="E122" s="5" t="s">
        <v>1848</v>
      </c>
      <c r="F122" s="5" t="s">
        <v>1849</v>
      </c>
      <c r="G122" s="5" t="s">
        <v>24</v>
      </c>
      <c r="H122" s="5" t="s">
        <v>1413</v>
      </c>
      <c r="I122" s="5" t="s">
        <v>24</v>
      </c>
      <c r="J122" s="5" t="s">
        <v>24</v>
      </c>
      <c r="K122" s="5" t="s">
        <v>24</v>
      </c>
      <c r="L122" s="5" t="s">
        <v>24</v>
      </c>
      <c r="M122" s="5" t="s">
        <v>24</v>
      </c>
      <c r="N122" s="5" t="s">
        <v>24</v>
      </c>
      <c r="O122" s="5" t="s">
        <v>1851</v>
      </c>
      <c r="P122" s="5" t="s">
        <v>24</v>
      </c>
      <c r="Q122" s="5" t="s">
        <v>24</v>
      </c>
      <c r="R122" s="5" t="s">
        <v>24</v>
      </c>
      <c r="S122" s="5" t="s">
        <v>1852</v>
      </c>
      <c r="T122" s="5" t="s">
        <v>2681</v>
      </c>
      <c r="U122" s="5" t="s">
        <v>2681</v>
      </c>
      <c r="V122" s="5" t="s">
        <v>1854</v>
      </c>
      <c r="W122" s="5" t="s">
        <v>24</v>
      </c>
      <c r="X122" s="5" t="s">
        <v>24</v>
      </c>
      <c r="Y122" s="5" t="s">
        <v>2682</v>
      </c>
      <c r="Z122" s="5" t="s">
        <v>2683</v>
      </c>
      <c r="AA122" s="5" t="s">
        <v>2683</v>
      </c>
      <c r="AB122" s="5" t="s">
        <v>2683</v>
      </c>
      <c r="AC122" s="5" t="s">
        <v>24</v>
      </c>
      <c r="AD122" s="5" t="s">
        <v>24</v>
      </c>
      <c r="AE122" s="5" t="s">
        <v>24</v>
      </c>
      <c r="AF122" s="5" t="s">
        <v>24</v>
      </c>
      <c r="AG122" s="5" t="s">
        <v>24</v>
      </c>
      <c r="AH122" s="5" t="s">
        <v>24</v>
      </c>
      <c r="AI122" s="5" t="s">
        <v>24</v>
      </c>
      <c r="AJ122" s="5" t="s">
        <v>24</v>
      </c>
      <c r="AK122" s="5" t="s">
        <v>24</v>
      </c>
      <c r="AL122" s="5" t="str">
        <f>VLOOKUP(mambo!$H122,Sheet1!B:C,2,FALSE)</f>
        <v>1446982</v>
      </c>
    </row>
    <row r="123" ht="15.75" customHeight="1">
      <c r="A123" s="5" t="s">
        <v>2684</v>
      </c>
      <c r="B123" s="5" t="s">
        <v>2685</v>
      </c>
      <c r="C123" s="5" t="s">
        <v>1915</v>
      </c>
      <c r="D123" s="5" t="s">
        <v>24</v>
      </c>
      <c r="E123" s="5" t="s">
        <v>1848</v>
      </c>
      <c r="F123" s="5" t="s">
        <v>1849</v>
      </c>
      <c r="G123" s="5" t="s">
        <v>24</v>
      </c>
      <c r="H123" s="5" t="s">
        <v>556</v>
      </c>
      <c r="I123" s="5" t="s">
        <v>24</v>
      </c>
      <c r="J123" s="5" t="s">
        <v>24</v>
      </c>
      <c r="K123" s="5" t="s">
        <v>24</v>
      </c>
      <c r="L123" s="5" t="s">
        <v>24</v>
      </c>
      <c r="M123" s="5" t="s">
        <v>1885</v>
      </c>
      <c r="N123" s="5" t="s">
        <v>24</v>
      </c>
      <c r="O123" s="5" t="s">
        <v>1917</v>
      </c>
      <c r="P123" s="5" t="s">
        <v>24</v>
      </c>
      <c r="Q123" s="5" t="s">
        <v>24</v>
      </c>
      <c r="R123" s="5" t="s">
        <v>24</v>
      </c>
      <c r="S123" s="5" t="s">
        <v>1852</v>
      </c>
      <c r="T123" s="5" t="s">
        <v>1918</v>
      </c>
      <c r="U123" s="5" t="s">
        <v>1918</v>
      </c>
      <c r="V123" s="5" t="s">
        <v>1854</v>
      </c>
      <c r="W123" s="5" t="s">
        <v>24</v>
      </c>
      <c r="X123" s="5" t="s">
        <v>24</v>
      </c>
      <c r="Y123" s="5" t="s">
        <v>2686</v>
      </c>
      <c r="Z123" s="5" t="s">
        <v>2687</v>
      </c>
      <c r="AA123" s="5" t="s">
        <v>2687</v>
      </c>
      <c r="AB123" s="5" t="s">
        <v>2687</v>
      </c>
      <c r="AC123" s="5" t="s">
        <v>24</v>
      </c>
      <c r="AD123" s="5" t="s">
        <v>24</v>
      </c>
      <c r="AE123" s="5" t="s">
        <v>24</v>
      </c>
      <c r="AF123" s="5" t="s">
        <v>24</v>
      </c>
      <c r="AG123" s="5" t="s">
        <v>24</v>
      </c>
      <c r="AH123" s="5" t="s">
        <v>24</v>
      </c>
      <c r="AI123" s="5" t="s">
        <v>24</v>
      </c>
      <c r="AJ123" s="5" t="s">
        <v>24</v>
      </c>
      <c r="AK123" s="5" t="s">
        <v>24</v>
      </c>
      <c r="AL123" s="5" t="str">
        <f>VLOOKUP(mambo!$H123,Sheet1!B:C,2,FALSE)</f>
        <v>1199843</v>
      </c>
    </row>
    <row r="124" ht="15.75" hidden="1" customHeight="1">
      <c r="A124" s="5" t="s">
        <v>2688</v>
      </c>
      <c r="B124" s="5" t="s">
        <v>2689</v>
      </c>
      <c r="C124" s="5" t="s">
        <v>1915</v>
      </c>
      <c r="D124" s="5" t="s">
        <v>24</v>
      </c>
      <c r="E124" s="5" t="s">
        <v>1848</v>
      </c>
      <c r="F124" s="5" t="s">
        <v>1849</v>
      </c>
      <c r="G124" s="5" t="s">
        <v>24</v>
      </c>
      <c r="H124" s="5" t="s">
        <v>2690</v>
      </c>
      <c r="I124" s="5" t="s">
        <v>24</v>
      </c>
      <c r="J124" s="5" t="s">
        <v>24</v>
      </c>
      <c r="K124" s="5" t="s">
        <v>24</v>
      </c>
      <c r="L124" s="5" t="s">
        <v>24</v>
      </c>
      <c r="M124" s="5" t="s">
        <v>24</v>
      </c>
      <c r="N124" s="5" t="s">
        <v>24</v>
      </c>
      <c r="O124" s="5" t="s">
        <v>2148</v>
      </c>
      <c r="P124" s="5" t="s">
        <v>24</v>
      </c>
      <c r="Q124" s="5" t="s">
        <v>24</v>
      </c>
      <c r="R124" s="5" t="s">
        <v>24</v>
      </c>
      <c r="S124" s="5" t="s">
        <v>2020</v>
      </c>
      <c r="T124" s="5" t="s">
        <v>2021</v>
      </c>
      <c r="U124" s="5" t="s">
        <v>2021</v>
      </c>
      <c r="V124" s="5" t="s">
        <v>24</v>
      </c>
      <c r="W124" s="5" t="s">
        <v>24</v>
      </c>
      <c r="X124" s="5" t="s">
        <v>24</v>
      </c>
      <c r="Y124" s="5" t="s">
        <v>2691</v>
      </c>
      <c r="Z124" s="5" t="s">
        <v>2692</v>
      </c>
      <c r="AA124" s="5" t="s">
        <v>2692</v>
      </c>
      <c r="AB124" s="5" t="s">
        <v>2692</v>
      </c>
      <c r="AC124" s="5" t="s">
        <v>24</v>
      </c>
      <c r="AD124" s="5" t="s">
        <v>24</v>
      </c>
      <c r="AE124" s="5" t="s">
        <v>24</v>
      </c>
      <c r="AF124" s="5" t="s">
        <v>24</v>
      </c>
      <c r="AG124" s="5" t="s">
        <v>24</v>
      </c>
      <c r="AH124" s="5" t="s">
        <v>24</v>
      </c>
      <c r="AI124" s="5" t="s">
        <v>24</v>
      </c>
      <c r="AJ124" s="5" t="s">
        <v>24</v>
      </c>
      <c r="AK124" s="5" t="s">
        <v>24</v>
      </c>
      <c r="AL124" s="5" t="str">
        <f>VLOOKUP(mambo!$H124,Sheet1!B:C,2,FALSE)</f>
        <v>#N/A</v>
      </c>
    </row>
    <row r="125" ht="15.75" customHeight="1">
      <c r="A125" s="5" t="s">
        <v>2693</v>
      </c>
      <c r="B125" s="5" t="s">
        <v>252</v>
      </c>
      <c r="C125" s="5" t="s">
        <v>106</v>
      </c>
      <c r="D125" s="5" t="s">
        <v>24</v>
      </c>
      <c r="E125" s="5" t="s">
        <v>1848</v>
      </c>
      <c r="F125" s="5" t="s">
        <v>1849</v>
      </c>
      <c r="G125" s="5" t="s">
        <v>24</v>
      </c>
      <c r="H125" s="5" t="s">
        <v>253</v>
      </c>
      <c r="I125" s="5" t="s">
        <v>24</v>
      </c>
      <c r="J125" s="5" t="s">
        <v>24</v>
      </c>
      <c r="K125" s="5" t="s">
        <v>24</v>
      </c>
      <c r="L125" s="5" t="s">
        <v>24</v>
      </c>
      <c r="M125" s="5" t="s">
        <v>24</v>
      </c>
      <c r="N125" s="5" t="s">
        <v>24</v>
      </c>
      <c r="O125" s="5" t="s">
        <v>1851</v>
      </c>
      <c r="P125" s="5" t="s">
        <v>24</v>
      </c>
      <c r="Q125" s="5" t="s">
        <v>24</v>
      </c>
      <c r="R125" s="5" t="s">
        <v>24</v>
      </c>
      <c r="S125" s="5" t="s">
        <v>1852</v>
      </c>
      <c r="T125" s="5" t="s">
        <v>2487</v>
      </c>
      <c r="U125" s="5" t="s">
        <v>2487</v>
      </c>
      <c r="V125" s="5" t="s">
        <v>1854</v>
      </c>
      <c r="W125" s="5" t="s">
        <v>24</v>
      </c>
      <c r="X125" s="5" t="s">
        <v>24</v>
      </c>
      <c r="Y125" s="5" t="s">
        <v>2694</v>
      </c>
      <c r="Z125" s="5" t="s">
        <v>2695</v>
      </c>
      <c r="AA125" s="5" t="s">
        <v>2695</v>
      </c>
      <c r="AB125" s="5" t="s">
        <v>2695</v>
      </c>
      <c r="AC125" s="5" t="s">
        <v>2696</v>
      </c>
      <c r="AD125" s="5" t="s">
        <v>2697</v>
      </c>
      <c r="AE125" s="5" t="s">
        <v>24</v>
      </c>
      <c r="AF125" s="5" t="s">
        <v>24</v>
      </c>
      <c r="AG125" s="5" t="s">
        <v>24</v>
      </c>
      <c r="AH125" s="5" t="s">
        <v>24</v>
      </c>
      <c r="AI125" s="5" t="s">
        <v>24</v>
      </c>
      <c r="AJ125" s="5" t="s">
        <v>24</v>
      </c>
      <c r="AK125" s="5" t="s">
        <v>24</v>
      </c>
      <c r="AL125" s="5" t="str">
        <f>VLOOKUP(mambo!$H125,Sheet1!B:C,2,FALSE)</f>
        <v>1247719</v>
      </c>
    </row>
    <row r="126" ht="15.75" customHeight="1">
      <c r="A126" s="5" t="s">
        <v>2698</v>
      </c>
      <c r="B126" s="5" t="s">
        <v>2699</v>
      </c>
      <c r="C126" s="5" t="s">
        <v>294</v>
      </c>
      <c r="D126" s="5" t="s">
        <v>24</v>
      </c>
      <c r="E126" s="5" t="s">
        <v>1848</v>
      </c>
      <c r="F126" s="5" t="s">
        <v>1849</v>
      </c>
      <c r="G126" s="5" t="s">
        <v>24</v>
      </c>
      <c r="H126" s="5" t="s">
        <v>535</v>
      </c>
      <c r="I126" s="5" t="s">
        <v>24</v>
      </c>
      <c r="J126" s="5" t="s">
        <v>24</v>
      </c>
      <c r="K126" s="5" t="s">
        <v>24</v>
      </c>
      <c r="L126" s="5" t="s">
        <v>24</v>
      </c>
      <c r="M126" s="5" t="s">
        <v>1885</v>
      </c>
      <c r="N126" s="5" t="s">
        <v>24</v>
      </c>
      <c r="O126" s="5" t="s">
        <v>1917</v>
      </c>
      <c r="P126" s="5" t="s">
        <v>24</v>
      </c>
      <c r="Q126" s="5" t="s">
        <v>24</v>
      </c>
      <c r="R126" s="5" t="s">
        <v>24</v>
      </c>
      <c r="S126" s="5" t="s">
        <v>1852</v>
      </c>
      <c r="T126" s="5" t="s">
        <v>2636</v>
      </c>
      <c r="U126" s="5" t="s">
        <v>2636</v>
      </c>
      <c r="V126" s="5" t="s">
        <v>1854</v>
      </c>
      <c r="W126" s="5" t="s">
        <v>24</v>
      </c>
      <c r="X126" s="5" t="s">
        <v>24</v>
      </c>
      <c r="Y126" s="5" t="s">
        <v>2700</v>
      </c>
      <c r="Z126" s="5" t="s">
        <v>2701</v>
      </c>
      <c r="AA126" s="5" t="s">
        <v>2701</v>
      </c>
      <c r="AB126" s="5" t="s">
        <v>2701</v>
      </c>
      <c r="AC126" s="5" t="s">
        <v>24</v>
      </c>
      <c r="AD126" s="5" t="s">
        <v>24</v>
      </c>
      <c r="AE126" s="5" t="s">
        <v>24</v>
      </c>
      <c r="AF126" s="5" t="s">
        <v>24</v>
      </c>
      <c r="AG126" s="5" t="s">
        <v>24</v>
      </c>
      <c r="AH126" s="5" t="s">
        <v>24</v>
      </c>
      <c r="AI126" s="5" t="s">
        <v>24</v>
      </c>
      <c r="AJ126" s="5" t="s">
        <v>24</v>
      </c>
      <c r="AK126" s="5" t="s">
        <v>24</v>
      </c>
      <c r="AL126" s="5" t="str">
        <f>VLOOKUP(mambo!$H126,Sheet1!B:C,2,FALSE)</f>
        <v>1163654</v>
      </c>
    </row>
    <row r="127" ht="15.75" customHeight="1">
      <c r="A127" s="5" t="s">
        <v>2702</v>
      </c>
      <c r="B127" s="5" t="s">
        <v>2703</v>
      </c>
      <c r="C127" s="5" t="s">
        <v>106</v>
      </c>
      <c r="D127" s="5" t="s">
        <v>24</v>
      </c>
      <c r="E127" s="5" t="s">
        <v>1848</v>
      </c>
      <c r="F127" s="5" t="s">
        <v>1849</v>
      </c>
      <c r="G127" s="5" t="s">
        <v>24</v>
      </c>
      <c r="H127" s="5" t="s">
        <v>263</v>
      </c>
      <c r="I127" s="5" t="s">
        <v>24</v>
      </c>
      <c r="J127" s="5" t="s">
        <v>24</v>
      </c>
      <c r="K127" s="5" t="s">
        <v>24</v>
      </c>
      <c r="L127" s="5" t="s">
        <v>24</v>
      </c>
      <c r="M127" s="5" t="s">
        <v>24</v>
      </c>
      <c r="N127" s="5" t="s">
        <v>24</v>
      </c>
      <c r="O127" s="5" t="s">
        <v>1851</v>
      </c>
      <c r="P127" s="5" t="s">
        <v>24</v>
      </c>
      <c r="Q127" s="5" t="s">
        <v>24</v>
      </c>
      <c r="R127" s="5" t="s">
        <v>24</v>
      </c>
      <c r="S127" s="5" t="s">
        <v>1852</v>
      </c>
      <c r="T127" s="5" t="s">
        <v>2487</v>
      </c>
      <c r="U127" s="5" t="s">
        <v>2487</v>
      </c>
      <c r="V127" s="5" t="s">
        <v>1854</v>
      </c>
      <c r="W127" s="5" t="s">
        <v>24</v>
      </c>
      <c r="X127" s="5" t="s">
        <v>24</v>
      </c>
      <c r="Y127" s="5" t="s">
        <v>2704</v>
      </c>
      <c r="Z127" s="5" t="s">
        <v>2705</v>
      </c>
      <c r="AA127" s="5" t="s">
        <v>2705</v>
      </c>
      <c r="AB127" s="5" t="s">
        <v>2705</v>
      </c>
      <c r="AC127" s="5" t="s">
        <v>2706</v>
      </c>
      <c r="AD127" s="5" t="s">
        <v>2707</v>
      </c>
      <c r="AE127" s="5" t="s">
        <v>24</v>
      </c>
      <c r="AF127" s="5" t="s">
        <v>24</v>
      </c>
      <c r="AG127" s="5" t="s">
        <v>24</v>
      </c>
      <c r="AH127" s="5" t="s">
        <v>24</v>
      </c>
      <c r="AI127" s="5" t="s">
        <v>24</v>
      </c>
      <c r="AJ127" s="5" t="s">
        <v>24</v>
      </c>
      <c r="AK127" s="5" t="s">
        <v>24</v>
      </c>
      <c r="AL127" s="5" t="str">
        <f>VLOOKUP(mambo!$H127,Sheet1!B:C,2,FALSE)</f>
        <v>1247730</v>
      </c>
    </row>
    <row r="128" ht="15.75" customHeight="1">
      <c r="A128" s="5" t="s">
        <v>2708</v>
      </c>
      <c r="B128" s="5" t="s">
        <v>2709</v>
      </c>
      <c r="C128" s="5" t="s">
        <v>145</v>
      </c>
      <c r="D128" s="5" t="s">
        <v>24</v>
      </c>
      <c r="E128" s="5" t="s">
        <v>1848</v>
      </c>
      <c r="F128" s="5" t="s">
        <v>1849</v>
      </c>
      <c r="G128" s="5" t="s">
        <v>24</v>
      </c>
      <c r="H128" s="5" t="s">
        <v>1565</v>
      </c>
      <c r="I128" s="5" t="s">
        <v>24</v>
      </c>
      <c r="J128" s="5" t="s">
        <v>24</v>
      </c>
      <c r="K128" s="5" t="s">
        <v>24</v>
      </c>
      <c r="L128" s="5" t="s">
        <v>24</v>
      </c>
      <c r="M128" s="5" t="s">
        <v>1885</v>
      </c>
      <c r="N128" s="5" t="s">
        <v>24</v>
      </c>
      <c r="O128" s="5" t="s">
        <v>1917</v>
      </c>
      <c r="P128" s="5" t="s">
        <v>24</v>
      </c>
      <c r="Q128" s="5" t="s">
        <v>24</v>
      </c>
      <c r="R128" s="5" t="s">
        <v>24</v>
      </c>
      <c r="S128" s="5" t="s">
        <v>1852</v>
      </c>
      <c r="T128" s="5" t="s">
        <v>1861</v>
      </c>
      <c r="U128" s="5" t="s">
        <v>1861</v>
      </c>
      <c r="V128" s="5" t="s">
        <v>1854</v>
      </c>
      <c r="W128" s="5" t="s">
        <v>24</v>
      </c>
      <c r="X128" s="5" t="s">
        <v>24</v>
      </c>
      <c r="Y128" s="5" t="s">
        <v>2710</v>
      </c>
      <c r="Z128" s="5" t="s">
        <v>2711</v>
      </c>
      <c r="AA128" s="5" t="s">
        <v>2711</v>
      </c>
      <c r="AB128" s="5" t="s">
        <v>2711</v>
      </c>
      <c r="AC128" s="5" t="s">
        <v>24</v>
      </c>
      <c r="AD128" s="5" t="s">
        <v>24</v>
      </c>
      <c r="AE128" s="5" t="s">
        <v>24</v>
      </c>
      <c r="AF128" s="5" t="s">
        <v>24</v>
      </c>
      <c r="AG128" s="5" t="s">
        <v>24</v>
      </c>
      <c r="AH128" s="5" t="s">
        <v>24</v>
      </c>
      <c r="AI128" s="5" t="s">
        <v>24</v>
      </c>
      <c r="AJ128" s="5" t="s">
        <v>24</v>
      </c>
      <c r="AK128" s="5" t="s">
        <v>24</v>
      </c>
      <c r="AL128" s="5" t="str">
        <f>VLOOKUP(mambo!$H128,Sheet1!B:C,2,FALSE)</f>
        <v>1144651</v>
      </c>
    </row>
    <row r="129" ht="15.75" hidden="1" customHeight="1">
      <c r="A129" s="5" t="s">
        <v>2712</v>
      </c>
      <c r="B129" s="5" t="s">
        <v>2713</v>
      </c>
      <c r="C129" s="5" t="s">
        <v>336</v>
      </c>
      <c r="D129" s="5" t="s">
        <v>24</v>
      </c>
      <c r="E129" s="5" t="s">
        <v>1848</v>
      </c>
      <c r="F129" s="5" t="s">
        <v>1849</v>
      </c>
      <c r="G129" s="5" t="s">
        <v>24</v>
      </c>
      <c r="H129" s="5" t="s">
        <v>2714</v>
      </c>
      <c r="I129" s="5" t="s">
        <v>24</v>
      </c>
      <c r="J129" s="5" t="s">
        <v>24</v>
      </c>
      <c r="K129" s="5" t="s">
        <v>24</v>
      </c>
      <c r="L129" s="5" t="s">
        <v>24</v>
      </c>
      <c r="M129" s="5" t="s">
        <v>24</v>
      </c>
      <c r="N129" s="5" t="s">
        <v>24</v>
      </c>
      <c r="O129" s="5" t="s">
        <v>2715</v>
      </c>
      <c r="P129" s="5" t="s">
        <v>24</v>
      </c>
      <c r="Q129" s="5" t="s">
        <v>24</v>
      </c>
      <c r="R129" s="5" t="s">
        <v>24</v>
      </c>
      <c r="S129" s="5" t="s">
        <v>1852</v>
      </c>
      <c r="T129" s="5" t="s">
        <v>1895</v>
      </c>
      <c r="U129" s="5" t="s">
        <v>1895</v>
      </c>
      <c r="V129" s="5" t="s">
        <v>1854</v>
      </c>
      <c r="W129" s="5" t="s">
        <v>24</v>
      </c>
      <c r="X129" s="5" t="s">
        <v>24</v>
      </c>
      <c r="Y129" s="5" t="s">
        <v>2716</v>
      </c>
      <c r="Z129" s="5" t="s">
        <v>2717</v>
      </c>
      <c r="AA129" s="5" t="s">
        <v>2717</v>
      </c>
      <c r="AB129" s="5" t="s">
        <v>2717</v>
      </c>
      <c r="AC129" s="5" t="s">
        <v>24</v>
      </c>
      <c r="AD129" s="5" t="s">
        <v>24</v>
      </c>
      <c r="AE129" s="5" t="s">
        <v>24</v>
      </c>
      <c r="AF129" s="5" t="s">
        <v>24</v>
      </c>
      <c r="AG129" s="5" t="s">
        <v>24</v>
      </c>
      <c r="AH129" s="5" t="s">
        <v>24</v>
      </c>
      <c r="AI129" s="5" t="s">
        <v>24</v>
      </c>
      <c r="AJ129" s="5" t="s">
        <v>24</v>
      </c>
      <c r="AK129" s="5" t="s">
        <v>24</v>
      </c>
      <c r="AL129" s="5" t="str">
        <f>VLOOKUP(mambo!$H129,Sheet1!B:C,2,FALSE)</f>
        <v>#N/A</v>
      </c>
    </row>
    <row r="130" ht="15.75" customHeight="1">
      <c r="A130" s="5" t="s">
        <v>2718</v>
      </c>
      <c r="B130" s="5" t="s">
        <v>2719</v>
      </c>
      <c r="C130" s="5" t="s">
        <v>145</v>
      </c>
      <c r="D130" s="5" t="s">
        <v>24</v>
      </c>
      <c r="E130" s="5" t="s">
        <v>1848</v>
      </c>
      <c r="F130" s="5" t="s">
        <v>1849</v>
      </c>
      <c r="G130" s="5" t="s">
        <v>24</v>
      </c>
      <c r="H130" s="5" t="s">
        <v>146</v>
      </c>
      <c r="I130" s="5" t="s">
        <v>24</v>
      </c>
      <c r="J130" s="5" t="s">
        <v>24</v>
      </c>
      <c r="K130" s="5" t="s">
        <v>24</v>
      </c>
      <c r="L130" s="5" t="s">
        <v>24</v>
      </c>
      <c r="M130" s="5" t="s">
        <v>24</v>
      </c>
      <c r="N130" s="5" t="s">
        <v>24</v>
      </c>
      <c r="O130" s="5" t="s">
        <v>1933</v>
      </c>
      <c r="P130" s="5" t="s">
        <v>24</v>
      </c>
      <c r="Q130" s="5" t="s">
        <v>24</v>
      </c>
      <c r="R130" s="5" t="s">
        <v>24</v>
      </c>
      <c r="S130" s="5" t="s">
        <v>1852</v>
      </c>
      <c r="T130" s="5" t="s">
        <v>1934</v>
      </c>
      <c r="U130" s="5" t="s">
        <v>1934</v>
      </c>
      <c r="V130" s="5" t="s">
        <v>1854</v>
      </c>
      <c r="W130" s="5" t="s">
        <v>24</v>
      </c>
      <c r="X130" s="5" t="s">
        <v>24</v>
      </c>
      <c r="Y130" s="5" t="s">
        <v>2720</v>
      </c>
      <c r="Z130" s="5" t="s">
        <v>2721</v>
      </c>
      <c r="AA130" s="5" t="s">
        <v>2721</v>
      </c>
      <c r="AB130" s="5" t="s">
        <v>2721</v>
      </c>
      <c r="AC130" s="5" t="s">
        <v>24</v>
      </c>
      <c r="AD130" s="5" t="s">
        <v>24</v>
      </c>
      <c r="AE130" s="5" t="s">
        <v>24</v>
      </c>
      <c r="AF130" s="5" t="s">
        <v>24</v>
      </c>
      <c r="AG130" s="5" t="s">
        <v>24</v>
      </c>
      <c r="AH130" s="5" t="s">
        <v>24</v>
      </c>
      <c r="AI130" s="5" t="s">
        <v>24</v>
      </c>
      <c r="AJ130" s="5" t="s">
        <v>24</v>
      </c>
      <c r="AK130" s="5" t="s">
        <v>24</v>
      </c>
      <c r="AL130" s="5" t="str">
        <f>VLOOKUP(mambo!$H130,Sheet1!B:C,2,FALSE)</f>
        <v>1114200</v>
      </c>
    </row>
    <row r="131" ht="15.75" customHeight="1">
      <c r="A131" s="5" t="s">
        <v>2722</v>
      </c>
      <c r="B131" s="5" t="s">
        <v>2723</v>
      </c>
      <c r="C131" s="5" t="s">
        <v>529</v>
      </c>
      <c r="D131" s="5" t="s">
        <v>24</v>
      </c>
      <c r="E131" s="5" t="s">
        <v>1848</v>
      </c>
      <c r="F131" s="5" t="s">
        <v>1849</v>
      </c>
      <c r="G131" s="5" t="s">
        <v>24</v>
      </c>
      <c r="H131" s="5" t="s">
        <v>926</v>
      </c>
      <c r="I131" s="5" t="s">
        <v>24</v>
      </c>
      <c r="J131" s="5" t="s">
        <v>24</v>
      </c>
      <c r="K131" s="5" t="s">
        <v>24</v>
      </c>
      <c r="L131" s="5" t="s">
        <v>24</v>
      </c>
      <c r="M131" s="5" t="s">
        <v>24</v>
      </c>
      <c r="N131" s="5" t="s">
        <v>24</v>
      </c>
      <c r="O131" s="5" t="s">
        <v>1851</v>
      </c>
      <c r="P131" s="5" t="s">
        <v>24</v>
      </c>
      <c r="Q131" s="5" t="s">
        <v>24</v>
      </c>
      <c r="R131" s="5" t="s">
        <v>24</v>
      </c>
      <c r="S131" s="5" t="s">
        <v>1852</v>
      </c>
      <c r="T131" s="5" t="s">
        <v>2724</v>
      </c>
      <c r="U131" s="5" t="s">
        <v>2724</v>
      </c>
      <c r="V131" s="5" t="s">
        <v>1854</v>
      </c>
      <c r="W131" s="5" t="s">
        <v>24</v>
      </c>
      <c r="X131" s="5" t="s">
        <v>24</v>
      </c>
      <c r="Y131" s="5" t="s">
        <v>2725</v>
      </c>
      <c r="Z131" s="5" t="s">
        <v>2726</v>
      </c>
      <c r="AA131" s="5" t="s">
        <v>2726</v>
      </c>
      <c r="AB131" s="5" t="s">
        <v>2726</v>
      </c>
      <c r="AC131" s="5" t="s">
        <v>24</v>
      </c>
      <c r="AD131" s="5" t="s">
        <v>24</v>
      </c>
      <c r="AE131" s="5" t="s">
        <v>24</v>
      </c>
      <c r="AF131" s="5" t="s">
        <v>24</v>
      </c>
      <c r="AG131" s="5" t="s">
        <v>24</v>
      </c>
      <c r="AH131" s="5" t="s">
        <v>24</v>
      </c>
      <c r="AI131" s="5" t="s">
        <v>24</v>
      </c>
      <c r="AJ131" s="5" t="s">
        <v>24</v>
      </c>
      <c r="AK131" s="5" t="s">
        <v>24</v>
      </c>
      <c r="AL131" s="5" t="str">
        <f>VLOOKUP(mambo!$H131,Sheet1!B:C,2,FALSE)</f>
        <v>0573320</v>
      </c>
    </row>
    <row r="132" ht="15.75" hidden="1" customHeight="1">
      <c r="A132" s="5" t="s">
        <v>2727</v>
      </c>
      <c r="B132" s="5" t="s">
        <v>2728</v>
      </c>
      <c r="C132" s="5" t="s">
        <v>117</v>
      </c>
      <c r="D132" s="5" t="s">
        <v>24</v>
      </c>
      <c r="E132" s="5" t="s">
        <v>1848</v>
      </c>
      <c r="F132" s="5" t="s">
        <v>1849</v>
      </c>
      <c r="G132" s="5" t="s">
        <v>24</v>
      </c>
      <c r="H132" s="5" t="s">
        <v>2729</v>
      </c>
      <c r="I132" s="5" t="s">
        <v>24</v>
      </c>
      <c r="J132" s="5" t="s">
        <v>24</v>
      </c>
      <c r="K132" s="5" t="s">
        <v>24</v>
      </c>
      <c r="L132" s="5" t="s">
        <v>24</v>
      </c>
      <c r="M132" s="5" t="s">
        <v>24</v>
      </c>
      <c r="N132" s="5" t="s">
        <v>24</v>
      </c>
      <c r="O132" s="5" t="s">
        <v>1851</v>
      </c>
      <c r="P132" s="5" t="s">
        <v>24</v>
      </c>
      <c r="Q132" s="5" t="s">
        <v>24</v>
      </c>
      <c r="R132" s="5" t="s">
        <v>24</v>
      </c>
      <c r="S132" s="5" t="s">
        <v>1852</v>
      </c>
      <c r="T132" s="5" t="s">
        <v>2271</v>
      </c>
      <c r="U132" s="5" t="s">
        <v>2271</v>
      </c>
      <c r="V132" s="5" t="s">
        <v>1854</v>
      </c>
      <c r="W132" s="5" t="s">
        <v>24</v>
      </c>
      <c r="X132" s="5" t="s">
        <v>24</v>
      </c>
      <c r="Y132" s="5" t="s">
        <v>2730</v>
      </c>
      <c r="Z132" s="5" t="s">
        <v>2731</v>
      </c>
      <c r="AA132" s="5" t="s">
        <v>2731</v>
      </c>
      <c r="AB132" s="5" t="s">
        <v>2731</v>
      </c>
      <c r="AC132" s="5" t="s">
        <v>2732</v>
      </c>
      <c r="AD132" s="5" t="s">
        <v>2733</v>
      </c>
      <c r="AE132" s="5" t="s">
        <v>2734</v>
      </c>
      <c r="AF132" s="5" t="s">
        <v>24</v>
      </c>
      <c r="AG132" s="5" t="s">
        <v>24</v>
      </c>
      <c r="AH132" s="5" t="s">
        <v>24</v>
      </c>
      <c r="AI132" s="5" t="s">
        <v>24</v>
      </c>
      <c r="AJ132" s="5" t="s">
        <v>24</v>
      </c>
      <c r="AK132" s="5" t="s">
        <v>24</v>
      </c>
      <c r="AL132" s="5" t="str">
        <f>VLOOKUP(mambo!$H132,Sheet1!B:C,2,FALSE)</f>
        <v>#N/A</v>
      </c>
    </row>
    <row r="133" ht="15.75" hidden="1" customHeight="1">
      <c r="A133" s="5" t="s">
        <v>2735</v>
      </c>
      <c r="B133" s="5" t="s">
        <v>2736</v>
      </c>
      <c r="C133" s="5" t="s">
        <v>336</v>
      </c>
      <c r="D133" s="5" t="s">
        <v>24</v>
      </c>
      <c r="E133" s="5" t="s">
        <v>1848</v>
      </c>
      <c r="F133" s="5" t="s">
        <v>1849</v>
      </c>
      <c r="G133" s="5" t="s">
        <v>24</v>
      </c>
      <c r="H133" s="5" t="s">
        <v>2737</v>
      </c>
      <c r="I133" s="5" t="s">
        <v>24</v>
      </c>
      <c r="J133" s="5" t="s">
        <v>24</v>
      </c>
      <c r="K133" s="5" t="s">
        <v>24</v>
      </c>
      <c r="L133" s="5" t="s">
        <v>24</v>
      </c>
      <c r="M133" s="5" t="s">
        <v>24</v>
      </c>
      <c r="N133" s="5" t="s">
        <v>24</v>
      </c>
      <c r="O133" s="5" t="s">
        <v>1933</v>
      </c>
      <c r="P133" s="5" t="s">
        <v>24</v>
      </c>
      <c r="Q133" s="5" t="s">
        <v>24</v>
      </c>
      <c r="R133" s="5" t="s">
        <v>24</v>
      </c>
      <c r="S133" s="5" t="s">
        <v>1852</v>
      </c>
      <c r="T133" s="5" t="s">
        <v>2738</v>
      </c>
      <c r="U133" s="5" t="s">
        <v>2738</v>
      </c>
      <c r="V133" s="5" t="s">
        <v>1854</v>
      </c>
      <c r="W133" s="5" t="s">
        <v>24</v>
      </c>
      <c r="X133" s="5" t="s">
        <v>24</v>
      </c>
      <c r="Y133" s="5" t="s">
        <v>2739</v>
      </c>
      <c r="Z133" s="5" t="s">
        <v>2740</v>
      </c>
      <c r="AA133" s="5" t="s">
        <v>2740</v>
      </c>
      <c r="AB133" s="5" t="s">
        <v>2740</v>
      </c>
      <c r="AC133" s="5" t="s">
        <v>24</v>
      </c>
      <c r="AD133" s="5" t="s">
        <v>24</v>
      </c>
      <c r="AE133" s="5" t="s">
        <v>24</v>
      </c>
      <c r="AF133" s="5" t="s">
        <v>24</v>
      </c>
      <c r="AG133" s="5" t="s">
        <v>24</v>
      </c>
      <c r="AH133" s="5" t="s">
        <v>24</v>
      </c>
      <c r="AI133" s="5" t="s">
        <v>24</v>
      </c>
      <c r="AJ133" s="5" t="s">
        <v>24</v>
      </c>
      <c r="AK133" s="5" t="s">
        <v>24</v>
      </c>
      <c r="AL133" s="5" t="str">
        <f>VLOOKUP(mambo!$H133,Sheet1!B:C,2,FALSE)</f>
        <v>#N/A</v>
      </c>
    </row>
    <row r="134" ht="15.75" hidden="1" customHeight="1">
      <c r="A134" s="5" t="s">
        <v>2741</v>
      </c>
      <c r="B134" s="5" t="s">
        <v>2742</v>
      </c>
      <c r="C134" s="5" t="s">
        <v>294</v>
      </c>
      <c r="D134" s="5" t="s">
        <v>24</v>
      </c>
      <c r="E134" s="5" t="s">
        <v>1848</v>
      </c>
      <c r="F134" s="5" t="s">
        <v>1849</v>
      </c>
      <c r="G134" s="5" t="s">
        <v>24</v>
      </c>
      <c r="H134" s="5" t="s">
        <v>2743</v>
      </c>
      <c r="I134" s="5" t="s">
        <v>24</v>
      </c>
      <c r="J134" s="5" t="s">
        <v>24</v>
      </c>
      <c r="K134" s="5" t="s">
        <v>24</v>
      </c>
      <c r="L134" s="5" t="s">
        <v>24</v>
      </c>
      <c r="M134" s="5" t="s">
        <v>1885</v>
      </c>
      <c r="N134" s="5" t="s">
        <v>24</v>
      </c>
      <c r="O134" s="5" t="s">
        <v>1917</v>
      </c>
      <c r="P134" s="5" t="s">
        <v>24</v>
      </c>
      <c r="Q134" s="5" t="s">
        <v>24</v>
      </c>
      <c r="R134" s="5" t="s">
        <v>24</v>
      </c>
      <c r="S134" s="5" t="s">
        <v>1852</v>
      </c>
      <c r="T134" s="5" t="s">
        <v>2636</v>
      </c>
      <c r="U134" s="5" t="s">
        <v>2636</v>
      </c>
      <c r="V134" s="5" t="s">
        <v>1854</v>
      </c>
      <c r="W134" s="5" t="s">
        <v>24</v>
      </c>
      <c r="X134" s="5" t="s">
        <v>24</v>
      </c>
      <c r="Y134" s="5" t="s">
        <v>2744</v>
      </c>
      <c r="Z134" s="5" t="s">
        <v>2745</v>
      </c>
      <c r="AA134" s="5" t="s">
        <v>2745</v>
      </c>
      <c r="AB134" s="5" t="s">
        <v>2745</v>
      </c>
      <c r="AC134" s="5" t="s">
        <v>2746</v>
      </c>
      <c r="AD134" s="5" t="s">
        <v>2747</v>
      </c>
      <c r="AE134" s="5" t="s">
        <v>24</v>
      </c>
      <c r="AF134" s="5" t="s">
        <v>24</v>
      </c>
      <c r="AG134" s="5" t="s">
        <v>24</v>
      </c>
      <c r="AH134" s="5" t="s">
        <v>24</v>
      </c>
      <c r="AI134" s="5" t="s">
        <v>24</v>
      </c>
      <c r="AJ134" s="5" t="s">
        <v>24</v>
      </c>
      <c r="AK134" s="5" t="s">
        <v>24</v>
      </c>
      <c r="AL134" s="5" t="str">
        <f>VLOOKUP(mambo!$H134,Sheet1!B:C,2,FALSE)</f>
        <v>#N/A</v>
      </c>
    </row>
    <row r="135" ht="15.75" customHeight="1">
      <c r="A135" s="5" t="s">
        <v>2748</v>
      </c>
      <c r="B135" s="5" t="s">
        <v>2749</v>
      </c>
      <c r="C135" s="5" t="s">
        <v>294</v>
      </c>
      <c r="D135" s="5" t="s">
        <v>24</v>
      </c>
      <c r="E135" s="5" t="s">
        <v>1848</v>
      </c>
      <c r="F135" s="5" t="s">
        <v>1849</v>
      </c>
      <c r="G135" s="5" t="s">
        <v>24</v>
      </c>
      <c r="H135" s="5" t="s">
        <v>295</v>
      </c>
      <c r="I135" s="5" t="s">
        <v>24</v>
      </c>
      <c r="J135" s="5" t="s">
        <v>24</v>
      </c>
      <c r="K135" s="5" t="s">
        <v>24</v>
      </c>
      <c r="L135" s="5" t="s">
        <v>24</v>
      </c>
      <c r="M135" s="5" t="s">
        <v>24</v>
      </c>
      <c r="N135" s="5" t="s">
        <v>24</v>
      </c>
      <c r="O135" s="5" t="s">
        <v>1933</v>
      </c>
      <c r="P135" s="5" t="s">
        <v>24</v>
      </c>
      <c r="Q135" s="5" t="s">
        <v>24</v>
      </c>
      <c r="R135" s="5" t="s">
        <v>24</v>
      </c>
      <c r="S135" s="5" t="s">
        <v>1852</v>
      </c>
      <c r="T135" s="5" t="s">
        <v>2463</v>
      </c>
      <c r="U135" s="5" t="s">
        <v>2463</v>
      </c>
      <c r="V135" s="5" t="s">
        <v>1854</v>
      </c>
      <c r="W135" s="5" t="s">
        <v>24</v>
      </c>
      <c r="X135" s="5" t="s">
        <v>24</v>
      </c>
      <c r="Y135" s="5" t="s">
        <v>2750</v>
      </c>
      <c r="Z135" s="5" t="s">
        <v>2751</v>
      </c>
      <c r="AA135" s="5" t="s">
        <v>2751</v>
      </c>
      <c r="AB135" s="5" t="s">
        <v>2751</v>
      </c>
      <c r="AC135" s="5" t="s">
        <v>24</v>
      </c>
      <c r="AD135" s="5" t="s">
        <v>24</v>
      </c>
      <c r="AE135" s="5" t="s">
        <v>24</v>
      </c>
      <c r="AF135" s="5" t="s">
        <v>24</v>
      </c>
      <c r="AG135" s="5" t="s">
        <v>24</v>
      </c>
      <c r="AH135" s="5" t="s">
        <v>24</v>
      </c>
      <c r="AI135" s="5" t="s">
        <v>24</v>
      </c>
      <c r="AJ135" s="5" t="s">
        <v>24</v>
      </c>
      <c r="AK135" s="5" t="s">
        <v>24</v>
      </c>
      <c r="AL135" s="5" t="str">
        <f>VLOOKUP(mambo!$H135,Sheet1!B:C,2,FALSE)</f>
        <v>1163768</v>
      </c>
    </row>
    <row r="136" ht="15.75" hidden="1" customHeight="1">
      <c r="A136" s="5" t="s">
        <v>2752</v>
      </c>
      <c r="B136" s="5" t="s">
        <v>2753</v>
      </c>
      <c r="C136" s="5" t="s">
        <v>294</v>
      </c>
      <c r="D136" s="5" t="s">
        <v>24</v>
      </c>
      <c r="E136" s="5" t="s">
        <v>1848</v>
      </c>
      <c r="F136" s="5" t="s">
        <v>1849</v>
      </c>
      <c r="G136" s="5" t="s">
        <v>24</v>
      </c>
      <c r="H136" s="5" t="s">
        <v>2754</v>
      </c>
      <c r="I136" s="5" t="s">
        <v>24</v>
      </c>
      <c r="J136" s="5" t="s">
        <v>24</v>
      </c>
      <c r="K136" s="5" t="s">
        <v>24</v>
      </c>
      <c r="L136" s="5" t="s">
        <v>24</v>
      </c>
      <c r="M136" s="5" t="s">
        <v>1885</v>
      </c>
      <c r="N136" s="5" t="s">
        <v>24</v>
      </c>
      <c r="O136" s="5" t="s">
        <v>1917</v>
      </c>
      <c r="P136" s="5" t="s">
        <v>24</v>
      </c>
      <c r="Q136" s="5" t="s">
        <v>24</v>
      </c>
      <c r="R136" s="5" t="s">
        <v>24</v>
      </c>
      <c r="S136" s="5" t="s">
        <v>1852</v>
      </c>
      <c r="T136" s="5" t="s">
        <v>2636</v>
      </c>
      <c r="U136" s="5" t="s">
        <v>2636</v>
      </c>
      <c r="V136" s="5" t="s">
        <v>1854</v>
      </c>
      <c r="W136" s="5" t="s">
        <v>24</v>
      </c>
      <c r="X136" s="5" t="s">
        <v>24</v>
      </c>
      <c r="Y136" s="5" t="s">
        <v>2755</v>
      </c>
      <c r="Z136" s="5" t="s">
        <v>2756</v>
      </c>
      <c r="AA136" s="5" t="s">
        <v>2756</v>
      </c>
      <c r="AB136" s="5" t="s">
        <v>2756</v>
      </c>
      <c r="AC136" s="5" t="s">
        <v>24</v>
      </c>
      <c r="AD136" s="5" t="s">
        <v>24</v>
      </c>
      <c r="AE136" s="5" t="s">
        <v>24</v>
      </c>
      <c r="AF136" s="5" t="s">
        <v>24</v>
      </c>
      <c r="AG136" s="5" t="s">
        <v>24</v>
      </c>
      <c r="AH136" s="5" t="s">
        <v>24</v>
      </c>
      <c r="AI136" s="5" t="s">
        <v>24</v>
      </c>
      <c r="AJ136" s="5" t="s">
        <v>24</v>
      </c>
      <c r="AK136" s="5" t="s">
        <v>24</v>
      </c>
      <c r="AL136" s="5" t="str">
        <f>VLOOKUP(mambo!$H136,Sheet1!B:C,2,FALSE)</f>
        <v>#N/A</v>
      </c>
    </row>
    <row r="137" ht="15.75" hidden="1" customHeight="1">
      <c r="A137" s="5" t="s">
        <v>2757</v>
      </c>
      <c r="B137" s="5" t="s">
        <v>2758</v>
      </c>
      <c r="C137" s="5" t="s">
        <v>2635</v>
      </c>
      <c r="D137" s="5" t="s">
        <v>24</v>
      </c>
      <c r="E137" s="5" t="s">
        <v>1848</v>
      </c>
      <c r="F137" s="5" t="s">
        <v>1849</v>
      </c>
      <c r="G137" s="5" t="s">
        <v>24</v>
      </c>
      <c r="H137" s="5" t="s">
        <v>2759</v>
      </c>
      <c r="I137" s="5" t="s">
        <v>24</v>
      </c>
      <c r="J137" s="5" t="s">
        <v>24</v>
      </c>
      <c r="K137" s="5" t="s">
        <v>24</v>
      </c>
      <c r="L137" s="5" t="s">
        <v>24</v>
      </c>
      <c r="M137" s="5" t="s">
        <v>24</v>
      </c>
      <c r="N137" s="5" t="s">
        <v>24</v>
      </c>
      <c r="O137" s="5" t="s">
        <v>1933</v>
      </c>
      <c r="P137" s="5" t="s">
        <v>24</v>
      </c>
      <c r="Q137" s="5" t="s">
        <v>24</v>
      </c>
      <c r="R137" s="5" t="s">
        <v>24</v>
      </c>
      <c r="S137" s="5" t="s">
        <v>2020</v>
      </c>
      <c r="T137" s="5" t="s">
        <v>2021</v>
      </c>
      <c r="U137" s="5" t="s">
        <v>2021</v>
      </c>
      <c r="V137" s="5" t="s">
        <v>24</v>
      </c>
      <c r="W137" s="5" t="s">
        <v>24</v>
      </c>
      <c r="X137" s="5" t="s">
        <v>24</v>
      </c>
      <c r="Y137" s="5" t="s">
        <v>2760</v>
      </c>
      <c r="Z137" s="5" t="s">
        <v>2761</v>
      </c>
      <c r="AA137" s="5" t="s">
        <v>2761</v>
      </c>
      <c r="AB137" s="5" t="s">
        <v>2761</v>
      </c>
      <c r="AC137" s="5" t="s">
        <v>2762</v>
      </c>
      <c r="AD137" s="5" t="s">
        <v>2763</v>
      </c>
      <c r="AE137" s="5" t="s">
        <v>2764</v>
      </c>
      <c r="AF137" s="5" t="s">
        <v>2765</v>
      </c>
      <c r="AG137" s="5" t="s">
        <v>2766</v>
      </c>
      <c r="AH137" s="5" t="s">
        <v>2767</v>
      </c>
      <c r="AI137" s="5" t="s">
        <v>24</v>
      </c>
      <c r="AJ137" s="5" t="s">
        <v>24</v>
      </c>
      <c r="AK137" s="5" t="s">
        <v>24</v>
      </c>
      <c r="AL137" s="5" t="str">
        <f>VLOOKUP(mambo!$H137,Sheet1!B:C,2,FALSE)</f>
        <v>#N/A</v>
      </c>
    </row>
    <row r="138" ht="15.75" hidden="1" customHeight="1">
      <c r="A138" s="5" t="s">
        <v>2768</v>
      </c>
      <c r="B138" s="5" t="s">
        <v>2769</v>
      </c>
      <c r="C138" s="5" t="s">
        <v>2019</v>
      </c>
      <c r="D138" s="5" t="s">
        <v>24</v>
      </c>
      <c r="E138" s="5" t="s">
        <v>1848</v>
      </c>
      <c r="F138" s="5" t="s">
        <v>1849</v>
      </c>
      <c r="G138" s="5" t="s">
        <v>24</v>
      </c>
      <c r="H138" s="5" t="s">
        <v>2770</v>
      </c>
      <c r="I138" s="5" t="s">
        <v>24</v>
      </c>
      <c r="J138" s="5" t="s">
        <v>24</v>
      </c>
      <c r="K138" s="5" t="s">
        <v>24</v>
      </c>
      <c r="L138" s="5" t="s">
        <v>24</v>
      </c>
      <c r="M138" s="5" t="s">
        <v>24</v>
      </c>
      <c r="N138" s="5" t="s">
        <v>24</v>
      </c>
      <c r="O138" s="5" t="s">
        <v>1933</v>
      </c>
      <c r="P138" s="5" t="s">
        <v>24</v>
      </c>
      <c r="Q138" s="5" t="s">
        <v>24</v>
      </c>
      <c r="R138" s="5" t="s">
        <v>24</v>
      </c>
      <c r="S138" s="5" t="s">
        <v>1852</v>
      </c>
      <c r="T138" s="5" t="s">
        <v>2408</v>
      </c>
      <c r="U138" s="5" t="s">
        <v>2408</v>
      </c>
      <c r="V138" s="5" t="s">
        <v>1854</v>
      </c>
      <c r="W138" s="5" t="s">
        <v>24</v>
      </c>
      <c r="X138" s="5" t="s">
        <v>24</v>
      </c>
      <c r="Y138" s="5" t="s">
        <v>2771</v>
      </c>
      <c r="Z138" s="5" t="s">
        <v>2772</v>
      </c>
      <c r="AA138" s="5" t="s">
        <v>2772</v>
      </c>
      <c r="AB138" s="5" t="s">
        <v>2772</v>
      </c>
      <c r="AC138" s="5" t="s">
        <v>24</v>
      </c>
      <c r="AD138" s="5" t="s">
        <v>24</v>
      </c>
      <c r="AE138" s="5" t="s">
        <v>24</v>
      </c>
      <c r="AF138" s="5" t="s">
        <v>24</v>
      </c>
      <c r="AG138" s="5" t="s">
        <v>24</v>
      </c>
      <c r="AH138" s="5" t="s">
        <v>24</v>
      </c>
      <c r="AI138" s="5" t="s">
        <v>24</v>
      </c>
      <c r="AJ138" s="5" t="s">
        <v>24</v>
      </c>
      <c r="AK138" s="5" t="s">
        <v>24</v>
      </c>
      <c r="AL138" s="5" t="str">
        <f>VLOOKUP(mambo!$H138,Sheet1!B:C,2,FALSE)</f>
        <v>#N/A</v>
      </c>
    </row>
    <row r="139" ht="15.75" customHeight="1">
      <c r="A139" s="5" t="s">
        <v>2773</v>
      </c>
      <c r="B139" s="5" t="s">
        <v>2774</v>
      </c>
      <c r="C139" s="5" t="s">
        <v>2635</v>
      </c>
      <c r="D139" s="5" t="s">
        <v>24</v>
      </c>
      <c r="E139" s="5" t="s">
        <v>1848</v>
      </c>
      <c r="F139" s="5" t="s">
        <v>1849</v>
      </c>
      <c r="G139" s="5" t="s">
        <v>24</v>
      </c>
      <c r="H139" s="5" t="s">
        <v>833</v>
      </c>
      <c r="I139" s="5" t="s">
        <v>24</v>
      </c>
      <c r="J139" s="5" t="s">
        <v>24</v>
      </c>
      <c r="K139" s="5" t="s">
        <v>24</v>
      </c>
      <c r="L139" s="5" t="s">
        <v>24</v>
      </c>
      <c r="M139" s="5" t="s">
        <v>24</v>
      </c>
      <c r="N139" s="5" t="s">
        <v>24</v>
      </c>
      <c r="O139" s="5" t="s">
        <v>1933</v>
      </c>
      <c r="P139" s="5" t="s">
        <v>24</v>
      </c>
      <c r="Q139" s="5" t="s">
        <v>24</v>
      </c>
      <c r="R139" s="5" t="s">
        <v>24</v>
      </c>
      <c r="S139" s="5" t="s">
        <v>1852</v>
      </c>
      <c r="T139" s="5" t="s">
        <v>2775</v>
      </c>
      <c r="U139" s="5" t="s">
        <v>2775</v>
      </c>
      <c r="V139" s="5" t="s">
        <v>1854</v>
      </c>
      <c r="W139" s="5" t="s">
        <v>24</v>
      </c>
      <c r="X139" s="5" t="s">
        <v>24</v>
      </c>
      <c r="Y139" s="5" t="s">
        <v>2776</v>
      </c>
      <c r="Z139" s="5" t="s">
        <v>2777</v>
      </c>
      <c r="AA139" s="5" t="s">
        <v>2777</v>
      </c>
      <c r="AB139" s="5" t="s">
        <v>2777</v>
      </c>
      <c r="AC139" s="5" t="s">
        <v>24</v>
      </c>
      <c r="AD139" s="5" t="s">
        <v>24</v>
      </c>
      <c r="AE139" s="5" t="s">
        <v>24</v>
      </c>
      <c r="AF139" s="5" t="s">
        <v>24</v>
      </c>
      <c r="AG139" s="5" t="s">
        <v>24</v>
      </c>
      <c r="AH139" s="5" t="s">
        <v>24</v>
      </c>
      <c r="AI139" s="5" t="s">
        <v>24</v>
      </c>
      <c r="AJ139" s="5" t="s">
        <v>24</v>
      </c>
      <c r="AK139" s="5" t="s">
        <v>24</v>
      </c>
      <c r="AL139" s="5" t="str">
        <f>VLOOKUP(mambo!$H139,Sheet1!B:C,2,FALSE)</f>
        <v>1277687</v>
      </c>
    </row>
    <row r="140" ht="15.75" customHeight="1">
      <c r="A140" s="5" t="s">
        <v>2778</v>
      </c>
      <c r="B140" s="5" t="s">
        <v>2779</v>
      </c>
      <c r="C140" s="5" t="s">
        <v>145</v>
      </c>
      <c r="D140" s="5" t="s">
        <v>24</v>
      </c>
      <c r="E140" s="5" t="s">
        <v>1848</v>
      </c>
      <c r="F140" s="5" t="s">
        <v>1849</v>
      </c>
      <c r="G140" s="5" t="s">
        <v>24</v>
      </c>
      <c r="H140" s="5" t="s">
        <v>550</v>
      </c>
      <c r="I140" s="5" t="s">
        <v>24</v>
      </c>
      <c r="J140" s="5" t="s">
        <v>24</v>
      </c>
      <c r="K140" s="5" t="s">
        <v>24</v>
      </c>
      <c r="L140" s="5" t="s">
        <v>24</v>
      </c>
      <c r="M140" s="5" t="s">
        <v>24</v>
      </c>
      <c r="N140" s="5" t="s">
        <v>24</v>
      </c>
      <c r="O140" s="5" t="s">
        <v>1933</v>
      </c>
      <c r="P140" s="5" t="s">
        <v>24</v>
      </c>
      <c r="Q140" s="5" t="s">
        <v>24</v>
      </c>
      <c r="R140" s="5" t="s">
        <v>24</v>
      </c>
      <c r="S140" s="5" t="s">
        <v>1852</v>
      </c>
      <c r="T140" s="5" t="s">
        <v>2066</v>
      </c>
      <c r="U140" s="5" t="s">
        <v>2066</v>
      </c>
      <c r="V140" s="5" t="s">
        <v>1854</v>
      </c>
      <c r="W140" s="5" t="s">
        <v>24</v>
      </c>
      <c r="X140" s="5" t="s">
        <v>24</v>
      </c>
      <c r="Y140" s="5" t="s">
        <v>2780</v>
      </c>
      <c r="Z140" s="5" t="s">
        <v>2781</v>
      </c>
      <c r="AA140" s="5" t="s">
        <v>2781</v>
      </c>
      <c r="AB140" s="5" t="s">
        <v>2781</v>
      </c>
      <c r="AC140" s="5" t="s">
        <v>2782</v>
      </c>
      <c r="AD140" s="5" t="s">
        <v>2783</v>
      </c>
      <c r="AE140" s="5" t="s">
        <v>24</v>
      </c>
      <c r="AF140" s="5" t="s">
        <v>24</v>
      </c>
      <c r="AG140" s="5" t="s">
        <v>24</v>
      </c>
      <c r="AH140" s="5" t="s">
        <v>24</v>
      </c>
      <c r="AI140" s="5" t="s">
        <v>24</v>
      </c>
      <c r="AJ140" s="5" t="s">
        <v>24</v>
      </c>
      <c r="AK140" s="5" t="s">
        <v>24</v>
      </c>
      <c r="AL140" s="5" t="str">
        <f>VLOOKUP(mambo!$H140,Sheet1!B:C,2,FALSE)</f>
        <v>1114184</v>
      </c>
    </row>
    <row r="141" ht="15.75" customHeight="1">
      <c r="A141" s="5" t="s">
        <v>2784</v>
      </c>
      <c r="B141" s="5" t="s">
        <v>2785</v>
      </c>
      <c r="C141" s="5" t="s">
        <v>294</v>
      </c>
      <c r="D141" s="5" t="s">
        <v>24</v>
      </c>
      <c r="E141" s="5" t="s">
        <v>1848</v>
      </c>
      <c r="F141" s="5" t="s">
        <v>1849</v>
      </c>
      <c r="G141" s="5" t="s">
        <v>24</v>
      </c>
      <c r="H141" s="5" t="s">
        <v>326</v>
      </c>
      <c r="I141" s="5" t="s">
        <v>24</v>
      </c>
      <c r="J141" s="5" t="s">
        <v>24</v>
      </c>
      <c r="K141" s="5" t="s">
        <v>24</v>
      </c>
      <c r="L141" s="5" t="s">
        <v>24</v>
      </c>
      <c r="M141" s="5" t="s">
        <v>1885</v>
      </c>
      <c r="N141" s="5" t="s">
        <v>24</v>
      </c>
      <c r="O141" s="5" t="s">
        <v>1917</v>
      </c>
      <c r="P141" s="5" t="s">
        <v>24</v>
      </c>
      <c r="Q141" s="5" t="s">
        <v>24</v>
      </c>
      <c r="R141" s="5" t="s">
        <v>24</v>
      </c>
      <c r="S141" s="5" t="s">
        <v>1852</v>
      </c>
      <c r="T141" s="5" t="s">
        <v>2636</v>
      </c>
      <c r="U141" s="5" t="s">
        <v>2636</v>
      </c>
      <c r="V141" s="5" t="s">
        <v>1854</v>
      </c>
      <c r="W141" s="5" t="s">
        <v>24</v>
      </c>
      <c r="X141" s="5" t="s">
        <v>24</v>
      </c>
      <c r="Y141" s="5" t="s">
        <v>2786</v>
      </c>
      <c r="Z141" s="5" t="s">
        <v>2787</v>
      </c>
      <c r="AA141" s="5" t="s">
        <v>2787</v>
      </c>
      <c r="AB141" s="5" t="s">
        <v>2787</v>
      </c>
      <c r="AC141" s="5" t="s">
        <v>2788</v>
      </c>
      <c r="AD141" s="5" t="s">
        <v>2789</v>
      </c>
      <c r="AE141" s="5" t="s">
        <v>24</v>
      </c>
      <c r="AF141" s="5" t="s">
        <v>24</v>
      </c>
      <c r="AG141" s="5" t="s">
        <v>24</v>
      </c>
      <c r="AH141" s="5" t="s">
        <v>24</v>
      </c>
      <c r="AI141" s="5" t="s">
        <v>24</v>
      </c>
      <c r="AJ141" s="5" t="s">
        <v>24</v>
      </c>
      <c r="AK141" s="5" t="s">
        <v>24</v>
      </c>
      <c r="AL141" s="5" t="str">
        <f>VLOOKUP(mambo!$H141,Sheet1!B:C,2,FALSE)</f>
        <v>1163653</v>
      </c>
    </row>
    <row r="142" ht="15.75" customHeight="1">
      <c r="A142" s="5" t="s">
        <v>2790</v>
      </c>
      <c r="B142" s="5" t="s">
        <v>2791</v>
      </c>
      <c r="C142" s="5" t="s">
        <v>294</v>
      </c>
      <c r="D142" s="5" t="s">
        <v>24</v>
      </c>
      <c r="E142" s="5" t="s">
        <v>1848</v>
      </c>
      <c r="F142" s="5" t="s">
        <v>1849</v>
      </c>
      <c r="G142" s="5" t="s">
        <v>24</v>
      </c>
      <c r="H142" s="5" t="s">
        <v>916</v>
      </c>
      <c r="I142" s="5" t="s">
        <v>24</v>
      </c>
      <c r="J142" s="5" t="s">
        <v>24</v>
      </c>
      <c r="K142" s="5" t="s">
        <v>24</v>
      </c>
      <c r="L142" s="5" t="s">
        <v>24</v>
      </c>
      <c r="M142" s="5" t="s">
        <v>24</v>
      </c>
      <c r="N142" s="5" t="s">
        <v>24</v>
      </c>
      <c r="O142" s="5" t="s">
        <v>1933</v>
      </c>
      <c r="P142" s="5" t="s">
        <v>24</v>
      </c>
      <c r="Q142" s="5" t="s">
        <v>24</v>
      </c>
      <c r="R142" s="5" t="s">
        <v>24</v>
      </c>
      <c r="S142" s="5" t="s">
        <v>1852</v>
      </c>
      <c r="T142" s="5" t="s">
        <v>2463</v>
      </c>
      <c r="U142" s="5" t="s">
        <v>2463</v>
      </c>
      <c r="V142" s="5" t="s">
        <v>1854</v>
      </c>
      <c r="W142" s="5" t="s">
        <v>24</v>
      </c>
      <c r="X142" s="5" t="s">
        <v>24</v>
      </c>
      <c r="Y142" s="5" t="s">
        <v>2792</v>
      </c>
      <c r="Z142" s="5" t="s">
        <v>2793</v>
      </c>
      <c r="AA142" s="5" t="s">
        <v>2793</v>
      </c>
      <c r="AB142" s="5" t="s">
        <v>2793</v>
      </c>
      <c r="AC142" s="5" t="s">
        <v>24</v>
      </c>
      <c r="AD142" s="5" t="s">
        <v>24</v>
      </c>
      <c r="AE142" s="5" t="s">
        <v>24</v>
      </c>
      <c r="AF142" s="5" t="s">
        <v>24</v>
      </c>
      <c r="AG142" s="5" t="s">
        <v>24</v>
      </c>
      <c r="AH142" s="5" t="s">
        <v>24</v>
      </c>
      <c r="AI142" s="5" t="s">
        <v>24</v>
      </c>
      <c r="AJ142" s="5" t="s">
        <v>24</v>
      </c>
      <c r="AK142" s="5" t="s">
        <v>24</v>
      </c>
      <c r="AL142" s="5" t="str">
        <f>VLOOKUP(mambo!$H142,Sheet1!B:C,2,FALSE)</f>
        <v>1187457</v>
      </c>
    </row>
    <row r="143" ht="15.75" customHeight="1">
      <c r="A143" s="5" t="s">
        <v>2794</v>
      </c>
      <c r="B143" s="5" t="s">
        <v>2795</v>
      </c>
      <c r="C143" s="5" t="s">
        <v>294</v>
      </c>
      <c r="D143" s="5" t="s">
        <v>24</v>
      </c>
      <c r="E143" s="5" t="s">
        <v>1848</v>
      </c>
      <c r="F143" s="5" t="s">
        <v>1849</v>
      </c>
      <c r="G143" s="5" t="s">
        <v>24</v>
      </c>
      <c r="H143" s="5" t="s">
        <v>305</v>
      </c>
      <c r="I143" s="5" t="s">
        <v>24</v>
      </c>
      <c r="J143" s="5" t="s">
        <v>24</v>
      </c>
      <c r="K143" s="5" t="s">
        <v>24</v>
      </c>
      <c r="L143" s="5" t="s">
        <v>24</v>
      </c>
      <c r="M143" s="5" t="s">
        <v>1885</v>
      </c>
      <c r="N143" s="5" t="s">
        <v>24</v>
      </c>
      <c r="O143" s="5" t="s">
        <v>1917</v>
      </c>
      <c r="P143" s="5" t="s">
        <v>24</v>
      </c>
      <c r="Q143" s="5" t="s">
        <v>24</v>
      </c>
      <c r="R143" s="5" t="s">
        <v>24</v>
      </c>
      <c r="S143" s="5" t="s">
        <v>1852</v>
      </c>
      <c r="T143" s="5" t="s">
        <v>2636</v>
      </c>
      <c r="U143" s="5" t="s">
        <v>2636</v>
      </c>
      <c r="V143" s="5" t="s">
        <v>1854</v>
      </c>
      <c r="W143" s="5" t="s">
        <v>24</v>
      </c>
      <c r="X143" s="5" t="s">
        <v>24</v>
      </c>
      <c r="Y143" s="5" t="s">
        <v>2796</v>
      </c>
      <c r="Z143" s="5" t="s">
        <v>2797</v>
      </c>
      <c r="AA143" s="5" t="s">
        <v>2797</v>
      </c>
      <c r="AB143" s="5" t="s">
        <v>2797</v>
      </c>
      <c r="AC143" s="5" t="s">
        <v>2798</v>
      </c>
      <c r="AD143" s="5" t="s">
        <v>2799</v>
      </c>
      <c r="AE143" s="5" t="s">
        <v>24</v>
      </c>
      <c r="AF143" s="5" t="s">
        <v>24</v>
      </c>
      <c r="AG143" s="5" t="s">
        <v>24</v>
      </c>
      <c r="AH143" s="5" t="s">
        <v>24</v>
      </c>
      <c r="AI143" s="5" t="s">
        <v>24</v>
      </c>
      <c r="AJ143" s="5" t="s">
        <v>24</v>
      </c>
      <c r="AK143" s="5" t="s">
        <v>24</v>
      </c>
      <c r="AL143" s="5" t="str">
        <f>VLOOKUP(mambo!$H143,Sheet1!B:C,2,FALSE)</f>
        <v>1163652</v>
      </c>
    </row>
    <row r="144" ht="15.75" customHeight="1">
      <c r="A144" s="5" t="s">
        <v>2800</v>
      </c>
      <c r="B144" s="5" t="s">
        <v>2801</v>
      </c>
      <c r="C144" s="5" t="s">
        <v>2019</v>
      </c>
      <c r="D144" s="5" t="s">
        <v>24</v>
      </c>
      <c r="E144" s="5" t="s">
        <v>1848</v>
      </c>
      <c r="F144" s="5" t="s">
        <v>1849</v>
      </c>
      <c r="G144" s="5" t="s">
        <v>24</v>
      </c>
      <c r="H144" s="5" t="s">
        <v>885</v>
      </c>
      <c r="I144" s="5" t="s">
        <v>24</v>
      </c>
      <c r="J144" s="5" t="s">
        <v>24</v>
      </c>
      <c r="K144" s="5" t="s">
        <v>24</v>
      </c>
      <c r="L144" s="5" t="s">
        <v>24</v>
      </c>
      <c r="M144" s="5" t="s">
        <v>24</v>
      </c>
      <c r="N144" s="5" t="s">
        <v>24</v>
      </c>
      <c r="O144" s="5" t="s">
        <v>1851</v>
      </c>
      <c r="P144" s="5" t="s">
        <v>24</v>
      </c>
      <c r="Q144" s="5" t="s">
        <v>24</v>
      </c>
      <c r="R144" s="5" t="s">
        <v>24</v>
      </c>
      <c r="S144" s="5" t="s">
        <v>2020</v>
      </c>
      <c r="T144" s="5" t="s">
        <v>2021</v>
      </c>
      <c r="U144" s="5" t="s">
        <v>2021</v>
      </c>
      <c r="V144" s="5" t="s">
        <v>24</v>
      </c>
      <c r="W144" s="5" t="s">
        <v>24</v>
      </c>
      <c r="X144" s="5" t="s">
        <v>24</v>
      </c>
      <c r="Y144" s="5" t="s">
        <v>2802</v>
      </c>
      <c r="Z144" s="5" t="s">
        <v>2803</v>
      </c>
      <c r="AA144" s="5" t="s">
        <v>2803</v>
      </c>
      <c r="AB144" s="5" t="s">
        <v>2803</v>
      </c>
      <c r="AC144" s="5" t="s">
        <v>24</v>
      </c>
      <c r="AD144" s="5" t="s">
        <v>24</v>
      </c>
      <c r="AE144" s="5" t="s">
        <v>24</v>
      </c>
      <c r="AF144" s="5" t="s">
        <v>24</v>
      </c>
      <c r="AG144" s="5" t="s">
        <v>24</v>
      </c>
      <c r="AH144" s="5" t="s">
        <v>24</v>
      </c>
      <c r="AI144" s="5" t="s">
        <v>24</v>
      </c>
      <c r="AJ144" s="5" t="s">
        <v>24</v>
      </c>
      <c r="AK144" s="5" t="s">
        <v>24</v>
      </c>
      <c r="AL144" s="5" t="str">
        <f>VLOOKUP(mambo!$H144,Sheet1!B:C,2,FALSE)</f>
        <v>1340462</v>
      </c>
    </row>
    <row r="145" ht="15.75" customHeight="1">
      <c r="A145" s="5" t="s">
        <v>2804</v>
      </c>
      <c r="B145" s="5" t="s">
        <v>2805</v>
      </c>
      <c r="C145" s="5" t="s">
        <v>227</v>
      </c>
      <c r="D145" s="5" t="s">
        <v>24</v>
      </c>
      <c r="E145" s="5" t="s">
        <v>1848</v>
      </c>
      <c r="F145" s="5" t="s">
        <v>1849</v>
      </c>
      <c r="G145" s="5" t="s">
        <v>24</v>
      </c>
      <c r="H145" s="5" t="s">
        <v>410</v>
      </c>
      <c r="I145" s="5" t="s">
        <v>24</v>
      </c>
      <c r="J145" s="5" t="s">
        <v>24</v>
      </c>
      <c r="K145" s="5" t="s">
        <v>24</v>
      </c>
      <c r="L145" s="5" t="s">
        <v>24</v>
      </c>
      <c r="M145" s="5" t="s">
        <v>24</v>
      </c>
      <c r="N145" s="5" t="s">
        <v>24</v>
      </c>
      <c r="O145" s="5" t="s">
        <v>1933</v>
      </c>
      <c r="P145" s="5" t="s">
        <v>24</v>
      </c>
      <c r="Q145" s="5" t="s">
        <v>24</v>
      </c>
      <c r="R145" s="5" t="s">
        <v>24</v>
      </c>
      <c r="S145" s="5" t="s">
        <v>1852</v>
      </c>
      <c r="T145" s="5" t="s">
        <v>2363</v>
      </c>
      <c r="U145" s="5" t="s">
        <v>2363</v>
      </c>
      <c r="V145" s="5" t="s">
        <v>1854</v>
      </c>
      <c r="W145" s="5" t="s">
        <v>24</v>
      </c>
      <c r="X145" s="5" t="s">
        <v>24</v>
      </c>
      <c r="Y145" s="5" t="s">
        <v>2806</v>
      </c>
      <c r="Z145" s="5" t="s">
        <v>2807</v>
      </c>
      <c r="AA145" s="5" t="s">
        <v>2807</v>
      </c>
      <c r="AB145" s="5" t="s">
        <v>2807</v>
      </c>
      <c r="AC145" s="5" t="s">
        <v>2808</v>
      </c>
      <c r="AD145" s="5" t="s">
        <v>2809</v>
      </c>
      <c r="AE145" s="5" t="s">
        <v>2810</v>
      </c>
      <c r="AF145" s="5" t="s">
        <v>2811</v>
      </c>
      <c r="AG145" s="5" t="s">
        <v>24</v>
      </c>
      <c r="AH145" s="5" t="s">
        <v>24</v>
      </c>
      <c r="AI145" s="5" t="s">
        <v>24</v>
      </c>
      <c r="AJ145" s="5" t="s">
        <v>24</v>
      </c>
      <c r="AK145" s="5" t="s">
        <v>24</v>
      </c>
      <c r="AL145" s="5" t="str">
        <f>VLOOKUP(mambo!$H145,Sheet1!B:C,2,FALSE)</f>
        <v>1239491</v>
      </c>
    </row>
    <row r="146" ht="15.75" hidden="1" customHeight="1">
      <c r="A146" s="5" t="s">
        <v>2812</v>
      </c>
      <c r="B146" s="5" t="s">
        <v>2813</v>
      </c>
      <c r="C146" s="5" t="s">
        <v>2372</v>
      </c>
      <c r="D146" s="5" t="s">
        <v>24</v>
      </c>
      <c r="E146" s="5" t="s">
        <v>1848</v>
      </c>
      <c r="F146" s="5" t="s">
        <v>1849</v>
      </c>
      <c r="G146" s="5" t="s">
        <v>24</v>
      </c>
      <c r="H146" s="5" t="s">
        <v>2814</v>
      </c>
      <c r="I146" s="5" t="s">
        <v>24</v>
      </c>
      <c r="J146" s="5" t="s">
        <v>24</v>
      </c>
      <c r="K146" s="5" t="s">
        <v>24</v>
      </c>
      <c r="L146" s="5" t="s">
        <v>24</v>
      </c>
      <c r="M146" s="5" t="s">
        <v>1885</v>
      </c>
      <c r="N146" s="5" t="s">
        <v>24</v>
      </c>
      <c r="O146" s="5" t="s">
        <v>1917</v>
      </c>
      <c r="P146" s="5" t="s">
        <v>24</v>
      </c>
      <c r="Q146" s="5" t="s">
        <v>24</v>
      </c>
      <c r="R146" s="5" t="s">
        <v>24</v>
      </c>
      <c r="S146" s="5" t="s">
        <v>1852</v>
      </c>
      <c r="T146" s="5" t="s">
        <v>2502</v>
      </c>
      <c r="U146" s="5" t="s">
        <v>2502</v>
      </c>
      <c r="V146" s="5" t="s">
        <v>1854</v>
      </c>
      <c r="W146" s="5" t="s">
        <v>24</v>
      </c>
      <c r="X146" s="5" t="s">
        <v>24</v>
      </c>
      <c r="Y146" s="5" t="s">
        <v>2815</v>
      </c>
      <c r="Z146" s="5" t="s">
        <v>2816</v>
      </c>
      <c r="AA146" s="5" t="s">
        <v>2816</v>
      </c>
      <c r="AB146" s="5" t="s">
        <v>2816</v>
      </c>
      <c r="AC146" s="5" t="s">
        <v>24</v>
      </c>
      <c r="AD146" s="5" t="s">
        <v>24</v>
      </c>
      <c r="AE146" s="5" t="s">
        <v>24</v>
      </c>
      <c r="AF146" s="5" t="s">
        <v>24</v>
      </c>
      <c r="AG146" s="5" t="s">
        <v>24</v>
      </c>
      <c r="AH146" s="5" t="s">
        <v>24</v>
      </c>
      <c r="AI146" s="5" t="s">
        <v>24</v>
      </c>
      <c r="AJ146" s="5" t="s">
        <v>24</v>
      </c>
      <c r="AK146" s="5" t="s">
        <v>24</v>
      </c>
      <c r="AL146" s="5" t="str">
        <f>VLOOKUP(mambo!$H146,Sheet1!B:C,2,FALSE)</f>
        <v>#N/A</v>
      </c>
    </row>
    <row r="147" ht="15.75" hidden="1" customHeight="1">
      <c r="A147" s="5" t="s">
        <v>2817</v>
      </c>
      <c r="B147" s="5" t="s">
        <v>2818</v>
      </c>
      <c r="C147" s="5" t="s">
        <v>2372</v>
      </c>
      <c r="D147" s="5" t="s">
        <v>24</v>
      </c>
      <c r="E147" s="5" t="s">
        <v>1848</v>
      </c>
      <c r="F147" s="5" t="s">
        <v>1849</v>
      </c>
      <c r="G147" s="5" t="s">
        <v>24</v>
      </c>
      <c r="H147" s="5" t="s">
        <v>2819</v>
      </c>
      <c r="I147" s="5" t="s">
        <v>24</v>
      </c>
      <c r="J147" s="5" t="s">
        <v>24</v>
      </c>
      <c r="K147" s="5" t="s">
        <v>24</v>
      </c>
      <c r="L147" s="5" t="s">
        <v>24</v>
      </c>
      <c r="M147" s="5" t="s">
        <v>24</v>
      </c>
      <c r="N147" s="5" t="s">
        <v>24</v>
      </c>
      <c r="O147" s="5" t="s">
        <v>1851</v>
      </c>
      <c r="P147" s="5" t="s">
        <v>24</v>
      </c>
      <c r="Q147" s="5" t="s">
        <v>24</v>
      </c>
      <c r="R147" s="5" t="s">
        <v>24</v>
      </c>
      <c r="S147" s="5" t="s">
        <v>1852</v>
      </c>
      <c r="T147" s="5" t="s">
        <v>2820</v>
      </c>
      <c r="U147" s="5" t="s">
        <v>2820</v>
      </c>
      <c r="V147" s="5" t="s">
        <v>1854</v>
      </c>
      <c r="W147" s="5" t="s">
        <v>24</v>
      </c>
      <c r="X147" s="5" t="s">
        <v>24</v>
      </c>
      <c r="Y147" s="5" t="s">
        <v>2821</v>
      </c>
      <c r="Z147" s="5" t="s">
        <v>2822</v>
      </c>
      <c r="AA147" s="5" t="s">
        <v>2822</v>
      </c>
      <c r="AB147" s="5" t="s">
        <v>2822</v>
      </c>
      <c r="AC147" s="5" t="s">
        <v>2823</v>
      </c>
      <c r="AD147" s="5" t="s">
        <v>2824</v>
      </c>
      <c r="AE147" s="5" t="s">
        <v>24</v>
      </c>
      <c r="AF147" s="5" t="s">
        <v>24</v>
      </c>
      <c r="AG147" s="5" t="s">
        <v>24</v>
      </c>
      <c r="AH147" s="5" t="s">
        <v>24</v>
      </c>
      <c r="AI147" s="5" t="s">
        <v>24</v>
      </c>
      <c r="AJ147" s="5" t="s">
        <v>24</v>
      </c>
      <c r="AK147" s="5" t="s">
        <v>24</v>
      </c>
      <c r="AL147" s="5" t="str">
        <f>VLOOKUP(mambo!$H147,Sheet1!B:C,2,FALSE)</f>
        <v>#N/A</v>
      </c>
    </row>
    <row r="148" ht="15.75" customHeight="1">
      <c r="A148" s="5" t="s">
        <v>2825</v>
      </c>
      <c r="B148" s="5" t="s">
        <v>2826</v>
      </c>
      <c r="C148" s="5" t="s">
        <v>294</v>
      </c>
      <c r="D148" s="5" t="s">
        <v>24</v>
      </c>
      <c r="E148" s="5" t="s">
        <v>1848</v>
      </c>
      <c r="F148" s="5" t="s">
        <v>1849</v>
      </c>
      <c r="G148" s="5" t="s">
        <v>24</v>
      </c>
      <c r="H148" s="5" t="s">
        <v>601</v>
      </c>
      <c r="I148" s="5" t="s">
        <v>24</v>
      </c>
      <c r="J148" s="5" t="s">
        <v>24</v>
      </c>
      <c r="K148" s="5" t="s">
        <v>24</v>
      </c>
      <c r="L148" s="5" t="s">
        <v>24</v>
      </c>
      <c r="M148" s="5" t="s">
        <v>1885</v>
      </c>
      <c r="N148" s="5" t="s">
        <v>24</v>
      </c>
      <c r="O148" s="5" t="s">
        <v>1917</v>
      </c>
      <c r="P148" s="5" t="s">
        <v>24</v>
      </c>
      <c r="Q148" s="5" t="s">
        <v>24</v>
      </c>
      <c r="R148" s="5" t="s">
        <v>24</v>
      </c>
      <c r="S148" s="5" t="s">
        <v>1852</v>
      </c>
      <c r="T148" s="5" t="s">
        <v>2636</v>
      </c>
      <c r="U148" s="5" t="s">
        <v>2636</v>
      </c>
      <c r="V148" s="5" t="s">
        <v>1854</v>
      </c>
      <c r="W148" s="5" t="s">
        <v>24</v>
      </c>
      <c r="X148" s="5" t="s">
        <v>24</v>
      </c>
      <c r="Y148" s="5" t="s">
        <v>2827</v>
      </c>
      <c r="Z148" s="5" t="s">
        <v>2828</v>
      </c>
      <c r="AA148" s="5" t="s">
        <v>2828</v>
      </c>
      <c r="AB148" s="5" t="s">
        <v>2828</v>
      </c>
      <c r="AC148" s="5" t="s">
        <v>24</v>
      </c>
      <c r="AD148" s="5" t="s">
        <v>24</v>
      </c>
      <c r="AE148" s="5" t="s">
        <v>24</v>
      </c>
      <c r="AF148" s="5" t="s">
        <v>24</v>
      </c>
      <c r="AG148" s="5" t="s">
        <v>24</v>
      </c>
      <c r="AH148" s="5" t="s">
        <v>24</v>
      </c>
      <c r="AI148" s="5" t="s">
        <v>24</v>
      </c>
      <c r="AJ148" s="5" t="s">
        <v>24</v>
      </c>
      <c r="AK148" s="5" t="s">
        <v>24</v>
      </c>
      <c r="AL148" s="5" t="str">
        <f>VLOOKUP(mambo!$H148,Sheet1!B:C,2,FALSE)</f>
        <v>1225274</v>
      </c>
    </row>
    <row r="149" ht="15.75" customHeight="1">
      <c r="A149" s="5" t="s">
        <v>2829</v>
      </c>
      <c r="B149" s="5" t="s">
        <v>2830</v>
      </c>
      <c r="C149" s="5" t="s">
        <v>106</v>
      </c>
      <c r="D149" s="5" t="s">
        <v>24</v>
      </c>
      <c r="E149" s="5" t="s">
        <v>1848</v>
      </c>
      <c r="F149" s="5" t="s">
        <v>1849</v>
      </c>
      <c r="G149" s="5" t="s">
        <v>24</v>
      </c>
      <c r="H149" s="5" t="s">
        <v>156</v>
      </c>
      <c r="I149" s="5" t="s">
        <v>24</v>
      </c>
      <c r="J149" s="5" t="s">
        <v>24</v>
      </c>
      <c r="K149" s="5" t="s">
        <v>24</v>
      </c>
      <c r="L149" s="5" t="s">
        <v>24</v>
      </c>
      <c r="M149" s="5" t="s">
        <v>24</v>
      </c>
      <c r="N149" s="5" t="s">
        <v>24</v>
      </c>
      <c r="O149" s="5" t="s">
        <v>2148</v>
      </c>
      <c r="P149" s="5" t="s">
        <v>24</v>
      </c>
      <c r="Q149" s="5" t="s">
        <v>24</v>
      </c>
      <c r="R149" s="5" t="s">
        <v>24</v>
      </c>
      <c r="S149" s="5" t="s">
        <v>1852</v>
      </c>
      <c r="T149" s="5" t="s">
        <v>2831</v>
      </c>
      <c r="U149" s="5" t="s">
        <v>2831</v>
      </c>
      <c r="V149" s="5" t="s">
        <v>1854</v>
      </c>
      <c r="W149" s="5" t="s">
        <v>24</v>
      </c>
      <c r="X149" s="5" t="s">
        <v>24</v>
      </c>
      <c r="Y149" s="5" t="s">
        <v>2832</v>
      </c>
      <c r="Z149" s="5" t="s">
        <v>2833</v>
      </c>
      <c r="AA149" s="5" t="s">
        <v>2833</v>
      </c>
      <c r="AB149" s="5" t="s">
        <v>2833</v>
      </c>
      <c r="AC149" s="5" t="s">
        <v>24</v>
      </c>
      <c r="AD149" s="5" t="s">
        <v>24</v>
      </c>
      <c r="AE149" s="5" t="s">
        <v>24</v>
      </c>
      <c r="AF149" s="5" t="s">
        <v>24</v>
      </c>
      <c r="AG149" s="5" t="s">
        <v>24</v>
      </c>
      <c r="AH149" s="5" t="s">
        <v>24</v>
      </c>
      <c r="AI149" s="5" t="s">
        <v>24</v>
      </c>
      <c r="AJ149" s="5" t="s">
        <v>24</v>
      </c>
      <c r="AK149" s="5" t="s">
        <v>24</v>
      </c>
      <c r="AL149" s="5" t="str">
        <f>VLOOKUP(mambo!$H149,Sheet1!B:C,2,FALSE)</f>
        <v>0573658</v>
      </c>
    </row>
    <row r="150" ht="15.75" customHeight="1">
      <c r="A150" s="5" t="s">
        <v>2834</v>
      </c>
      <c r="B150" s="5" t="s">
        <v>2835</v>
      </c>
      <c r="C150" s="5" t="s">
        <v>145</v>
      </c>
      <c r="D150" s="5" t="s">
        <v>24</v>
      </c>
      <c r="E150" s="5" t="s">
        <v>1848</v>
      </c>
      <c r="F150" s="5" t="s">
        <v>1849</v>
      </c>
      <c r="G150" s="5" t="s">
        <v>24</v>
      </c>
      <c r="H150" s="5" t="s">
        <v>566</v>
      </c>
      <c r="I150" s="5" t="s">
        <v>24</v>
      </c>
      <c r="J150" s="5" t="s">
        <v>24</v>
      </c>
      <c r="K150" s="5" t="s">
        <v>24</v>
      </c>
      <c r="L150" s="5" t="s">
        <v>24</v>
      </c>
      <c r="M150" s="5" t="s">
        <v>24</v>
      </c>
      <c r="N150" s="5" t="s">
        <v>24</v>
      </c>
      <c r="O150" s="5" t="s">
        <v>1933</v>
      </c>
      <c r="P150" s="5" t="s">
        <v>24</v>
      </c>
      <c r="Q150" s="5" t="s">
        <v>24</v>
      </c>
      <c r="R150" s="5" t="s">
        <v>24</v>
      </c>
      <c r="S150" s="5" t="s">
        <v>1852</v>
      </c>
      <c r="T150" s="5" t="s">
        <v>2836</v>
      </c>
      <c r="U150" s="5" t="s">
        <v>2836</v>
      </c>
      <c r="V150" s="5" t="s">
        <v>1854</v>
      </c>
      <c r="W150" s="5" t="s">
        <v>24</v>
      </c>
      <c r="X150" s="5" t="s">
        <v>24</v>
      </c>
      <c r="Y150" s="5" t="s">
        <v>2837</v>
      </c>
      <c r="Z150" s="5" t="s">
        <v>2838</v>
      </c>
      <c r="AA150" s="5" t="s">
        <v>2838</v>
      </c>
      <c r="AB150" s="5" t="s">
        <v>2838</v>
      </c>
      <c r="AC150" s="5" t="s">
        <v>24</v>
      </c>
      <c r="AD150" s="5" t="s">
        <v>24</v>
      </c>
      <c r="AE150" s="5" t="s">
        <v>24</v>
      </c>
      <c r="AF150" s="5" t="s">
        <v>24</v>
      </c>
      <c r="AG150" s="5" t="s">
        <v>24</v>
      </c>
      <c r="AH150" s="5" t="s">
        <v>24</v>
      </c>
      <c r="AI150" s="5" t="s">
        <v>24</v>
      </c>
      <c r="AJ150" s="5" t="s">
        <v>24</v>
      </c>
      <c r="AK150" s="5" t="s">
        <v>24</v>
      </c>
      <c r="AL150" s="5" t="str">
        <f>VLOOKUP(mambo!$H150,Sheet1!B:C,2,FALSE)</f>
        <v>1229372</v>
      </c>
    </row>
    <row r="151" ht="15.75" customHeight="1">
      <c r="A151" s="5" t="s">
        <v>2839</v>
      </c>
      <c r="B151" s="5" t="s">
        <v>2840</v>
      </c>
      <c r="C151" s="5" t="s">
        <v>145</v>
      </c>
      <c r="D151" s="5" t="s">
        <v>24</v>
      </c>
      <c r="E151" s="5" t="s">
        <v>1848</v>
      </c>
      <c r="F151" s="5" t="s">
        <v>1849</v>
      </c>
      <c r="G151" s="5" t="s">
        <v>24</v>
      </c>
      <c r="H151" s="5" t="s">
        <v>274</v>
      </c>
      <c r="I151" s="5" t="s">
        <v>24</v>
      </c>
      <c r="J151" s="5" t="s">
        <v>24</v>
      </c>
      <c r="K151" s="5" t="s">
        <v>24</v>
      </c>
      <c r="L151" s="5" t="s">
        <v>24</v>
      </c>
      <c r="M151" s="5" t="s">
        <v>24</v>
      </c>
      <c r="N151" s="5" t="s">
        <v>24</v>
      </c>
      <c r="O151" s="5" t="s">
        <v>1933</v>
      </c>
      <c r="P151" s="5" t="s">
        <v>24</v>
      </c>
      <c r="Q151" s="5" t="s">
        <v>24</v>
      </c>
      <c r="R151" s="5" t="s">
        <v>24</v>
      </c>
      <c r="S151" s="5" t="s">
        <v>1852</v>
      </c>
      <c r="T151" s="5" t="s">
        <v>2836</v>
      </c>
      <c r="U151" s="5" t="s">
        <v>2836</v>
      </c>
      <c r="V151" s="5" t="s">
        <v>1854</v>
      </c>
      <c r="W151" s="5" t="s">
        <v>24</v>
      </c>
      <c r="X151" s="5" t="s">
        <v>24</v>
      </c>
      <c r="Y151" s="5" t="s">
        <v>2841</v>
      </c>
      <c r="Z151" s="5" t="s">
        <v>2842</v>
      </c>
      <c r="AA151" s="5" t="s">
        <v>2842</v>
      </c>
      <c r="AB151" s="5" t="s">
        <v>2842</v>
      </c>
      <c r="AC151" s="5" t="s">
        <v>2843</v>
      </c>
      <c r="AD151" s="5" t="s">
        <v>2844</v>
      </c>
      <c r="AE151" s="5" t="s">
        <v>24</v>
      </c>
      <c r="AF151" s="5" t="s">
        <v>24</v>
      </c>
      <c r="AG151" s="5" t="s">
        <v>24</v>
      </c>
      <c r="AH151" s="5" t="s">
        <v>24</v>
      </c>
      <c r="AI151" s="5" t="s">
        <v>24</v>
      </c>
      <c r="AJ151" s="5" t="s">
        <v>24</v>
      </c>
      <c r="AK151" s="5" t="s">
        <v>24</v>
      </c>
      <c r="AL151" s="5" t="str">
        <f>VLOOKUP(mambo!$H151,Sheet1!B:C,2,FALSE)</f>
        <v>1127758</v>
      </c>
    </row>
    <row r="152" ht="15.75" hidden="1" customHeight="1">
      <c r="A152" s="5" t="s">
        <v>2845</v>
      </c>
      <c r="B152" s="5" t="s">
        <v>2846</v>
      </c>
      <c r="C152" s="5" t="s">
        <v>145</v>
      </c>
      <c r="D152" s="5" t="s">
        <v>24</v>
      </c>
      <c r="E152" s="5" t="s">
        <v>1848</v>
      </c>
      <c r="F152" s="5" t="s">
        <v>1849</v>
      </c>
      <c r="G152" s="5" t="s">
        <v>24</v>
      </c>
      <c r="H152" s="5" t="s">
        <v>2847</v>
      </c>
      <c r="I152" s="5" t="s">
        <v>24</v>
      </c>
      <c r="J152" s="5" t="s">
        <v>24</v>
      </c>
      <c r="K152" s="5" t="s">
        <v>24</v>
      </c>
      <c r="L152" s="5" t="s">
        <v>24</v>
      </c>
      <c r="M152" s="5" t="s">
        <v>24</v>
      </c>
      <c r="N152" s="5" t="s">
        <v>24</v>
      </c>
      <c r="O152" s="5" t="s">
        <v>1933</v>
      </c>
      <c r="P152" s="5" t="s">
        <v>24</v>
      </c>
      <c r="Q152" s="5" t="s">
        <v>24</v>
      </c>
      <c r="R152" s="5" t="s">
        <v>24</v>
      </c>
      <c r="S152" s="5" t="s">
        <v>1852</v>
      </c>
      <c r="T152" s="5" t="s">
        <v>2848</v>
      </c>
      <c r="U152" s="5" t="s">
        <v>2848</v>
      </c>
      <c r="V152" s="5" t="s">
        <v>1854</v>
      </c>
      <c r="W152" s="5" t="s">
        <v>24</v>
      </c>
      <c r="X152" s="5" t="s">
        <v>24</v>
      </c>
      <c r="Y152" s="5" t="s">
        <v>2849</v>
      </c>
      <c r="Z152" s="5" t="s">
        <v>2850</v>
      </c>
      <c r="AA152" s="5" t="s">
        <v>2850</v>
      </c>
      <c r="AB152" s="5" t="s">
        <v>2850</v>
      </c>
      <c r="AC152" s="5" t="s">
        <v>24</v>
      </c>
      <c r="AD152" s="5" t="s">
        <v>24</v>
      </c>
      <c r="AE152" s="5" t="s">
        <v>24</v>
      </c>
      <c r="AF152" s="5" t="s">
        <v>24</v>
      </c>
      <c r="AG152" s="5" t="s">
        <v>24</v>
      </c>
      <c r="AH152" s="5" t="s">
        <v>24</v>
      </c>
      <c r="AI152" s="5" t="s">
        <v>24</v>
      </c>
      <c r="AJ152" s="5" t="s">
        <v>24</v>
      </c>
      <c r="AK152" s="5" t="s">
        <v>24</v>
      </c>
      <c r="AL152" s="5" t="str">
        <f>VLOOKUP(mambo!$H152,Sheet1!B:C,2,FALSE)</f>
        <v>#N/A</v>
      </c>
    </row>
    <row r="153" ht="15.75" hidden="1" customHeight="1">
      <c r="A153" s="5" t="s">
        <v>2851</v>
      </c>
      <c r="B153" s="5" t="s">
        <v>2852</v>
      </c>
      <c r="C153" s="5" t="s">
        <v>145</v>
      </c>
      <c r="D153" s="5" t="s">
        <v>24</v>
      </c>
      <c r="E153" s="5" t="s">
        <v>1848</v>
      </c>
      <c r="F153" s="5" t="s">
        <v>1849</v>
      </c>
      <c r="G153" s="5" t="s">
        <v>24</v>
      </c>
      <c r="H153" s="5" t="s">
        <v>2853</v>
      </c>
      <c r="I153" s="5" t="s">
        <v>24</v>
      </c>
      <c r="J153" s="5" t="s">
        <v>24</v>
      </c>
      <c r="K153" s="5" t="s">
        <v>24</v>
      </c>
      <c r="L153" s="5" t="s">
        <v>24</v>
      </c>
      <c r="M153" s="5" t="s">
        <v>24</v>
      </c>
      <c r="N153" s="5" t="s">
        <v>24</v>
      </c>
      <c r="O153" s="5" t="s">
        <v>1933</v>
      </c>
      <c r="P153" s="5" t="s">
        <v>24</v>
      </c>
      <c r="Q153" s="5" t="s">
        <v>24</v>
      </c>
      <c r="R153" s="5" t="s">
        <v>24</v>
      </c>
      <c r="S153" s="5" t="s">
        <v>1852</v>
      </c>
      <c r="T153" s="5" t="s">
        <v>2836</v>
      </c>
      <c r="U153" s="5" t="s">
        <v>2836</v>
      </c>
      <c r="V153" s="5" t="s">
        <v>1854</v>
      </c>
      <c r="W153" s="5" t="s">
        <v>24</v>
      </c>
      <c r="X153" s="5" t="s">
        <v>24</v>
      </c>
      <c r="Y153" s="5" t="s">
        <v>2854</v>
      </c>
      <c r="Z153" s="5" t="s">
        <v>2855</v>
      </c>
      <c r="AA153" s="5" t="s">
        <v>2855</v>
      </c>
      <c r="AB153" s="5" t="s">
        <v>2855</v>
      </c>
      <c r="AC153" s="5" t="s">
        <v>2856</v>
      </c>
      <c r="AD153" s="5" t="s">
        <v>2857</v>
      </c>
      <c r="AE153" s="5" t="s">
        <v>24</v>
      </c>
      <c r="AF153" s="5" t="s">
        <v>24</v>
      </c>
      <c r="AG153" s="5" t="s">
        <v>24</v>
      </c>
      <c r="AH153" s="5" t="s">
        <v>24</v>
      </c>
      <c r="AI153" s="5" t="s">
        <v>24</v>
      </c>
      <c r="AJ153" s="5" t="s">
        <v>24</v>
      </c>
      <c r="AK153" s="5" t="s">
        <v>24</v>
      </c>
      <c r="AL153" s="5" t="str">
        <f>VLOOKUP(mambo!$H153,Sheet1!B:C,2,FALSE)</f>
        <v>#N/A</v>
      </c>
    </row>
    <row r="154" ht="15.75" customHeight="1">
      <c r="A154" s="5" t="s">
        <v>2858</v>
      </c>
      <c r="B154" s="5" t="s">
        <v>2859</v>
      </c>
      <c r="C154" s="5" t="s">
        <v>145</v>
      </c>
      <c r="D154" s="5" t="s">
        <v>24</v>
      </c>
      <c r="E154" s="5" t="s">
        <v>1848</v>
      </c>
      <c r="F154" s="5" t="s">
        <v>1849</v>
      </c>
      <c r="G154" s="5" t="s">
        <v>24</v>
      </c>
      <c r="H154" s="5" t="s">
        <v>524</v>
      </c>
      <c r="I154" s="5" t="s">
        <v>24</v>
      </c>
      <c r="J154" s="5" t="s">
        <v>24</v>
      </c>
      <c r="K154" s="5" t="s">
        <v>24</v>
      </c>
      <c r="L154" s="5" t="s">
        <v>24</v>
      </c>
      <c r="M154" s="5" t="s">
        <v>24</v>
      </c>
      <c r="N154" s="5" t="s">
        <v>24</v>
      </c>
      <c r="O154" s="5" t="s">
        <v>1933</v>
      </c>
      <c r="P154" s="5" t="s">
        <v>24</v>
      </c>
      <c r="Q154" s="5" t="s">
        <v>24</v>
      </c>
      <c r="R154" s="5" t="s">
        <v>24</v>
      </c>
      <c r="S154" s="5" t="s">
        <v>1852</v>
      </c>
      <c r="T154" s="5" t="s">
        <v>2066</v>
      </c>
      <c r="U154" s="5" t="s">
        <v>2066</v>
      </c>
      <c r="V154" s="5" t="s">
        <v>1854</v>
      </c>
      <c r="W154" s="5" t="s">
        <v>24</v>
      </c>
      <c r="X154" s="5" t="s">
        <v>24</v>
      </c>
      <c r="Y154" s="5" t="s">
        <v>2860</v>
      </c>
      <c r="Z154" s="5" t="s">
        <v>2861</v>
      </c>
      <c r="AA154" s="5" t="s">
        <v>2861</v>
      </c>
      <c r="AB154" s="5" t="s">
        <v>2861</v>
      </c>
      <c r="AC154" s="5" t="s">
        <v>24</v>
      </c>
      <c r="AD154" s="5" t="s">
        <v>24</v>
      </c>
      <c r="AE154" s="5" t="s">
        <v>24</v>
      </c>
      <c r="AF154" s="5" t="s">
        <v>24</v>
      </c>
      <c r="AG154" s="5" t="s">
        <v>24</v>
      </c>
      <c r="AH154" s="5" t="s">
        <v>24</v>
      </c>
      <c r="AI154" s="5" t="s">
        <v>24</v>
      </c>
      <c r="AJ154" s="5" t="s">
        <v>24</v>
      </c>
      <c r="AK154" s="5" t="s">
        <v>24</v>
      </c>
      <c r="AL154" s="5" t="str">
        <f>VLOOKUP(mambo!$H154,Sheet1!B:C,2,FALSE)</f>
        <v>1127759</v>
      </c>
    </row>
    <row r="155" ht="15.75" hidden="1" customHeight="1">
      <c r="A155" s="5" t="s">
        <v>2862</v>
      </c>
      <c r="B155" s="5" t="s">
        <v>2863</v>
      </c>
      <c r="C155" s="5" t="s">
        <v>227</v>
      </c>
      <c r="D155" s="5" t="s">
        <v>24</v>
      </c>
      <c r="E155" s="5" t="s">
        <v>1848</v>
      </c>
      <c r="F155" s="5" t="s">
        <v>1849</v>
      </c>
      <c r="G155" s="5" t="s">
        <v>24</v>
      </c>
      <c r="H155" s="5" t="s">
        <v>2864</v>
      </c>
      <c r="I155" s="5" t="s">
        <v>24</v>
      </c>
      <c r="J155" s="5" t="s">
        <v>24</v>
      </c>
      <c r="K155" s="5" t="s">
        <v>24</v>
      </c>
      <c r="L155" s="5" t="s">
        <v>24</v>
      </c>
      <c r="M155" s="5" t="s">
        <v>24</v>
      </c>
      <c r="N155" s="5" t="s">
        <v>24</v>
      </c>
      <c r="O155" s="5" t="s">
        <v>1933</v>
      </c>
      <c r="P155" s="5" t="s">
        <v>24</v>
      </c>
      <c r="Q155" s="5" t="s">
        <v>24</v>
      </c>
      <c r="R155" s="5" t="s">
        <v>24</v>
      </c>
      <c r="S155" s="5" t="s">
        <v>1852</v>
      </c>
      <c r="T155" s="5" t="s">
        <v>2260</v>
      </c>
      <c r="U155" s="5" t="s">
        <v>2260</v>
      </c>
      <c r="V155" s="5" t="s">
        <v>1854</v>
      </c>
      <c r="W155" s="5" t="s">
        <v>24</v>
      </c>
      <c r="X155" s="5" t="s">
        <v>24</v>
      </c>
      <c r="Y155" s="5" t="s">
        <v>2865</v>
      </c>
      <c r="Z155" s="5" t="s">
        <v>2866</v>
      </c>
      <c r="AA155" s="5" t="s">
        <v>2866</v>
      </c>
      <c r="AB155" s="5" t="s">
        <v>2866</v>
      </c>
      <c r="AC155" s="5" t="s">
        <v>2867</v>
      </c>
      <c r="AD155" s="5" t="s">
        <v>2868</v>
      </c>
      <c r="AE155" s="5" t="s">
        <v>2869</v>
      </c>
      <c r="AF155" s="5" t="s">
        <v>2870</v>
      </c>
      <c r="AG155" s="5" t="s">
        <v>2871</v>
      </c>
      <c r="AH155" s="5" t="s">
        <v>2872</v>
      </c>
      <c r="AI155" s="5" t="s">
        <v>24</v>
      </c>
      <c r="AJ155" s="5" t="s">
        <v>24</v>
      </c>
      <c r="AK155" s="5" t="s">
        <v>24</v>
      </c>
      <c r="AL155" s="5" t="str">
        <f>VLOOKUP(mambo!$H155,Sheet1!B:C,2,FALSE)</f>
        <v>#N/A</v>
      </c>
    </row>
    <row r="156" ht="15.75" customHeight="1">
      <c r="A156" s="5" t="s">
        <v>2873</v>
      </c>
      <c r="B156" s="5" t="s">
        <v>2874</v>
      </c>
      <c r="C156" s="5" t="s">
        <v>529</v>
      </c>
      <c r="D156" s="5" t="s">
        <v>24</v>
      </c>
      <c r="E156" s="5" t="s">
        <v>1848</v>
      </c>
      <c r="F156" s="5" t="s">
        <v>1849</v>
      </c>
      <c r="G156" s="5" t="s">
        <v>24</v>
      </c>
      <c r="H156" s="5" t="s">
        <v>1318</v>
      </c>
      <c r="I156" s="5" t="s">
        <v>24</v>
      </c>
      <c r="J156" s="5" t="s">
        <v>24</v>
      </c>
      <c r="K156" s="5" t="s">
        <v>24</v>
      </c>
      <c r="L156" s="5" t="s">
        <v>24</v>
      </c>
      <c r="M156" s="5" t="s">
        <v>24</v>
      </c>
      <c r="N156" s="5" t="s">
        <v>24</v>
      </c>
      <c r="O156" s="5" t="s">
        <v>1851</v>
      </c>
      <c r="P156" s="5" t="s">
        <v>24</v>
      </c>
      <c r="Q156" s="5" t="s">
        <v>24</v>
      </c>
      <c r="R156" s="5" t="s">
        <v>24</v>
      </c>
      <c r="S156" s="5" t="s">
        <v>1852</v>
      </c>
      <c r="T156" s="5" t="s">
        <v>2724</v>
      </c>
      <c r="U156" s="5" t="s">
        <v>2724</v>
      </c>
      <c r="V156" s="5" t="s">
        <v>1854</v>
      </c>
      <c r="W156" s="5" t="s">
        <v>24</v>
      </c>
      <c r="X156" s="5" t="s">
        <v>24</v>
      </c>
      <c r="Y156" s="5" t="s">
        <v>2875</v>
      </c>
      <c r="Z156" s="5" t="s">
        <v>2876</v>
      </c>
      <c r="AA156" s="5" t="s">
        <v>2876</v>
      </c>
      <c r="AB156" s="5" t="s">
        <v>2876</v>
      </c>
      <c r="AC156" s="5" t="s">
        <v>24</v>
      </c>
      <c r="AD156" s="5" t="s">
        <v>24</v>
      </c>
      <c r="AE156" s="5" t="s">
        <v>24</v>
      </c>
      <c r="AF156" s="5" t="s">
        <v>24</v>
      </c>
      <c r="AG156" s="5" t="s">
        <v>24</v>
      </c>
      <c r="AH156" s="5" t="s">
        <v>24</v>
      </c>
      <c r="AI156" s="5" t="s">
        <v>24</v>
      </c>
      <c r="AJ156" s="5" t="s">
        <v>24</v>
      </c>
      <c r="AK156" s="5" t="s">
        <v>24</v>
      </c>
      <c r="AL156" s="5" t="str">
        <f>VLOOKUP(mambo!$H156,Sheet1!B:C,2,FALSE)</f>
        <v>0573382</v>
      </c>
    </row>
    <row r="157" ht="15.75" customHeight="1">
      <c r="A157" s="5" t="s">
        <v>2877</v>
      </c>
      <c r="B157" s="5" t="s">
        <v>2878</v>
      </c>
      <c r="C157" s="5" t="s">
        <v>117</v>
      </c>
      <c r="D157" s="5" t="s">
        <v>24</v>
      </c>
      <c r="E157" s="5" t="s">
        <v>1848</v>
      </c>
      <c r="F157" s="5" t="s">
        <v>1849</v>
      </c>
      <c r="G157" s="5" t="s">
        <v>24</v>
      </c>
      <c r="H157" s="5" t="s">
        <v>61</v>
      </c>
      <c r="I157" s="5" t="s">
        <v>24</v>
      </c>
      <c r="J157" s="5" t="s">
        <v>24</v>
      </c>
      <c r="K157" s="5" t="s">
        <v>24</v>
      </c>
      <c r="L157" s="5" t="s">
        <v>24</v>
      </c>
      <c r="M157" s="5" t="s">
        <v>24</v>
      </c>
      <c r="N157" s="5" t="s">
        <v>24</v>
      </c>
      <c r="O157" s="5" t="s">
        <v>1851</v>
      </c>
      <c r="P157" s="5" t="s">
        <v>24</v>
      </c>
      <c r="Q157" s="5" t="s">
        <v>24</v>
      </c>
      <c r="R157" s="5" t="s">
        <v>24</v>
      </c>
      <c r="S157" s="5" t="s">
        <v>1852</v>
      </c>
      <c r="T157" s="5" t="s">
        <v>2271</v>
      </c>
      <c r="U157" s="5" t="s">
        <v>2271</v>
      </c>
      <c r="V157" s="5" t="s">
        <v>1854</v>
      </c>
      <c r="W157" s="5" t="s">
        <v>24</v>
      </c>
      <c r="X157" s="5" t="s">
        <v>24</v>
      </c>
      <c r="Y157" s="5" t="s">
        <v>2879</v>
      </c>
      <c r="Z157" s="5" t="s">
        <v>2880</v>
      </c>
      <c r="AA157" s="5" t="s">
        <v>2880</v>
      </c>
      <c r="AB157" s="5" t="s">
        <v>2880</v>
      </c>
      <c r="AC157" s="5" t="s">
        <v>2881</v>
      </c>
      <c r="AD157" s="5" t="s">
        <v>2882</v>
      </c>
      <c r="AE157" s="5" t="s">
        <v>24</v>
      </c>
      <c r="AF157" s="5" t="s">
        <v>24</v>
      </c>
      <c r="AG157" s="5" t="s">
        <v>24</v>
      </c>
      <c r="AH157" s="5" t="s">
        <v>24</v>
      </c>
      <c r="AI157" s="5" t="s">
        <v>24</v>
      </c>
      <c r="AJ157" s="5" t="s">
        <v>24</v>
      </c>
      <c r="AK157" s="5" t="s">
        <v>24</v>
      </c>
      <c r="AL157" s="5" t="str">
        <f>VLOOKUP(mambo!$H157,Sheet1!B:C,2,FALSE)</f>
        <v>0561495</v>
      </c>
    </row>
    <row r="158" ht="15.75" customHeight="1">
      <c r="A158" s="5" t="s">
        <v>2883</v>
      </c>
      <c r="B158" s="5" t="s">
        <v>2884</v>
      </c>
      <c r="C158" s="5" t="s">
        <v>106</v>
      </c>
      <c r="D158" s="5" t="s">
        <v>24</v>
      </c>
      <c r="E158" s="5" t="s">
        <v>1848</v>
      </c>
      <c r="F158" s="5" t="s">
        <v>1849</v>
      </c>
      <c r="G158" s="5" t="s">
        <v>24</v>
      </c>
      <c r="H158" s="5" t="s">
        <v>96</v>
      </c>
      <c r="I158" s="5" t="s">
        <v>24</v>
      </c>
      <c r="J158" s="5" t="s">
        <v>24</v>
      </c>
      <c r="K158" s="5" t="s">
        <v>24</v>
      </c>
      <c r="L158" s="5" t="s">
        <v>24</v>
      </c>
      <c r="M158" s="5" t="s">
        <v>24</v>
      </c>
      <c r="N158" s="5" t="s">
        <v>24</v>
      </c>
      <c r="O158" s="5" t="s">
        <v>1933</v>
      </c>
      <c r="P158" s="5" t="s">
        <v>24</v>
      </c>
      <c r="Q158" s="5" t="s">
        <v>24</v>
      </c>
      <c r="R158" s="5" t="s">
        <v>24</v>
      </c>
      <c r="S158" s="5" t="s">
        <v>1852</v>
      </c>
      <c r="T158" s="5" t="s">
        <v>2885</v>
      </c>
      <c r="U158" s="5" t="s">
        <v>2885</v>
      </c>
      <c r="V158" s="5" t="s">
        <v>1854</v>
      </c>
      <c r="W158" s="5" t="s">
        <v>24</v>
      </c>
      <c r="X158" s="5" t="s">
        <v>24</v>
      </c>
      <c r="Y158" s="5" t="s">
        <v>2886</v>
      </c>
      <c r="Z158" s="5" t="s">
        <v>2887</v>
      </c>
      <c r="AA158" s="5" t="s">
        <v>2887</v>
      </c>
      <c r="AB158" s="5" t="s">
        <v>2887</v>
      </c>
      <c r="AC158" s="5" t="s">
        <v>2888</v>
      </c>
      <c r="AD158" s="5" t="s">
        <v>2889</v>
      </c>
      <c r="AE158" s="5" t="s">
        <v>24</v>
      </c>
      <c r="AF158" s="5" t="s">
        <v>24</v>
      </c>
      <c r="AG158" s="5" t="s">
        <v>24</v>
      </c>
      <c r="AH158" s="5" t="s">
        <v>24</v>
      </c>
      <c r="AI158" s="5" t="s">
        <v>24</v>
      </c>
      <c r="AJ158" s="5" t="s">
        <v>24</v>
      </c>
      <c r="AK158" s="5" t="s">
        <v>24</v>
      </c>
      <c r="AL158" s="5" t="str">
        <f>VLOOKUP(mambo!$H158,Sheet1!B:C,2,FALSE)</f>
        <v>2013992</v>
      </c>
    </row>
    <row r="159" ht="15.75" customHeight="1">
      <c r="A159" s="5" t="s">
        <v>2890</v>
      </c>
      <c r="B159" s="5" t="s">
        <v>2891</v>
      </c>
      <c r="C159" s="5" t="s">
        <v>106</v>
      </c>
      <c r="D159" s="5" t="s">
        <v>24</v>
      </c>
      <c r="E159" s="5" t="s">
        <v>1848</v>
      </c>
      <c r="F159" s="5" t="s">
        <v>1849</v>
      </c>
      <c r="G159" s="5" t="s">
        <v>24</v>
      </c>
      <c r="H159" s="5" t="s">
        <v>187</v>
      </c>
      <c r="I159" s="5" t="s">
        <v>24</v>
      </c>
      <c r="J159" s="5" t="s">
        <v>24</v>
      </c>
      <c r="K159" s="5" t="s">
        <v>24</v>
      </c>
      <c r="L159" s="5" t="s">
        <v>24</v>
      </c>
      <c r="M159" s="5" t="s">
        <v>24</v>
      </c>
      <c r="N159" s="5" t="s">
        <v>24</v>
      </c>
      <c r="O159" s="5" t="s">
        <v>1851</v>
      </c>
      <c r="P159" s="5" t="s">
        <v>24</v>
      </c>
      <c r="Q159" s="5" t="s">
        <v>24</v>
      </c>
      <c r="R159" s="5" t="s">
        <v>24</v>
      </c>
      <c r="S159" s="5" t="s">
        <v>1852</v>
      </c>
      <c r="T159" s="5" t="s">
        <v>2892</v>
      </c>
      <c r="U159" s="5" t="s">
        <v>2892</v>
      </c>
      <c r="V159" s="5" t="s">
        <v>1854</v>
      </c>
      <c r="W159" s="5" t="s">
        <v>24</v>
      </c>
      <c r="X159" s="5" t="s">
        <v>24</v>
      </c>
      <c r="Y159" s="5" t="s">
        <v>2893</v>
      </c>
      <c r="Z159" s="5" t="s">
        <v>2894</v>
      </c>
      <c r="AA159" s="5" t="s">
        <v>2894</v>
      </c>
      <c r="AB159" s="5" t="s">
        <v>2894</v>
      </c>
      <c r="AC159" s="5" t="s">
        <v>2895</v>
      </c>
      <c r="AD159" s="5" t="s">
        <v>2896</v>
      </c>
      <c r="AE159" s="5" t="s">
        <v>24</v>
      </c>
      <c r="AF159" s="5" t="s">
        <v>24</v>
      </c>
      <c r="AG159" s="5" t="s">
        <v>24</v>
      </c>
      <c r="AH159" s="5" t="s">
        <v>24</v>
      </c>
      <c r="AI159" s="5" t="s">
        <v>24</v>
      </c>
      <c r="AJ159" s="5" t="s">
        <v>24</v>
      </c>
      <c r="AK159" s="5" t="s">
        <v>24</v>
      </c>
      <c r="AL159" s="5" t="str">
        <f>VLOOKUP(mambo!$H159,Sheet1!B:C,2,FALSE)</f>
        <v>1914795</v>
      </c>
    </row>
    <row r="160" ht="15.75" hidden="1" customHeight="1">
      <c r="A160" s="5" t="s">
        <v>2897</v>
      </c>
      <c r="B160" s="5" t="s">
        <v>2898</v>
      </c>
      <c r="C160" s="5" t="s">
        <v>106</v>
      </c>
      <c r="D160" s="5" t="s">
        <v>24</v>
      </c>
      <c r="E160" s="5" t="s">
        <v>1848</v>
      </c>
      <c r="F160" s="5" t="s">
        <v>1849</v>
      </c>
      <c r="G160" s="5" t="s">
        <v>24</v>
      </c>
      <c r="H160" s="5" t="s">
        <v>2899</v>
      </c>
      <c r="I160" s="5" t="s">
        <v>24</v>
      </c>
      <c r="J160" s="5" t="s">
        <v>24</v>
      </c>
      <c r="K160" s="5" t="s">
        <v>24</v>
      </c>
      <c r="L160" s="5" t="s">
        <v>24</v>
      </c>
      <c r="M160" s="5" t="s">
        <v>24</v>
      </c>
      <c r="N160" s="5" t="s">
        <v>24</v>
      </c>
      <c r="O160" s="5" t="s">
        <v>1933</v>
      </c>
      <c r="P160" s="5" t="s">
        <v>24</v>
      </c>
      <c r="Q160" s="5" t="s">
        <v>24</v>
      </c>
      <c r="R160" s="5" t="s">
        <v>24</v>
      </c>
      <c r="S160" s="5" t="s">
        <v>1852</v>
      </c>
      <c r="T160" s="5" t="s">
        <v>2900</v>
      </c>
      <c r="U160" s="5" t="s">
        <v>2900</v>
      </c>
      <c r="V160" s="5" t="s">
        <v>1854</v>
      </c>
      <c r="W160" s="5" t="s">
        <v>24</v>
      </c>
      <c r="X160" s="5" t="s">
        <v>24</v>
      </c>
      <c r="Y160" s="5" t="s">
        <v>2901</v>
      </c>
      <c r="Z160" s="5" t="s">
        <v>2902</v>
      </c>
      <c r="AA160" s="5" t="s">
        <v>2902</v>
      </c>
      <c r="AB160" s="5" t="s">
        <v>2902</v>
      </c>
      <c r="AC160" s="5" t="s">
        <v>2903</v>
      </c>
      <c r="AD160" s="5" t="s">
        <v>2904</v>
      </c>
      <c r="AE160" s="5" t="s">
        <v>24</v>
      </c>
      <c r="AF160" s="5" t="s">
        <v>24</v>
      </c>
      <c r="AG160" s="5" t="s">
        <v>24</v>
      </c>
      <c r="AH160" s="5" t="s">
        <v>24</v>
      </c>
      <c r="AI160" s="5" t="s">
        <v>24</v>
      </c>
      <c r="AJ160" s="5" t="s">
        <v>24</v>
      </c>
      <c r="AK160" s="5" t="s">
        <v>24</v>
      </c>
      <c r="AL160" s="5" t="str">
        <f>VLOOKUP(mambo!$H160,Sheet1!B:C,2,FALSE)</f>
        <v>#N/A</v>
      </c>
    </row>
    <row r="161" ht="15.75" customHeight="1">
      <c r="A161" s="5" t="s">
        <v>2905</v>
      </c>
      <c r="B161" s="5" t="s">
        <v>2906</v>
      </c>
      <c r="C161" s="5" t="s">
        <v>106</v>
      </c>
      <c r="D161" s="5" t="s">
        <v>24</v>
      </c>
      <c r="E161" s="5" t="s">
        <v>1848</v>
      </c>
      <c r="F161" s="5" t="s">
        <v>1849</v>
      </c>
      <c r="G161" s="5" t="s">
        <v>24</v>
      </c>
      <c r="H161" s="5" t="s">
        <v>352</v>
      </c>
      <c r="I161" s="5" t="s">
        <v>24</v>
      </c>
      <c r="J161" s="5" t="s">
        <v>24</v>
      </c>
      <c r="K161" s="5" t="s">
        <v>24</v>
      </c>
      <c r="L161" s="5" t="s">
        <v>24</v>
      </c>
      <c r="M161" s="5" t="s">
        <v>24</v>
      </c>
      <c r="N161" s="5" t="s">
        <v>24</v>
      </c>
      <c r="O161" s="5" t="s">
        <v>1851</v>
      </c>
      <c r="P161" s="5" t="s">
        <v>24</v>
      </c>
      <c r="Q161" s="5" t="s">
        <v>24</v>
      </c>
      <c r="R161" s="5" t="s">
        <v>24</v>
      </c>
      <c r="S161" s="5" t="s">
        <v>1852</v>
      </c>
      <c r="T161" s="5" t="s">
        <v>1861</v>
      </c>
      <c r="U161" s="5" t="s">
        <v>1861</v>
      </c>
      <c r="V161" s="5" t="s">
        <v>1854</v>
      </c>
      <c r="W161" s="5" t="s">
        <v>24</v>
      </c>
      <c r="X161" s="5" t="s">
        <v>24</v>
      </c>
      <c r="Y161" s="5" t="s">
        <v>2907</v>
      </c>
      <c r="Z161" s="5" t="s">
        <v>2908</v>
      </c>
      <c r="AA161" s="5" t="s">
        <v>2908</v>
      </c>
      <c r="AB161" s="5" t="s">
        <v>2908</v>
      </c>
      <c r="AC161" s="5" t="s">
        <v>2909</v>
      </c>
      <c r="AD161" s="5" t="s">
        <v>2910</v>
      </c>
      <c r="AE161" s="5" t="s">
        <v>24</v>
      </c>
      <c r="AF161" s="5" t="s">
        <v>24</v>
      </c>
      <c r="AG161" s="5" t="s">
        <v>24</v>
      </c>
      <c r="AH161" s="5" t="s">
        <v>24</v>
      </c>
      <c r="AI161" s="5" t="s">
        <v>24</v>
      </c>
      <c r="AJ161" s="5" t="s">
        <v>24</v>
      </c>
      <c r="AK161" s="5" t="s">
        <v>24</v>
      </c>
      <c r="AL161" s="5" t="str">
        <f>VLOOKUP(mambo!$H161,Sheet1!B:C,2,FALSE)</f>
        <v>1148948</v>
      </c>
    </row>
    <row r="162" ht="15.75" customHeight="1">
      <c r="A162" s="5" t="s">
        <v>2911</v>
      </c>
      <c r="B162" s="5" t="s">
        <v>2912</v>
      </c>
      <c r="C162" s="5" t="s">
        <v>227</v>
      </c>
      <c r="D162" s="5" t="s">
        <v>24</v>
      </c>
      <c r="E162" s="5" t="s">
        <v>1848</v>
      </c>
      <c r="F162" s="5" t="s">
        <v>1849</v>
      </c>
      <c r="G162" s="5" t="s">
        <v>24</v>
      </c>
      <c r="H162" s="5" t="s">
        <v>431</v>
      </c>
      <c r="I162" s="5" t="s">
        <v>24</v>
      </c>
      <c r="J162" s="5" t="s">
        <v>24</v>
      </c>
      <c r="K162" s="5" t="s">
        <v>24</v>
      </c>
      <c r="L162" s="5" t="s">
        <v>24</v>
      </c>
      <c r="M162" s="5" t="s">
        <v>24</v>
      </c>
      <c r="N162" s="5" t="s">
        <v>24</v>
      </c>
      <c r="O162" s="5" t="s">
        <v>1933</v>
      </c>
      <c r="P162" s="5" t="s">
        <v>24</v>
      </c>
      <c r="Q162" s="5" t="s">
        <v>24</v>
      </c>
      <c r="R162" s="5" t="s">
        <v>24</v>
      </c>
      <c r="S162" s="5" t="s">
        <v>1852</v>
      </c>
      <c r="T162" s="5" t="s">
        <v>2260</v>
      </c>
      <c r="U162" s="5" t="s">
        <v>2260</v>
      </c>
      <c r="V162" s="5" t="s">
        <v>1854</v>
      </c>
      <c r="W162" s="5" t="s">
        <v>24</v>
      </c>
      <c r="X162" s="5" t="s">
        <v>24</v>
      </c>
      <c r="Y162" s="5" t="s">
        <v>2913</v>
      </c>
      <c r="Z162" s="5" t="s">
        <v>2914</v>
      </c>
      <c r="AA162" s="5" t="s">
        <v>2914</v>
      </c>
      <c r="AB162" s="5" t="s">
        <v>2914</v>
      </c>
      <c r="AC162" s="5" t="s">
        <v>2915</v>
      </c>
      <c r="AD162" s="5" t="s">
        <v>2916</v>
      </c>
      <c r="AE162" s="5" t="s">
        <v>2917</v>
      </c>
      <c r="AF162" s="5" t="s">
        <v>2918</v>
      </c>
      <c r="AG162" s="5" t="s">
        <v>24</v>
      </c>
      <c r="AH162" s="5" t="s">
        <v>24</v>
      </c>
      <c r="AI162" s="5" t="s">
        <v>24</v>
      </c>
      <c r="AJ162" s="5" t="s">
        <v>24</v>
      </c>
      <c r="AK162" s="5" t="s">
        <v>24</v>
      </c>
      <c r="AL162" s="5" t="str">
        <f>VLOOKUP(mambo!$H162,Sheet1!B:C,2,FALSE)</f>
        <v>4805991</v>
      </c>
    </row>
    <row r="163" ht="15.75" customHeight="1">
      <c r="A163" s="5" t="s">
        <v>2919</v>
      </c>
      <c r="B163" s="5" t="s">
        <v>2920</v>
      </c>
      <c r="C163" s="5" t="s">
        <v>227</v>
      </c>
      <c r="D163" s="5" t="s">
        <v>24</v>
      </c>
      <c r="E163" s="5" t="s">
        <v>1848</v>
      </c>
      <c r="F163" s="5" t="s">
        <v>1849</v>
      </c>
      <c r="G163" s="5" t="s">
        <v>24</v>
      </c>
      <c r="H163" s="5" t="s">
        <v>36</v>
      </c>
      <c r="I163" s="5" t="s">
        <v>24</v>
      </c>
      <c r="J163" s="5" t="s">
        <v>24</v>
      </c>
      <c r="K163" s="5" t="s">
        <v>24</v>
      </c>
      <c r="L163" s="5" t="s">
        <v>24</v>
      </c>
      <c r="M163" s="5" t="s">
        <v>24</v>
      </c>
      <c r="N163" s="5" t="s">
        <v>24</v>
      </c>
      <c r="O163" s="5" t="s">
        <v>1851</v>
      </c>
      <c r="P163" s="5" t="s">
        <v>24</v>
      </c>
      <c r="Q163" s="5" t="s">
        <v>24</v>
      </c>
      <c r="R163" s="5" t="s">
        <v>24</v>
      </c>
      <c r="S163" s="5" t="s">
        <v>1852</v>
      </c>
      <c r="T163" s="5" t="s">
        <v>1872</v>
      </c>
      <c r="U163" s="5" t="s">
        <v>1872</v>
      </c>
      <c r="V163" s="5" t="s">
        <v>1854</v>
      </c>
      <c r="W163" s="5" t="s">
        <v>24</v>
      </c>
      <c r="X163" s="5" t="s">
        <v>24</v>
      </c>
      <c r="Y163" s="5" t="s">
        <v>2921</v>
      </c>
      <c r="Z163" s="5" t="s">
        <v>2922</v>
      </c>
      <c r="AA163" s="5" t="s">
        <v>2922</v>
      </c>
      <c r="AB163" s="5" t="s">
        <v>2922</v>
      </c>
      <c r="AC163" s="5" t="s">
        <v>2923</v>
      </c>
      <c r="AD163" s="5" t="s">
        <v>2924</v>
      </c>
      <c r="AE163" s="5" t="s">
        <v>2925</v>
      </c>
      <c r="AF163" s="5" t="s">
        <v>2926</v>
      </c>
      <c r="AG163" s="5" t="s">
        <v>24</v>
      </c>
      <c r="AH163" s="5" t="s">
        <v>24</v>
      </c>
      <c r="AI163" s="5" t="s">
        <v>24</v>
      </c>
      <c r="AJ163" s="5" t="s">
        <v>24</v>
      </c>
      <c r="AK163" s="5" t="s">
        <v>24</v>
      </c>
      <c r="AL163" s="5" t="str">
        <f>VLOOKUP(mambo!$H163,Sheet1!B:C,2,FALSE)</f>
        <v>0590655</v>
      </c>
    </row>
    <row r="164" ht="15.75" customHeight="1">
      <c r="A164" s="5" t="s">
        <v>2927</v>
      </c>
      <c r="B164" s="5" t="s">
        <v>2928</v>
      </c>
      <c r="C164" s="5" t="s">
        <v>320</v>
      </c>
      <c r="D164" s="5" t="s">
        <v>24</v>
      </c>
      <c r="E164" s="5" t="s">
        <v>1848</v>
      </c>
      <c r="F164" s="5" t="s">
        <v>1849</v>
      </c>
      <c r="G164" s="5" t="s">
        <v>24</v>
      </c>
      <c r="H164" s="5" t="s">
        <v>405</v>
      </c>
      <c r="I164" s="5" t="s">
        <v>24</v>
      </c>
      <c r="J164" s="5" t="s">
        <v>24</v>
      </c>
      <c r="K164" s="5" t="s">
        <v>24</v>
      </c>
      <c r="L164" s="5" t="s">
        <v>24</v>
      </c>
      <c r="M164" s="5" t="s">
        <v>24</v>
      </c>
      <c r="N164" s="5" t="s">
        <v>24</v>
      </c>
      <c r="O164" s="5" t="s">
        <v>1851</v>
      </c>
      <c r="P164" s="5" t="s">
        <v>24</v>
      </c>
      <c r="Q164" s="5" t="s">
        <v>24</v>
      </c>
      <c r="R164" s="5" t="s">
        <v>24</v>
      </c>
      <c r="S164" s="5" t="s">
        <v>1852</v>
      </c>
      <c r="T164" s="5" t="s">
        <v>2929</v>
      </c>
      <c r="U164" s="5" t="s">
        <v>2929</v>
      </c>
      <c r="V164" s="5" t="s">
        <v>1854</v>
      </c>
      <c r="W164" s="5" t="s">
        <v>24</v>
      </c>
      <c r="X164" s="5" t="s">
        <v>24</v>
      </c>
      <c r="Y164" s="5" t="s">
        <v>2930</v>
      </c>
      <c r="Z164" s="5" t="s">
        <v>2931</v>
      </c>
      <c r="AA164" s="5" t="s">
        <v>2931</v>
      </c>
      <c r="AB164" s="5" t="s">
        <v>2931</v>
      </c>
      <c r="AC164" s="5" t="s">
        <v>24</v>
      </c>
      <c r="AD164" s="5" t="s">
        <v>24</v>
      </c>
      <c r="AE164" s="5" t="s">
        <v>24</v>
      </c>
      <c r="AF164" s="5" t="s">
        <v>24</v>
      </c>
      <c r="AG164" s="5" t="s">
        <v>24</v>
      </c>
      <c r="AH164" s="5" t="s">
        <v>24</v>
      </c>
      <c r="AI164" s="5" t="s">
        <v>24</v>
      </c>
      <c r="AJ164" s="5" t="s">
        <v>24</v>
      </c>
      <c r="AK164" s="5" t="s">
        <v>24</v>
      </c>
      <c r="AL164" s="5" t="str">
        <f>VLOOKUP(mambo!$H164,Sheet1!B:C,2,FALSE)</f>
        <v>0250665</v>
      </c>
    </row>
    <row r="165" ht="15.75" hidden="1" customHeight="1">
      <c r="A165" s="5" t="s">
        <v>2932</v>
      </c>
      <c r="B165" s="5" t="s">
        <v>2933</v>
      </c>
      <c r="C165" s="5" t="s">
        <v>2300</v>
      </c>
      <c r="D165" s="5" t="s">
        <v>24</v>
      </c>
      <c r="E165" s="5" t="s">
        <v>1848</v>
      </c>
      <c r="F165" s="5" t="s">
        <v>1849</v>
      </c>
      <c r="G165" s="5" t="s">
        <v>24</v>
      </c>
      <c r="H165" s="5" t="s">
        <v>2934</v>
      </c>
      <c r="I165" s="5" t="s">
        <v>24</v>
      </c>
      <c r="J165" s="5" t="s">
        <v>24</v>
      </c>
      <c r="K165" s="5" t="s">
        <v>24</v>
      </c>
      <c r="L165" s="5" t="s">
        <v>24</v>
      </c>
      <c r="M165" s="5" t="s">
        <v>24</v>
      </c>
      <c r="N165" s="5" t="s">
        <v>24</v>
      </c>
      <c r="O165" s="5" t="s">
        <v>1851</v>
      </c>
      <c r="P165" s="5" t="s">
        <v>24</v>
      </c>
      <c r="Q165" s="5" t="s">
        <v>24</v>
      </c>
      <c r="R165" s="5" t="s">
        <v>24</v>
      </c>
      <c r="S165" s="5" t="s">
        <v>1852</v>
      </c>
      <c r="T165" s="5" t="s">
        <v>2302</v>
      </c>
      <c r="U165" s="5" t="s">
        <v>2302</v>
      </c>
      <c r="V165" s="5" t="s">
        <v>1854</v>
      </c>
      <c r="W165" s="5" t="s">
        <v>24</v>
      </c>
      <c r="X165" s="5" t="s">
        <v>24</v>
      </c>
      <c r="Y165" s="5" t="s">
        <v>2935</v>
      </c>
      <c r="Z165" s="5" t="s">
        <v>2936</v>
      </c>
      <c r="AA165" s="5" t="s">
        <v>2936</v>
      </c>
      <c r="AB165" s="5" t="s">
        <v>2936</v>
      </c>
      <c r="AC165" s="5" t="s">
        <v>24</v>
      </c>
      <c r="AD165" s="5" t="s">
        <v>24</v>
      </c>
      <c r="AE165" s="5" t="s">
        <v>24</v>
      </c>
      <c r="AF165" s="5" t="s">
        <v>24</v>
      </c>
      <c r="AG165" s="5" t="s">
        <v>24</v>
      </c>
      <c r="AH165" s="5" t="s">
        <v>24</v>
      </c>
      <c r="AI165" s="5" t="s">
        <v>24</v>
      </c>
      <c r="AJ165" s="5" t="s">
        <v>24</v>
      </c>
      <c r="AK165" s="5" t="s">
        <v>24</v>
      </c>
      <c r="AL165" s="5" t="str">
        <f>VLOOKUP(mambo!$H165,Sheet1!B:C,2,FALSE)</f>
        <v>#N/A</v>
      </c>
    </row>
    <row r="166" ht="15.75" customHeight="1">
      <c r="A166" s="5" t="s">
        <v>2937</v>
      </c>
      <c r="B166" s="5" t="s">
        <v>2938</v>
      </c>
      <c r="C166" s="5" t="s">
        <v>117</v>
      </c>
      <c r="D166" s="5" t="s">
        <v>24</v>
      </c>
      <c r="E166" s="5" t="s">
        <v>1848</v>
      </c>
      <c r="F166" s="5" t="s">
        <v>1849</v>
      </c>
      <c r="G166" s="5" t="s">
        <v>24</v>
      </c>
      <c r="H166" s="5" t="s">
        <v>86</v>
      </c>
      <c r="I166" s="5" t="s">
        <v>24</v>
      </c>
      <c r="J166" s="5" t="s">
        <v>24</v>
      </c>
      <c r="K166" s="5" t="s">
        <v>24</v>
      </c>
      <c r="L166" s="5" t="s">
        <v>24</v>
      </c>
      <c r="M166" s="5" t="s">
        <v>24</v>
      </c>
      <c r="N166" s="5" t="s">
        <v>24</v>
      </c>
      <c r="O166" s="5" t="s">
        <v>1851</v>
      </c>
      <c r="P166" s="5" t="s">
        <v>24</v>
      </c>
      <c r="Q166" s="5" t="s">
        <v>24</v>
      </c>
      <c r="R166" s="5" t="s">
        <v>24</v>
      </c>
      <c r="S166" s="5" t="s">
        <v>1852</v>
      </c>
      <c r="T166" s="5" t="s">
        <v>2271</v>
      </c>
      <c r="U166" s="5" t="s">
        <v>2271</v>
      </c>
      <c r="V166" s="5" t="s">
        <v>1854</v>
      </c>
      <c r="W166" s="5" t="s">
        <v>24</v>
      </c>
      <c r="X166" s="5" t="s">
        <v>24</v>
      </c>
      <c r="Y166" s="5" t="s">
        <v>2939</v>
      </c>
      <c r="Z166" s="5" t="s">
        <v>2940</v>
      </c>
      <c r="AA166" s="5" t="s">
        <v>2940</v>
      </c>
      <c r="AB166" s="5" t="s">
        <v>2940</v>
      </c>
      <c r="AC166" s="5" t="s">
        <v>2941</v>
      </c>
      <c r="AD166" s="5" t="s">
        <v>2942</v>
      </c>
      <c r="AE166" s="5" t="s">
        <v>24</v>
      </c>
      <c r="AF166" s="5" t="s">
        <v>24</v>
      </c>
      <c r="AG166" s="5" t="s">
        <v>24</v>
      </c>
      <c r="AH166" s="5" t="s">
        <v>24</v>
      </c>
      <c r="AI166" s="5" t="s">
        <v>24</v>
      </c>
      <c r="AJ166" s="5" t="s">
        <v>24</v>
      </c>
      <c r="AK166" s="5" t="s">
        <v>24</v>
      </c>
      <c r="AL166" s="5" t="str">
        <f>VLOOKUP(mambo!$H166,Sheet1!B:C,2,FALSE)</f>
        <v>1076459</v>
      </c>
    </row>
    <row r="167" ht="15.75" customHeight="1">
      <c r="A167" s="5" t="s">
        <v>2943</v>
      </c>
      <c r="B167" s="5" t="s">
        <v>2944</v>
      </c>
      <c r="C167" s="5" t="s">
        <v>106</v>
      </c>
      <c r="D167" s="5" t="s">
        <v>24</v>
      </c>
      <c r="E167" s="5" t="s">
        <v>1848</v>
      </c>
      <c r="F167" s="5" t="s">
        <v>1849</v>
      </c>
      <c r="G167" s="5" t="s">
        <v>24</v>
      </c>
      <c r="H167" s="5" t="s">
        <v>197</v>
      </c>
      <c r="I167" s="5" t="s">
        <v>24</v>
      </c>
      <c r="J167" s="5" t="s">
        <v>24</v>
      </c>
      <c r="K167" s="5" t="s">
        <v>24</v>
      </c>
      <c r="L167" s="5" t="s">
        <v>24</v>
      </c>
      <c r="M167" s="5" t="s">
        <v>24</v>
      </c>
      <c r="N167" s="5" t="s">
        <v>24</v>
      </c>
      <c r="O167" s="5" t="s">
        <v>1933</v>
      </c>
      <c r="P167" s="5" t="s">
        <v>24</v>
      </c>
      <c r="Q167" s="5" t="s">
        <v>24</v>
      </c>
      <c r="R167" s="5" t="s">
        <v>24</v>
      </c>
      <c r="S167" s="5" t="s">
        <v>1852</v>
      </c>
      <c r="T167" s="5" t="s">
        <v>2885</v>
      </c>
      <c r="U167" s="5" t="s">
        <v>2885</v>
      </c>
      <c r="V167" s="5" t="s">
        <v>1854</v>
      </c>
      <c r="W167" s="5" t="s">
        <v>24</v>
      </c>
      <c r="X167" s="5" t="s">
        <v>24</v>
      </c>
      <c r="Y167" s="5" t="s">
        <v>2945</v>
      </c>
      <c r="Z167" s="5" t="s">
        <v>2946</v>
      </c>
      <c r="AA167" s="5" t="s">
        <v>2946</v>
      </c>
      <c r="AB167" s="5" t="s">
        <v>2946</v>
      </c>
      <c r="AC167" s="5" t="s">
        <v>2947</v>
      </c>
      <c r="AD167" s="5" t="s">
        <v>2948</v>
      </c>
      <c r="AE167" s="5" t="s">
        <v>24</v>
      </c>
      <c r="AF167" s="5" t="s">
        <v>24</v>
      </c>
      <c r="AG167" s="5" t="s">
        <v>24</v>
      </c>
      <c r="AH167" s="5" t="s">
        <v>24</v>
      </c>
      <c r="AI167" s="5" t="s">
        <v>24</v>
      </c>
      <c r="AJ167" s="5" t="s">
        <v>24</v>
      </c>
      <c r="AK167" s="5" t="s">
        <v>24</v>
      </c>
      <c r="AL167" s="5" t="str">
        <f>VLOOKUP(mambo!$H167,Sheet1!B:C,2,FALSE)</f>
        <v>0250702</v>
      </c>
    </row>
    <row r="168" ht="15.75" customHeight="1">
      <c r="A168" s="5" t="s">
        <v>2949</v>
      </c>
      <c r="B168" s="5" t="s">
        <v>2950</v>
      </c>
      <c r="C168" s="5" t="s">
        <v>106</v>
      </c>
      <c r="D168" s="5" t="s">
        <v>24</v>
      </c>
      <c r="E168" s="5" t="s">
        <v>1848</v>
      </c>
      <c r="F168" s="5" t="s">
        <v>1849</v>
      </c>
      <c r="G168" s="5" t="s">
        <v>24</v>
      </c>
      <c r="H168" s="5" t="s">
        <v>107</v>
      </c>
      <c r="I168" s="5" t="s">
        <v>24</v>
      </c>
      <c r="J168" s="5" t="s">
        <v>24</v>
      </c>
      <c r="K168" s="5" t="s">
        <v>24</v>
      </c>
      <c r="L168" s="5" t="s">
        <v>24</v>
      </c>
      <c r="M168" s="5" t="s">
        <v>24</v>
      </c>
      <c r="N168" s="5" t="s">
        <v>24</v>
      </c>
      <c r="O168" s="5" t="s">
        <v>1851</v>
      </c>
      <c r="P168" s="5" t="s">
        <v>24</v>
      </c>
      <c r="Q168" s="5" t="s">
        <v>24</v>
      </c>
      <c r="R168" s="5" t="s">
        <v>24</v>
      </c>
      <c r="S168" s="5" t="s">
        <v>1852</v>
      </c>
      <c r="T168" s="5" t="s">
        <v>1861</v>
      </c>
      <c r="U168" s="5" t="s">
        <v>1861</v>
      </c>
      <c r="V168" s="5" t="s">
        <v>1854</v>
      </c>
      <c r="W168" s="5" t="s">
        <v>24</v>
      </c>
      <c r="X168" s="5" t="s">
        <v>24</v>
      </c>
      <c r="Y168" s="5" t="s">
        <v>2951</v>
      </c>
      <c r="Z168" s="5" t="s">
        <v>2952</v>
      </c>
      <c r="AA168" s="5" t="s">
        <v>2952</v>
      </c>
      <c r="AB168" s="5" t="s">
        <v>2952</v>
      </c>
      <c r="AC168" s="5" t="s">
        <v>24</v>
      </c>
      <c r="AD168" s="5" t="s">
        <v>24</v>
      </c>
      <c r="AE168" s="5" t="s">
        <v>24</v>
      </c>
      <c r="AF168" s="5" t="s">
        <v>24</v>
      </c>
      <c r="AG168" s="5" t="s">
        <v>24</v>
      </c>
      <c r="AH168" s="5" t="s">
        <v>24</v>
      </c>
      <c r="AI168" s="5" t="s">
        <v>24</v>
      </c>
      <c r="AJ168" s="5" t="s">
        <v>24</v>
      </c>
      <c r="AK168" s="5" t="s">
        <v>24</v>
      </c>
      <c r="AL168" s="5" t="str">
        <f>VLOOKUP(mambo!$H168,Sheet1!B:C,2,FALSE)</f>
        <v>0250719</v>
      </c>
    </row>
    <row r="169" ht="15.75" hidden="1" customHeight="1">
      <c r="A169" s="5" t="s">
        <v>2953</v>
      </c>
      <c r="B169" s="5" t="s">
        <v>2954</v>
      </c>
      <c r="C169" s="5" t="s">
        <v>1961</v>
      </c>
      <c r="D169" s="5" t="s">
        <v>24</v>
      </c>
      <c r="E169" s="5" t="s">
        <v>1848</v>
      </c>
      <c r="F169" s="5" t="s">
        <v>1849</v>
      </c>
      <c r="G169" s="5" t="s">
        <v>24</v>
      </c>
      <c r="H169" s="5" t="s">
        <v>2955</v>
      </c>
      <c r="I169" s="5" t="s">
        <v>24</v>
      </c>
      <c r="J169" s="5" t="s">
        <v>24</v>
      </c>
      <c r="K169" s="5" t="s">
        <v>24</v>
      </c>
      <c r="L169" s="5" t="s">
        <v>24</v>
      </c>
      <c r="M169" s="5" t="s">
        <v>1885</v>
      </c>
      <c r="N169" s="5" t="s">
        <v>24</v>
      </c>
      <c r="O169" s="5" t="s">
        <v>1917</v>
      </c>
      <c r="P169" s="5" t="s">
        <v>24</v>
      </c>
      <c r="Q169" s="5" t="s">
        <v>24</v>
      </c>
      <c r="R169" s="5" t="s">
        <v>24</v>
      </c>
      <c r="S169" s="5" t="s">
        <v>1852</v>
      </c>
      <c r="T169" s="5" t="s">
        <v>2458</v>
      </c>
      <c r="U169" s="5" t="s">
        <v>2458</v>
      </c>
      <c r="V169" s="5" t="s">
        <v>1854</v>
      </c>
      <c r="W169" s="5" t="s">
        <v>24</v>
      </c>
      <c r="X169" s="5" t="s">
        <v>24</v>
      </c>
      <c r="Y169" s="5" t="s">
        <v>2956</v>
      </c>
      <c r="Z169" s="5" t="s">
        <v>2957</v>
      </c>
      <c r="AA169" s="5" t="s">
        <v>2957</v>
      </c>
      <c r="AB169" s="5" t="s">
        <v>2957</v>
      </c>
      <c r="AC169" s="5" t="s">
        <v>24</v>
      </c>
      <c r="AD169" s="5" t="s">
        <v>24</v>
      </c>
      <c r="AE169" s="5" t="s">
        <v>24</v>
      </c>
      <c r="AF169" s="5" t="s">
        <v>24</v>
      </c>
      <c r="AG169" s="5" t="s">
        <v>24</v>
      </c>
      <c r="AH169" s="5" t="s">
        <v>24</v>
      </c>
      <c r="AI169" s="5" t="s">
        <v>24</v>
      </c>
      <c r="AJ169" s="5" t="s">
        <v>24</v>
      </c>
      <c r="AK169" s="5" t="s">
        <v>24</v>
      </c>
      <c r="AL169" s="5" t="str">
        <f>VLOOKUP(mambo!$H169,Sheet1!B:C,2,FALSE)</f>
        <v>#N/A</v>
      </c>
    </row>
    <row r="170" ht="15.75" hidden="1" customHeight="1">
      <c r="A170" s="5" t="s">
        <v>2958</v>
      </c>
      <c r="B170" s="5" t="s">
        <v>2959</v>
      </c>
      <c r="C170" s="5" t="s">
        <v>1961</v>
      </c>
      <c r="D170" s="5" t="s">
        <v>24</v>
      </c>
      <c r="E170" s="5" t="s">
        <v>1848</v>
      </c>
      <c r="F170" s="5" t="s">
        <v>1849</v>
      </c>
      <c r="G170" s="5" t="s">
        <v>24</v>
      </c>
      <c r="H170" s="5" t="s">
        <v>2960</v>
      </c>
      <c r="I170" s="5" t="s">
        <v>24</v>
      </c>
      <c r="J170" s="5" t="s">
        <v>24</v>
      </c>
      <c r="K170" s="5" t="s">
        <v>24</v>
      </c>
      <c r="L170" s="5" t="s">
        <v>24</v>
      </c>
      <c r="M170" s="5" t="s">
        <v>1885</v>
      </c>
      <c r="N170" s="5" t="s">
        <v>24</v>
      </c>
      <c r="O170" s="5" t="s">
        <v>1917</v>
      </c>
      <c r="P170" s="5" t="s">
        <v>24</v>
      </c>
      <c r="Q170" s="5" t="s">
        <v>24</v>
      </c>
      <c r="R170" s="5" t="s">
        <v>24</v>
      </c>
      <c r="S170" s="5" t="s">
        <v>1852</v>
      </c>
      <c r="T170" s="5" t="s">
        <v>2458</v>
      </c>
      <c r="U170" s="5" t="s">
        <v>2458</v>
      </c>
      <c r="V170" s="5" t="s">
        <v>1854</v>
      </c>
      <c r="W170" s="5" t="s">
        <v>24</v>
      </c>
      <c r="X170" s="5" t="s">
        <v>24</v>
      </c>
      <c r="Y170" s="5" t="s">
        <v>2961</v>
      </c>
      <c r="Z170" s="5" t="s">
        <v>2962</v>
      </c>
      <c r="AA170" s="5" t="s">
        <v>2962</v>
      </c>
      <c r="AB170" s="5" t="s">
        <v>2962</v>
      </c>
      <c r="AC170" s="5" t="s">
        <v>24</v>
      </c>
      <c r="AD170" s="5" t="s">
        <v>24</v>
      </c>
      <c r="AE170" s="5" t="s">
        <v>24</v>
      </c>
      <c r="AF170" s="5" t="s">
        <v>24</v>
      </c>
      <c r="AG170" s="5" t="s">
        <v>24</v>
      </c>
      <c r="AH170" s="5" t="s">
        <v>24</v>
      </c>
      <c r="AI170" s="5" t="s">
        <v>24</v>
      </c>
      <c r="AJ170" s="5" t="s">
        <v>24</v>
      </c>
      <c r="AK170" s="5" t="s">
        <v>24</v>
      </c>
      <c r="AL170" s="5" t="str">
        <f>VLOOKUP(mambo!$H170,Sheet1!B:C,2,FALSE)</f>
        <v>#N/A</v>
      </c>
    </row>
    <row r="171" ht="15.75" customHeight="1">
      <c r="A171" s="5" t="s">
        <v>2963</v>
      </c>
      <c r="B171" s="5" t="s">
        <v>2964</v>
      </c>
      <c r="C171" s="5" t="s">
        <v>139</v>
      </c>
      <c r="D171" s="5" t="s">
        <v>24</v>
      </c>
      <c r="E171" s="5" t="s">
        <v>1848</v>
      </c>
      <c r="F171" s="5" t="s">
        <v>1849</v>
      </c>
      <c r="G171" s="5" t="s">
        <v>24</v>
      </c>
      <c r="H171" s="5" t="s">
        <v>561</v>
      </c>
      <c r="I171" s="5" t="s">
        <v>24</v>
      </c>
      <c r="J171" s="5" t="s">
        <v>24</v>
      </c>
      <c r="K171" s="5" t="s">
        <v>24</v>
      </c>
      <c r="L171" s="5" t="s">
        <v>24</v>
      </c>
      <c r="M171" s="5" t="s">
        <v>24</v>
      </c>
      <c r="N171" s="5" t="s">
        <v>24</v>
      </c>
      <c r="O171" s="5" t="s">
        <v>1933</v>
      </c>
      <c r="P171" s="5" t="s">
        <v>24</v>
      </c>
      <c r="Q171" s="5" t="s">
        <v>24</v>
      </c>
      <c r="R171" s="5" t="s">
        <v>24</v>
      </c>
      <c r="S171" s="5" t="s">
        <v>1852</v>
      </c>
      <c r="T171" s="5" t="s">
        <v>2066</v>
      </c>
      <c r="U171" s="5" t="s">
        <v>2066</v>
      </c>
      <c r="V171" s="5" t="s">
        <v>1854</v>
      </c>
      <c r="W171" s="5" t="s">
        <v>24</v>
      </c>
      <c r="X171" s="5" t="s">
        <v>24</v>
      </c>
      <c r="Y171" s="5" t="s">
        <v>2965</v>
      </c>
      <c r="Z171" s="5" t="s">
        <v>2966</v>
      </c>
      <c r="AA171" s="5" t="s">
        <v>2966</v>
      </c>
      <c r="AB171" s="5" t="s">
        <v>2966</v>
      </c>
      <c r="AC171" s="5" t="s">
        <v>2967</v>
      </c>
      <c r="AD171" s="5" t="s">
        <v>2968</v>
      </c>
      <c r="AE171" s="5" t="s">
        <v>24</v>
      </c>
      <c r="AF171" s="5" t="s">
        <v>24</v>
      </c>
      <c r="AG171" s="5" t="s">
        <v>24</v>
      </c>
      <c r="AH171" s="5" t="s">
        <v>24</v>
      </c>
      <c r="AI171" s="5" t="s">
        <v>24</v>
      </c>
      <c r="AJ171" s="5" t="s">
        <v>24</v>
      </c>
      <c r="AK171" s="5" t="s">
        <v>24</v>
      </c>
      <c r="AL171" s="5" t="str">
        <f>VLOOKUP(mambo!$H171,Sheet1!B:C,2,FALSE)</f>
        <v>1194410</v>
      </c>
    </row>
    <row r="172" ht="15.75" hidden="1" customHeight="1">
      <c r="A172" s="5" t="s">
        <v>2969</v>
      </c>
      <c r="B172" s="5" t="s">
        <v>2970</v>
      </c>
      <c r="C172" s="5" t="s">
        <v>503</v>
      </c>
      <c r="D172" s="5" t="s">
        <v>24</v>
      </c>
      <c r="E172" s="5" t="s">
        <v>1848</v>
      </c>
      <c r="F172" s="5" t="s">
        <v>1849</v>
      </c>
      <c r="G172" s="5" t="s">
        <v>24</v>
      </c>
      <c r="H172" s="5" t="s">
        <v>2971</v>
      </c>
      <c r="I172" s="5" t="s">
        <v>24</v>
      </c>
      <c r="J172" s="5" t="s">
        <v>24</v>
      </c>
      <c r="K172" s="5" t="s">
        <v>24</v>
      </c>
      <c r="L172" s="5" t="s">
        <v>24</v>
      </c>
      <c r="M172" s="5" t="s">
        <v>1885</v>
      </c>
      <c r="N172" s="5" t="s">
        <v>24</v>
      </c>
      <c r="O172" s="5" t="s">
        <v>1886</v>
      </c>
      <c r="P172" s="5" t="s">
        <v>24</v>
      </c>
      <c r="Q172" s="5" t="s">
        <v>24</v>
      </c>
      <c r="R172" s="5" t="s">
        <v>24</v>
      </c>
      <c r="S172" s="5" t="s">
        <v>1852</v>
      </c>
      <c r="T172" s="5" t="s">
        <v>1923</v>
      </c>
      <c r="U172" s="5" t="s">
        <v>1923</v>
      </c>
      <c r="V172" s="5" t="s">
        <v>1854</v>
      </c>
      <c r="W172" s="5" t="s">
        <v>24</v>
      </c>
      <c r="X172" s="5" t="s">
        <v>24</v>
      </c>
      <c r="Y172" s="5" t="s">
        <v>2972</v>
      </c>
      <c r="Z172" s="5" t="s">
        <v>2973</v>
      </c>
      <c r="AA172" s="5" t="s">
        <v>2973</v>
      </c>
      <c r="AB172" s="5" t="s">
        <v>2973</v>
      </c>
      <c r="AC172" s="5" t="s">
        <v>2974</v>
      </c>
      <c r="AD172" s="5" t="s">
        <v>2975</v>
      </c>
      <c r="AE172" s="5" t="s">
        <v>2976</v>
      </c>
      <c r="AF172" s="5" t="s">
        <v>2977</v>
      </c>
      <c r="AG172" s="5" t="s">
        <v>2978</v>
      </c>
      <c r="AH172" s="5" t="s">
        <v>2979</v>
      </c>
      <c r="AI172" s="5" t="s">
        <v>2980</v>
      </c>
      <c r="AJ172" s="5" t="s">
        <v>24</v>
      </c>
      <c r="AK172" s="5" t="s">
        <v>24</v>
      </c>
      <c r="AL172" s="5" t="str">
        <f>VLOOKUP(mambo!$H172,Sheet1!B:C,2,FALSE)</f>
        <v>#N/A</v>
      </c>
    </row>
    <row r="173" ht="15.75" hidden="1" customHeight="1">
      <c r="A173" s="5" t="s">
        <v>2981</v>
      </c>
      <c r="B173" s="5" t="s">
        <v>2982</v>
      </c>
      <c r="C173" s="5" t="s">
        <v>227</v>
      </c>
      <c r="D173" s="5" t="s">
        <v>24</v>
      </c>
      <c r="E173" s="5" t="s">
        <v>1848</v>
      </c>
      <c r="F173" s="5" t="s">
        <v>1849</v>
      </c>
      <c r="G173" s="5" t="s">
        <v>24</v>
      </c>
      <c r="H173" s="5" t="s">
        <v>2983</v>
      </c>
      <c r="I173" s="5" t="s">
        <v>24</v>
      </c>
      <c r="J173" s="5" t="s">
        <v>24</v>
      </c>
      <c r="K173" s="5" t="s">
        <v>24</v>
      </c>
      <c r="L173" s="5" t="s">
        <v>24</v>
      </c>
      <c r="M173" s="5" t="s">
        <v>24</v>
      </c>
      <c r="N173" s="5" t="s">
        <v>24</v>
      </c>
      <c r="O173" s="5" t="s">
        <v>2984</v>
      </c>
      <c r="P173" s="5" t="s">
        <v>24</v>
      </c>
      <c r="Q173" s="5" t="s">
        <v>24</v>
      </c>
      <c r="R173" s="5" t="s">
        <v>24</v>
      </c>
      <c r="S173" s="5" t="s">
        <v>2020</v>
      </c>
      <c r="T173" s="5" t="s">
        <v>2021</v>
      </c>
      <c r="U173" s="5" t="s">
        <v>2021</v>
      </c>
      <c r="V173" s="5" t="s">
        <v>24</v>
      </c>
      <c r="W173" s="5" t="s">
        <v>24</v>
      </c>
      <c r="X173" s="5" t="s">
        <v>24</v>
      </c>
      <c r="Y173" s="5" t="s">
        <v>2985</v>
      </c>
      <c r="Z173" s="5" t="s">
        <v>2986</v>
      </c>
      <c r="AA173" s="5" t="s">
        <v>2986</v>
      </c>
      <c r="AB173" s="5" t="s">
        <v>2986</v>
      </c>
      <c r="AC173" s="5" t="s">
        <v>24</v>
      </c>
      <c r="AD173" s="5" t="s">
        <v>24</v>
      </c>
      <c r="AE173" s="5" t="s">
        <v>24</v>
      </c>
      <c r="AF173" s="5" t="s">
        <v>24</v>
      </c>
      <c r="AG173" s="5" t="s">
        <v>24</v>
      </c>
      <c r="AH173" s="5" t="s">
        <v>24</v>
      </c>
      <c r="AI173" s="5" t="s">
        <v>24</v>
      </c>
      <c r="AJ173" s="5" t="s">
        <v>24</v>
      </c>
      <c r="AK173" s="5" t="s">
        <v>24</v>
      </c>
      <c r="AL173" s="5" t="str">
        <f>VLOOKUP(mambo!$H173,Sheet1!B:C,2,FALSE)</f>
        <v>#N/A</v>
      </c>
    </row>
    <row r="174" ht="15.75" hidden="1" customHeight="1">
      <c r="A174" s="5" t="s">
        <v>2987</v>
      </c>
      <c r="B174" s="5" t="s">
        <v>2988</v>
      </c>
      <c r="C174" s="5" t="s">
        <v>227</v>
      </c>
      <c r="D174" s="5" t="s">
        <v>24</v>
      </c>
      <c r="E174" s="5" t="s">
        <v>1848</v>
      </c>
      <c r="F174" s="5" t="s">
        <v>1849</v>
      </c>
      <c r="G174" s="5" t="s">
        <v>24</v>
      </c>
      <c r="H174" s="5" t="s">
        <v>2989</v>
      </c>
      <c r="I174" s="5" t="s">
        <v>24</v>
      </c>
      <c r="J174" s="5" t="s">
        <v>24</v>
      </c>
      <c r="K174" s="5" t="s">
        <v>24</v>
      </c>
      <c r="L174" s="5" t="s">
        <v>24</v>
      </c>
      <c r="M174" s="5" t="s">
        <v>24</v>
      </c>
      <c r="N174" s="5" t="s">
        <v>24</v>
      </c>
      <c r="O174" s="5" t="s">
        <v>2626</v>
      </c>
      <c r="P174" s="5" t="s">
        <v>24</v>
      </c>
      <c r="Q174" s="5" t="s">
        <v>24</v>
      </c>
      <c r="R174" s="5" t="s">
        <v>24</v>
      </c>
      <c r="S174" s="5" t="s">
        <v>1852</v>
      </c>
      <c r="T174" s="5" t="s">
        <v>1918</v>
      </c>
      <c r="U174" s="5" t="s">
        <v>1918</v>
      </c>
      <c r="V174" s="5" t="s">
        <v>1854</v>
      </c>
      <c r="W174" s="5" t="s">
        <v>24</v>
      </c>
      <c r="X174" s="5" t="s">
        <v>24</v>
      </c>
      <c r="Y174" s="5" t="s">
        <v>2990</v>
      </c>
      <c r="Z174" s="5" t="s">
        <v>2991</v>
      </c>
      <c r="AA174" s="5" t="s">
        <v>2991</v>
      </c>
      <c r="AB174" s="5" t="s">
        <v>2991</v>
      </c>
      <c r="AC174" s="5" t="s">
        <v>24</v>
      </c>
      <c r="AD174" s="5" t="s">
        <v>24</v>
      </c>
      <c r="AE174" s="5" t="s">
        <v>24</v>
      </c>
      <c r="AF174" s="5" t="s">
        <v>24</v>
      </c>
      <c r="AG174" s="5" t="s">
        <v>24</v>
      </c>
      <c r="AH174" s="5" t="s">
        <v>24</v>
      </c>
      <c r="AI174" s="5" t="s">
        <v>24</v>
      </c>
      <c r="AJ174" s="5" t="s">
        <v>24</v>
      </c>
      <c r="AK174" s="5" t="s">
        <v>24</v>
      </c>
      <c r="AL174" s="5" t="str">
        <f>VLOOKUP(mambo!$H174,Sheet1!B:C,2,FALSE)</f>
        <v>#N/A</v>
      </c>
    </row>
    <row r="175" ht="15.75" hidden="1" customHeight="1">
      <c r="A175" s="5" t="s">
        <v>2992</v>
      </c>
      <c r="B175" s="5" t="s">
        <v>2993</v>
      </c>
      <c r="C175" s="5" t="s">
        <v>227</v>
      </c>
      <c r="D175" s="5" t="s">
        <v>24</v>
      </c>
      <c r="E175" s="5" t="s">
        <v>1848</v>
      </c>
      <c r="F175" s="5" t="s">
        <v>1849</v>
      </c>
      <c r="G175" s="5" t="s">
        <v>24</v>
      </c>
      <c r="H175" s="5" t="s">
        <v>2994</v>
      </c>
      <c r="I175" s="5" t="s">
        <v>24</v>
      </c>
      <c r="J175" s="5" t="s">
        <v>24</v>
      </c>
      <c r="K175" s="5" t="s">
        <v>24</v>
      </c>
      <c r="L175" s="5" t="s">
        <v>24</v>
      </c>
      <c r="M175" s="5" t="s">
        <v>24</v>
      </c>
      <c r="N175" s="5" t="s">
        <v>24</v>
      </c>
      <c r="O175" s="5" t="s">
        <v>2626</v>
      </c>
      <c r="P175" s="5" t="s">
        <v>24</v>
      </c>
      <c r="Q175" s="5" t="s">
        <v>24</v>
      </c>
      <c r="R175" s="5" t="s">
        <v>24</v>
      </c>
      <c r="S175" s="5" t="s">
        <v>1852</v>
      </c>
      <c r="T175" s="5" t="s">
        <v>1918</v>
      </c>
      <c r="U175" s="5" t="s">
        <v>1918</v>
      </c>
      <c r="V175" s="5" t="s">
        <v>1854</v>
      </c>
      <c r="W175" s="5" t="s">
        <v>24</v>
      </c>
      <c r="X175" s="5" t="s">
        <v>24</v>
      </c>
      <c r="Y175" s="5" t="s">
        <v>2995</v>
      </c>
      <c r="Z175" s="5" t="s">
        <v>2996</v>
      </c>
      <c r="AA175" s="5" t="s">
        <v>2996</v>
      </c>
      <c r="AB175" s="5" t="s">
        <v>2996</v>
      </c>
      <c r="AC175" s="5" t="s">
        <v>2997</v>
      </c>
      <c r="AD175" s="5" t="s">
        <v>24</v>
      </c>
      <c r="AE175" s="5" t="s">
        <v>24</v>
      </c>
      <c r="AF175" s="5" t="s">
        <v>24</v>
      </c>
      <c r="AG175" s="5" t="s">
        <v>24</v>
      </c>
      <c r="AH175" s="5" t="s">
        <v>24</v>
      </c>
      <c r="AI175" s="5" t="s">
        <v>24</v>
      </c>
      <c r="AJ175" s="5" t="s">
        <v>24</v>
      </c>
      <c r="AK175" s="5" t="s">
        <v>24</v>
      </c>
      <c r="AL175" s="5" t="str">
        <f>VLOOKUP(mambo!$H175,Sheet1!B:C,2,FALSE)</f>
        <v>#N/A</v>
      </c>
    </row>
    <row r="176" ht="15.75" hidden="1" customHeight="1">
      <c r="A176" s="5" t="s">
        <v>2998</v>
      </c>
      <c r="B176" s="5" t="s">
        <v>2999</v>
      </c>
      <c r="C176" s="5" t="s">
        <v>227</v>
      </c>
      <c r="D176" s="5" t="s">
        <v>24</v>
      </c>
      <c r="E176" s="5" t="s">
        <v>1848</v>
      </c>
      <c r="F176" s="5" t="s">
        <v>1849</v>
      </c>
      <c r="G176" s="5" t="s">
        <v>24</v>
      </c>
      <c r="H176" s="5" t="s">
        <v>3000</v>
      </c>
      <c r="I176" s="5" t="s">
        <v>24</v>
      </c>
      <c r="J176" s="5" t="s">
        <v>24</v>
      </c>
      <c r="K176" s="5" t="s">
        <v>24</v>
      </c>
      <c r="L176" s="5" t="s">
        <v>24</v>
      </c>
      <c r="M176" s="5" t="s">
        <v>24</v>
      </c>
      <c r="N176" s="5" t="s">
        <v>24</v>
      </c>
      <c r="O176" s="5" t="s">
        <v>3001</v>
      </c>
      <c r="P176" s="5" t="s">
        <v>24</v>
      </c>
      <c r="Q176" s="5" t="s">
        <v>24</v>
      </c>
      <c r="R176" s="5" t="s">
        <v>24</v>
      </c>
      <c r="S176" s="5" t="s">
        <v>1852</v>
      </c>
      <c r="T176" s="5" t="s">
        <v>2627</v>
      </c>
      <c r="U176" s="5" t="s">
        <v>2627</v>
      </c>
      <c r="V176" s="5" t="s">
        <v>1854</v>
      </c>
      <c r="W176" s="5" t="s">
        <v>24</v>
      </c>
      <c r="X176" s="5" t="s">
        <v>24</v>
      </c>
      <c r="Y176" s="5" t="s">
        <v>3002</v>
      </c>
      <c r="Z176" s="5" t="s">
        <v>3003</v>
      </c>
      <c r="AA176" s="5" t="s">
        <v>3003</v>
      </c>
      <c r="AB176" s="5" t="s">
        <v>3003</v>
      </c>
      <c r="AC176" s="5" t="s">
        <v>24</v>
      </c>
      <c r="AD176" s="5" t="s">
        <v>24</v>
      </c>
      <c r="AE176" s="5" t="s">
        <v>24</v>
      </c>
      <c r="AF176" s="5" t="s">
        <v>24</v>
      </c>
      <c r="AG176" s="5" t="s">
        <v>24</v>
      </c>
      <c r="AH176" s="5" t="s">
        <v>24</v>
      </c>
      <c r="AI176" s="5" t="s">
        <v>24</v>
      </c>
      <c r="AJ176" s="5" t="s">
        <v>24</v>
      </c>
      <c r="AK176" s="5" t="s">
        <v>24</v>
      </c>
      <c r="AL176" s="5" t="str">
        <f>VLOOKUP(mambo!$H176,Sheet1!B:C,2,FALSE)</f>
        <v>#N/A</v>
      </c>
    </row>
    <row r="177" ht="15.75" hidden="1" customHeight="1">
      <c r="A177" s="5" t="s">
        <v>3004</v>
      </c>
      <c r="B177" s="5" t="s">
        <v>3005</v>
      </c>
      <c r="C177" s="5" t="s">
        <v>227</v>
      </c>
      <c r="D177" s="5" t="s">
        <v>24</v>
      </c>
      <c r="E177" s="5" t="s">
        <v>1848</v>
      </c>
      <c r="F177" s="5" t="s">
        <v>1849</v>
      </c>
      <c r="G177" s="5" t="s">
        <v>24</v>
      </c>
      <c r="H177" s="5" t="s">
        <v>3006</v>
      </c>
      <c r="I177" s="5" t="s">
        <v>24</v>
      </c>
      <c r="J177" s="5" t="s">
        <v>24</v>
      </c>
      <c r="K177" s="5" t="s">
        <v>24</v>
      </c>
      <c r="L177" s="5" t="s">
        <v>24</v>
      </c>
      <c r="M177" s="5" t="s">
        <v>1885</v>
      </c>
      <c r="N177" s="5" t="s">
        <v>24</v>
      </c>
      <c r="O177" s="5" t="s">
        <v>1978</v>
      </c>
      <c r="P177" s="5" t="s">
        <v>24</v>
      </c>
      <c r="Q177" s="5" t="s">
        <v>24</v>
      </c>
      <c r="R177" s="5" t="s">
        <v>24</v>
      </c>
      <c r="S177" s="5" t="s">
        <v>1852</v>
      </c>
      <c r="T177" s="5" t="s">
        <v>1970</v>
      </c>
      <c r="U177" s="5" t="s">
        <v>1970</v>
      </c>
      <c r="V177" s="5" t="s">
        <v>1854</v>
      </c>
      <c r="W177" s="5" t="s">
        <v>24</v>
      </c>
      <c r="X177" s="5" t="s">
        <v>24</v>
      </c>
      <c r="Y177" s="5" t="s">
        <v>3007</v>
      </c>
      <c r="Z177" s="5" t="s">
        <v>3008</v>
      </c>
      <c r="AA177" s="5" t="s">
        <v>3008</v>
      </c>
      <c r="AB177" s="5" t="s">
        <v>3008</v>
      </c>
      <c r="AC177" s="5" t="s">
        <v>3009</v>
      </c>
      <c r="AD177" s="5" t="s">
        <v>3010</v>
      </c>
      <c r="AE177" s="5" t="s">
        <v>3011</v>
      </c>
      <c r="AF177" s="5" t="s">
        <v>24</v>
      </c>
      <c r="AG177" s="5" t="s">
        <v>24</v>
      </c>
      <c r="AH177" s="5" t="s">
        <v>24</v>
      </c>
      <c r="AI177" s="5" t="s">
        <v>24</v>
      </c>
      <c r="AJ177" s="5" t="s">
        <v>24</v>
      </c>
      <c r="AK177" s="5" t="s">
        <v>24</v>
      </c>
      <c r="AL177" s="5" t="str">
        <f>VLOOKUP(mambo!$H177,Sheet1!B:C,2,FALSE)</f>
        <v>#N/A</v>
      </c>
    </row>
    <row r="178" ht="15.75" hidden="1" customHeight="1">
      <c r="A178" s="5" t="s">
        <v>3012</v>
      </c>
      <c r="B178" s="5" t="s">
        <v>3013</v>
      </c>
      <c r="C178" s="5" t="s">
        <v>227</v>
      </c>
      <c r="D178" s="5" t="s">
        <v>24</v>
      </c>
      <c r="E178" s="5" t="s">
        <v>1848</v>
      </c>
      <c r="F178" s="5" t="s">
        <v>1849</v>
      </c>
      <c r="G178" s="5" t="s">
        <v>24</v>
      </c>
      <c r="H178" s="5" t="s">
        <v>3014</v>
      </c>
      <c r="I178" s="5" t="s">
        <v>24</v>
      </c>
      <c r="J178" s="5" t="s">
        <v>24</v>
      </c>
      <c r="K178" s="5" t="s">
        <v>24</v>
      </c>
      <c r="L178" s="5" t="s">
        <v>24</v>
      </c>
      <c r="M178" s="5" t="s">
        <v>1885</v>
      </c>
      <c r="N178" s="5" t="s">
        <v>24</v>
      </c>
      <c r="O178" s="5" t="s">
        <v>1978</v>
      </c>
      <c r="P178" s="5" t="s">
        <v>24</v>
      </c>
      <c r="Q178" s="5" t="s">
        <v>24</v>
      </c>
      <c r="R178" s="5" t="s">
        <v>24</v>
      </c>
      <c r="S178" s="5" t="s">
        <v>1852</v>
      </c>
      <c r="T178" s="5" t="s">
        <v>1970</v>
      </c>
      <c r="U178" s="5" t="s">
        <v>1970</v>
      </c>
      <c r="V178" s="5" t="s">
        <v>1854</v>
      </c>
      <c r="W178" s="5" t="s">
        <v>24</v>
      </c>
      <c r="X178" s="5" t="s">
        <v>24</v>
      </c>
      <c r="Y178" s="5" t="s">
        <v>3015</v>
      </c>
      <c r="Z178" s="5" t="s">
        <v>3016</v>
      </c>
      <c r="AA178" s="5" t="s">
        <v>3016</v>
      </c>
      <c r="AB178" s="5" t="s">
        <v>3016</v>
      </c>
      <c r="AC178" s="5" t="s">
        <v>3017</v>
      </c>
      <c r="AD178" s="5" t="s">
        <v>3018</v>
      </c>
      <c r="AE178" s="5" t="s">
        <v>3019</v>
      </c>
      <c r="AF178" s="5" t="s">
        <v>24</v>
      </c>
      <c r="AG178" s="5" t="s">
        <v>24</v>
      </c>
      <c r="AH178" s="5" t="s">
        <v>24</v>
      </c>
      <c r="AI178" s="5" t="s">
        <v>24</v>
      </c>
      <c r="AJ178" s="5" t="s">
        <v>24</v>
      </c>
      <c r="AK178" s="5" t="s">
        <v>24</v>
      </c>
      <c r="AL178" s="5" t="str">
        <f>VLOOKUP(mambo!$H178,Sheet1!B:C,2,FALSE)</f>
        <v>#N/A</v>
      </c>
    </row>
    <row r="179" ht="15.75" hidden="1" customHeight="1">
      <c r="A179" s="5" t="s">
        <v>3020</v>
      </c>
      <c r="B179" s="5" t="s">
        <v>3021</v>
      </c>
      <c r="C179" s="5" t="s">
        <v>227</v>
      </c>
      <c r="D179" s="5" t="s">
        <v>24</v>
      </c>
      <c r="E179" s="5" t="s">
        <v>1848</v>
      </c>
      <c r="F179" s="5" t="s">
        <v>1849</v>
      </c>
      <c r="G179" s="5" t="s">
        <v>24</v>
      </c>
      <c r="H179" s="5" t="s">
        <v>3022</v>
      </c>
      <c r="I179" s="5" t="s">
        <v>24</v>
      </c>
      <c r="J179" s="5" t="s">
        <v>24</v>
      </c>
      <c r="K179" s="5" t="s">
        <v>24</v>
      </c>
      <c r="L179" s="5" t="s">
        <v>24</v>
      </c>
      <c r="M179" s="5" t="s">
        <v>24</v>
      </c>
      <c r="N179" s="5" t="s">
        <v>24</v>
      </c>
      <c r="O179" s="5" t="s">
        <v>3023</v>
      </c>
      <c r="P179" s="5" t="s">
        <v>24</v>
      </c>
      <c r="Q179" s="5" t="s">
        <v>24</v>
      </c>
      <c r="R179" s="5" t="s">
        <v>24</v>
      </c>
      <c r="S179" s="5" t="s">
        <v>1852</v>
      </c>
      <c r="T179" s="5" t="s">
        <v>3024</v>
      </c>
      <c r="U179" s="5" t="s">
        <v>3024</v>
      </c>
      <c r="V179" s="5" t="s">
        <v>1854</v>
      </c>
      <c r="W179" s="5" t="s">
        <v>24</v>
      </c>
      <c r="X179" s="5" t="s">
        <v>24</v>
      </c>
      <c r="Y179" s="5" t="s">
        <v>3025</v>
      </c>
      <c r="Z179" s="5" t="s">
        <v>3026</v>
      </c>
      <c r="AA179" s="5" t="s">
        <v>3026</v>
      </c>
      <c r="AB179" s="5" t="s">
        <v>3026</v>
      </c>
      <c r="AC179" s="5" t="s">
        <v>24</v>
      </c>
      <c r="AD179" s="5" t="s">
        <v>24</v>
      </c>
      <c r="AE179" s="5" t="s">
        <v>24</v>
      </c>
      <c r="AF179" s="5" t="s">
        <v>24</v>
      </c>
      <c r="AG179" s="5" t="s">
        <v>24</v>
      </c>
      <c r="AH179" s="5" t="s">
        <v>24</v>
      </c>
      <c r="AI179" s="5" t="s">
        <v>24</v>
      </c>
      <c r="AJ179" s="5" t="s">
        <v>24</v>
      </c>
      <c r="AK179" s="5" t="s">
        <v>24</v>
      </c>
      <c r="AL179" s="5" t="str">
        <f>VLOOKUP(mambo!$H179,Sheet1!B:C,2,FALSE)</f>
        <v>#N/A</v>
      </c>
    </row>
    <row r="180" ht="15.75" hidden="1" customHeight="1">
      <c r="A180" s="5" t="s">
        <v>3027</v>
      </c>
      <c r="B180" s="5" t="s">
        <v>3028</v>
      </c>
      <c r="C180" s="5" t="s">
        <v>3029</v>
      </c>
      <c r="D180" s="5" t="s">
        <v>24</v>
      </c>
      <c r="E180" s="5" t="s">
        <v>1848</v>
      </c>
      <c r="F180" s="5" t="s">
        <v>1849</v>
      </c>
      <c r="G180" s="5" t="s">
        <v>24</v>
      </c>
      <c r="H180" s="5" t="s">
        <v>3030</v>
      </c>
      <c r="I180" s="5" t="s">
        <v>24</v>
      </c>
      <c r="J180" s="5" t="s">
        <v>24</v>
      </c>
      <c r="K180" s="5" t="s">
        <v>24</v>
      </c>
      <c r="L180" s="5" t="s">
        <v>24</v>
      </c>
      <c r="M180" s="5" t="s">
        <v>1885</v>
      </c>
      <c r="N180" s="5" t="s">
        <v>24</v>
      </c>
      <c r="O180" s="5" t="s">
        <v>24</v>
      </c>
      <c r="P180" s="5" t="s">
        <v>24</v>
      </c>
      <c r="Q180" s="5" t="s">
        <v>24</v>
      </c>
      <c r="R180" s="5" t="s">
        <v>24</v>
      </c>
      <c r="S180" s="5" t="s">
        <v>1852</v>
      </c>
      <c r="T180" s="5" t="s">
        <v>1970</v>
      </c>
      <c r="U180" s="5" t="s">
        <v>1970</v>
      </c>
      <c r="V180" s="5" t="s">
        <v>1854</v>
      </c>
      <c r="W180" s="5" t="s">
        <v>24</v>
      </c>
      <c r="X180" s="5" t="s">
        <v>24</v>
      </c>
      <c r="Y180" s="5" t="s">
        <v>3031</v>
      </c>
      <c r="Z180" s="5" t="s">
        <v>3032</v>
      </c>
      <c r="AA180" s="5" t="s">
        <v>3032</v>
      </c>
      <c r="AB180" s="5" t="s">
        <v>3032</v>
      </c>
      <c r="AC180" s="5" t="s">
        <v>3033</v>
      </c>
      <c r="AD180" s="5" t="s">
        <v>3034</v>
      </c>
      <c r="AE180" s="5" t="s">
        <v>3035</v>
      </c>
      <c r="AF180" s="5" t="s">
        <v>24</v>
      </c>
      <c r="AG180" s="5" t="s">
        <v>24</v>
      </c>
      <c r="AH180" s="5" t="s">
        <v>24</v>
      </c>
      <c r="AI180" s="5" t="s">
        <v>24</v>
      </c>
      <c r="AJ180" s="5" t="s">
        <v>24</v>
      </c>
      <c r="AK180" s="5" t="s">
        <v>24</v>
      </c>
      <c r="AL180" s="5" t="str">
        <f>VLOOKUP(mambo!$H180,Sheet1!B:C,2,FALSE)</f>
        <v>#N/A</v>
      </c>
    </row>
    <row r="181" ht="15.75" hidden="1" customHeight="1">
      <c r="A181" s="5" t="s">
        <v>3036</v>
      </c>
      <c r="B181" s="5" t="s">
        <v>3037</v>
      </c>
      <c r="C181" s="5" t="s">
        <v>117</v>
      </c>
      <c r="D181" s="5" t="s">
        <v>24</v>
      </c>
      <c r="E181" s="5" t="s">
        <v>1848</v>
      </c>
      <c r="F181" s="5" t="s">
        <v>1849</v>
      </c>
      <c r="G181" s="5" t="s">
        <v>24</v>
      </c>
      <c r="H181" s="5" t="s">
        <v>3038</v>
      </c>
      <c r="I181" s="5" t="s">
        <v>24</v>
      </c>
      <c r="J181" s="5" t="s">
        <v>24</v>
      </c>
      <c r="K181" s="5" t="s">
        <v>24</v>
      </c>
      <c r="L181" s="5" t="s">
        <v>24</v>
      </c>
      <c r="M181" s="5" t="s">
        <v>24</v>
      </c>
      <c r="N181" s="5" t="s">
        <v>24</v>
      </c>
      <c r="O181" s="5" t="s">
        <v>2626</v>
      </c>
      <c r="P181" s="5" t="s">
        <v>24</v>
      </c>
      <c r="Q181" s="5" t="s">
        <v>24</v>
      </c>
      <c r="R181" s="5" t="s">
        <v>24</v>
      </c>
      <c r="S181" s="5" t="s">
        <v>1852</v>
      </c>
      <c r="T181" s="5" t="s">
        <v>3039</v>
      </c>
      <c r="U181" s="5" t="s">
        <v>3039</v>
      </c>
      <c r="V181" s="5" t="s">
        <v>1854</v>
      </c>
      <c r="W181" s="5" t="s">
        <v>24</v>
      </c>
      <c r="X181" s="5" t="s">
        <v>24</v>
      </c>
      <c r="Y181" s="5" t="s">
        <v>3040</v>
      </c>
      <c r="Z181" s="5" t="s">
        <v>3041</v>
      </c>
      <c r="AA181" s="5" t="s">
        <v>3041</v>
      </c>
      <c r="AB181" s="5" t="s">
        <v>3041</v>
      </c>
      <c r="AC181" s="5" t="s">
        <v>3042</v>
      </c>
      <c r="AD181" s="5" t="s">
        <v>3043</v>
      </c>
      <c r="AE181" s="5" t="s">
        <v>3044</v>
      </c>
      <c r="AF181" s="5" t="s">
        <v>24</v>
      </c>
      <c r="AG181" s="5" t="s">
        <v>24</v>
      </c>
      <c r="AH181" s="5" t="s">
        <v>24</v>
      </c>
      <c r="AI181" s="5" t="s">
        <v>24</v>
      </c>
      <c r="AJ181" s="5" t="s">
        <v>24</v>
      </c>
      <c r="AK181" s="5" t="s">
        <v>24</v>
      </c>
      <c r="AL181" s="5" t="str">
        <f>VLOOKUP(mambo!$H181,Sheet1!B:C,2,FALSE)</f>
        <v>#N/A</v>
      </c>
    </row>
    <row r="182" ht="15.75" hidden="1" customHeight="1">
      <c r="A182" s="5" t="s">
        <v>3045</v>
      </c>
      <c r="B182" s="5" t="s">
        <v>3046</v>
      </c>
      <c r="C182" s="5" t="s">
        <v>227</v>
      </c>
      <c r="D182" s="5" t="s">
        <v>24</v>
      </c>
      <c r="E182" s="5" t="s">
        <v>1848</v>
      </c>
      <c r="F182" s="5" t="s">
        <v>1849</v>
      </c>
      <c r="G182" s="5" t="s">
        <v>24</v>
      </c>
      <c r="H182" s="5" t="s">
        <v>3047</v>
      </c>
      <c r="I182" s="5" t="s">
        <v>24</v>
      </c>
      <c r="J182" s="5" t="s">
        <v>24</v>
      </c>
      <c r="K182" s="5" t="s">
        <v>24</v>
      </c>
      <c r="L182" s="5" t="s">
        <v>24</v>
      </c>
      <c r="M182" s="5" t="s">
        <v>24</v>
      </c>
      <c r="N182" s="5" t="s">
        <v>24</v>
      </c>
      <c r="O182" s="5" t="s">
        <v>3048</v>
      </c>
      <c r="P182" s="5" t="s">
        <v>24</v>
      </c>
      <c r="Q182" s="5" t="s">
        <v>24</v>
      </c>
      <c r="R182" s="5" t="s">
        <v>24</v>
      </c>
      <c r="S182" s="5" t="s">
        <v>1852</v>
      </c>
      <c r="T182" s="5" t="s">
        <v>3049</v>
      </c>
      <c r="U182" s="5" t="s">
        <v>3049</v>
      </c>
      <c r="V182" s="5" t="s">
        <v>1854</v>
      </c>
      <c r="W182" s="5" t="s">
        <v>24</v>
      </c>
      <c r="X182" s="5" t="s">
        <v>24</v>
      </c>
      <c r="Y182" s="5" t="s">
        <v>3050</v>
      </c>
      <c r="Z182" s="5" t="s">
        <v>3051</v>
      </c>
      <c r="AA182" s="5" t="s">
        <v>3051</v>
      </c>
      <c r="AB182" s="5" t="s">
        <v>3051</v>
      </c>
      <c r="AC182" s="5" t="s">
        <v>3052</v>
      </c>
      <c r="AD182" s="5" t="s">
        <v>3053</v>
      </c>
      <c r="AE182" s="5" t="s">
        <v>3054</v>
      </c>
      <c r="AF182" s="5" t="s">
        <v>3055</v>
      </c>
      <c r="AG182" s="5" t="s">
        <v>3056</v>
      </c>
      <c r="AH182" s="5" t="s">
        <v>24</v>
      </c>
      <c r="AI182" s="5" t="s">
        <v>24</v>
      </c>
      <c r="AJ182" s="5" t="s">
        <v>24</v>
      </c>
      <c r="AK182" s="5" t="s">
        <v>24</v>
      </c>
      <c r="AL182" s="5" t="str">
        <f>VLOOKUP(mambo!$H182,Sheet1!B:C,2,FALSE)</f>
        <v>#N/A</v>
      </c>
    </row>
    <row r="183" ht="15.75" hidden="1" customHeight="1">
      <c r="A183" s="5" t="s">
        <v>3057</v>
      </c>
      <c r="B183" s="5" t="s">
        <v>3058</v>
      </c>
      <c r="C183" s="5" t="s">
        <v>1961</v>
      </c>
      <c r="D183" s="5" t="s">
        <v>24</v>
      </c>
      <c r="E183" s="5" t="s">
        <v>1848</v>
      </c>
      <c r="F183" s="5" t="s">
        <v>1849</v>
      </c>
      <c r="G183" s="5" t="s">
        <v>24</v>
      </c>
      <c r="H183" s="5" t="s">
        <v>3059</v>
      </c>
      <c r="I183" s="5" t="s">
        <v>24</v>
      </c>
      <c r="J183" s="5" t="s">
        <v>24</v>
      </c>
      <c r="K183" s="5" t="s">
        <v>24</v>
      </c>
      <c r="L183" s="5" t="s">
        <v>24</v>
      </c>
      <c r="M183" s="5" t="s">
        <v>1885</v>
      </c>
      <c r="N183" s="5" t="s">
        <v>24</v>
      </c>
      <c r="O183" s="5" t="s">
        <v>2337</v>
      </c>
      <c r="P183" s="5" t="s">
        <v>24</v>
      </c>
      <c r="Q183" s="5" t="s">
        <v>24</v>
      </c>
      <c r="R183" s="5" t="s">
        <v>24</v>
      </c>
      <c r="S183" s="5" t="s">
        <v>1852</v>
      </c>
      <c r="T183" s="5" t="s">
        <v>1964</v>
      </c>
      <c r="U183" s="5" t="s">
        <v>1964</v>
      </c>
      <c r="V183" s="5" t="s">
        <v>1854</v>
      </c>
      <c r="W183" s="5" t="s">
        <v>24</v>
      </c>
      <c r="X183" s="5" t="s">
        <v>24</v>
      </c>
      <c r="Y183" s="5" t="s">
        <v>3060</v>
      </c>
      <c r="Z183" s="5" t="s">
        <v>3061</v>
      </c>
      <c r="AA183" s="5" t="s">
        <v>3061</v>
      </c>
      <c r="AB183" s="5" t="s">
        <v>3061</v>
      </c>
      <c r="AC183" s="5" t="s">
        <v>24</v>
      </c>
      <c r="AD183" s="5" t="s">
        <v>24</v>
      </c>
      <c r="AE183" s="5" t="s">
        <v>24</v>
      </c>
      <c r="AF183" s="5" t="s">
        <v>24</v>
      </c>
      <c r="AG183" s="5" t="s">
        <v>24</v>
      </c>
      <c r="AH183" s="5" t="s">
        <v>24</v>
      </c>
      <c r="AI183" s="5" t="s">
        <v>24</v>
      </c>
      <c r="AJ183" s="5" t="s">
        <v>24</v>
      </c>
      <c r="AK183" s="5" t="s">
        <v>24</v>
      </c>
      <c r="AL183" s="5" t="str">
        <f>VLOOKUP(mambo!$H183,Sheet1!B:C,2,FALSE)</f>
        <v>#N/A</v>
      </c>
    </row>
    <row r="184" ht="15.75" customHeight="1">
      <c r="A184" s="5" t="s">
        <v>3062</v>
      </c>
      <c r="B184" s="5" t="s">
        <v>3063</v>
      </c>
      <c r="C184" s="5" t="s">
        <v>227</v>
      </c>
      <c r="D184" s="5" t="s">
        <v>24</v>
      </c>
      <c r="E184" s="5" t="s">
        <v>1848</v>
      </c>
      <c r="F184" s="5" t="s">
        <v>1849</v>
      </c>
      <c r="G184" s="5" t="s">
        <v>24</v>
      </c>
      <c r="H184" s="5" t="s">
        <v>446</v>
      </c>
      <c r="I184" s="5" t="s">
        <v>24</v>
      </c>
      <c r="J184" s="5" t="s">
        <v>24</v>
      </c>
      <c r="K184" s="5" t="s">
        <v>24</v>
      </c>
      <c r="L184" s="5" t="s">
        <v>24</v>
      </c>
      <c r="M184" s="5" t="s">
        <v>24</v>
      </c>
      <c r="N184" s="5" t="s">
        <v>24</v>
      </c>
      <c r="O184" s="5" t="s">
        <v>1933</v>
      </c>
      <c r="P184" s="5" t="s">
        <v>24</v>
      </c>
      <c r="Q184" s="5" t="s">
        <v>24</v>
      </c>
      <c r="R184" s="5" t="s">
        <v>24</v>
      </c>
      <c r="S184" s="5" t="s">
        <v>1852</v>
      </c>
      <c r="T184" s="5" t="s">
        <v>2363</v>
      </c>
      <c r="U184" s="5" t="s">
        <v>2363</v>
      </c>
      <c r="V184" s="5" t="s">
        <v>1854</v>
      </c>
      <c r="W184" s="5" t="s">
        <v>24</v>
      </c>
      <c r="X184" s="5" t="s">
        <v>24</v>
      </c>
      <c r="Y184" s="5" t="s">
        <v>3064</v>
      </c>
      <c r="Z184" s="5" t="s">
        <v>3065</v>
      </c>
      <c r="AA184" s="5" t="s">
        <v>3065</v>
      </c>
      <c r="AB184" s="5" t="s">
        <v>3065</v>
      </c>
      <c r="AC184" s="5" t="s">
        <v>3066</v>
      </c>
      <c r="AD184" s="5" t="s">
        <v>3067</v>
      </c>
      <c r="AE184" s="5" t="s">
        <v>3068</v>
      </c>
      <c r="AF184" s="5" t="s">
        <v>3069</v>
      </c>
      <c r="AG184" s="5" t="s">
        <v>24</v>
      </c>
      <c r="AH184" s="5" t="s">
        <v>24</v>
      </c>
      <c r="AI184" s="5" t="s">
        <v>24</v>
      </c>
      <c r="AJ184" s="5" t="s">
        <v>24</v>
      </c>
      <c r="AK184" s="5" t="s">
        <v>24</v>
      </c>
      <c r="AL184" s="5" t="str">
        <f>VLOOKUP(mambo!$H184,Sheet1!B:C,2,FALSE)</f>
        <v>1345288</v>
      </c>
    </row>
    <row r="185" ht="15.75" customHeight="1">
      <c r="A185" s="5" t="s">
        <v>3070</v>
      </c>
      <c r="B185" s="5" t="s">
        <v>3071</v>
      </c>
      <c r="C185" s="5" t="s">
        <v>362</v>
      </c>
      <c r="D185" s="5" t="s">
        <v>24</v>
      </c>
      <c r="E185" s="5" t="s">
        <v>1848</v>
      </c>
      <c r="F185" s="5" t="s">
        <v>1849</v>
      </c>
      <c r="G185" s="5" t="s">
        <v>24</v>
      </c>
      <c r="H185" s="5" t="s">
        <v>363</v>
      </c>
      <c r="I185" s="5" t="s">
        <v>24</v>
      </c>
      <c r="J185" s="5" t="s">
        <v>24</v>
      </c>
      <c r="K185" s="5" t="s">
        <v>24</v>
      </c>
      <c r="L185" s="5" t="s">
        <v>24</v>
      </c>
      <c r="M185" s="5" t="s">
        <v>24</v>
      </c>
      <c r="N185" s="5" t="s">
        <v>24</v>
      </c>
      <c r="O185" s="5" t="s">
        <v>1851</v>
      </c>
      <c r="P185" s="5" t="s">
        <v>24</v>
      </c>
      <c r="Q185" s="5" t="s">
        <v>24</v>
      </c>
      <c r="R185" s="5" t="s">
        <v>24</v>
      </c>
      <c r="S185" s="5" t="s">
        <v>1852</v>
      </c>
      <c r="T185" s="5" t="s">
        <v>3072</v>
      </c>
      <c r="U185" s="5" t="s">
        <v>3072</v>
      </c>
      <c r="V185" s="5" t="s">
        <v>1854</v>
      </c>
      <c r="W185" s="5" t="s">
        <v>24</v>
      </c>
      <c r="X185" s="5" t="s">
        <v>24</v>
      </c>
      <c r="Y185" s="5" t="s">
        <v>3073</v>
      </c>
      <c r="Z185" s="5" t="s">
        <v>3074</v>
      </c>
      <c r="AA185" s="5" t="s">
        <v>3074</v>
      </c>
      <c r="AB185" s="5" t="s">
        <v>3074</v>
      </c>
      <c r="AC185" s="5" t="s">
        <v>24</v>
      </c>
      <c r="AD185" s="5" t="s">
        <v>24</v>
      </c>
      <c r="AE185" s="5" t="s">
        <v>24</v>
      </c>
      <c r="AF185" s="5" t="s">
        <v>24</v>
      </c>
      <c r="AG185" s="5" t="s">
        <v>24</v>
      </c>
      <c r="AH185" s="5" t="s">
        <v>24</v>
      </c>
      <c r="AI185" s="5" t="s">
        <v>24</v>
      </c>
      <c r="AJ185" s="5" t="s">
        <v>24</v>
      </c>
      <c r="AK185" s="5" t="s">
        <v>24</v>
      </c>
      <c r="AL185" s="5" t="str">
        <f>VLOOKUP(mambo!$H185,Sheet1!B:C,2,FALSE)</f>
        <v>1344341</v>
      </c>
    </row>
    <row r="186" ht="15.75" customHeight="1">
      <c r="A186" s="5" t="s">
        <v>3075</v>
      </c>
      <c r="B186" s="5" t="s">
        <v>3076</v>
      </c>
      <c r="C186" s="5" t="s">
        <v>3077</v>
      </c>
      <c r="D186" s="5" t="s">
        <v>24</v>
      </c>
      <c r="E186" s="5" t="s">
        <v>1848</v>
      </c>
      <c r="F186" s="5" t="s">
        <v>1849</v>
      </c>
      <c r="G186" s="5" t="s">
        <v>24</v>
      </c>
      <c r="H186" s="5" t="s">
        <v>373</v>
      </c>
      <c r="I186" s="5" t="s">
        <v>24</v>
      </c>
      <c r="J186" s="5" t="s">
        <v>24</v>
      </c>
      <c r="K186" s="5" t="s">
        <v>24</v>
      </c>
      <c r="L186" s="5" t="s">
        <v>24</v>
      </c>
      <c r="M186" s="5" t="s">
        <v>24</v>
      </c>
      <c r="N186" s="5" t="s">
        <v>24</v>
      </c>
      <c r="O186" s="5" t="s">
        <v>1851</v>
      </c>
      <c r="P186" s="5" t="s">
        <v>24</v>
      </c>
      <c r="Q186" s="5" t="s">
        <v>24</v>
      </c>
      <c r="R186" s="5" t="s">
        <v>24</v>
      </c>
      <c r="S186" s="5" t="s">
        <v>1852</v>
      </c>
      <c r="T186" s="5" t="s">
        <v>3072</v>
      </c>
      <c r="U186" s="5" t="s">
        <v>3072</v>
      </c>
      <c r="V186" s="5" t="s">
        <v>1854</v>
      </c>
      <c r="W186" s="5" t="s">
        <v>24</v>
      </c>
      <c r="X186" s="5" t="s">
        <v>24</v>
      </c>
      <c r="Y186" s="5" t="s">
        <v>3078</v>
      </c>
      <c r="Z186" s="5" t="s">
        <v>3079</v>
      </c>
      <c r="AA186" s="5" t="s">
        <v>3079</v>
      </c>
      <c r="AB186" s="5" t="s">
        <v>3079</v>
      </c>
      <c r="AC186" s="5" t="s">
        <v>24</v>
      </c>
      <c r="AD186" s="5" t="s">
        <v>24</v>
      </c>
      <c r="AE186" s="5" t="s">
        <v>24</v>
      </c>
      <c r="AF186" s="5" t="s">
        <v>24</v>
      </c>
      <c r="AG186" s="5" t="s">
        <v>24</v>
      </c>
      <c r="AH186" s="5" t="s">
        <v>24</v>
      </c>
      <c r="AI186" s="5" t="s">
        <v>24</v>
      </c>
      <c r="AJ186" s="5" t="s">
        <v>24</v>
      </c>
      <c r="AK186" s="5" t="s">
        <v>24</v>
      </c>
      <c r="AL186" s="5" t="str">
        <f>VLOOKUP(mambo!$H186,Sheet1!B:C,2,FALSE)</f>
        <v>1344340</v>
      </c>
    </row>
    <row r="187" ht="15.75" customHeight="1">
      <c r="A187" s="5" t="s">
        <v>3080</v>
      </c>
      <c r="B187" s="5" t="s">
        <v>3081</v>
      </c>
      <c r="C187" s="5" t="s">
        <v>2126</v>
      </c>
      <c r="D187" s="5" t="s">
        <v>24</v>
      </c>
      <c r="E187" s="5" t="s">
        <v>1848</v>
      </c>
      <c r="F187" s="5" t="s">
        <v>1849</v>
      </c>
      <c r="G187" s="5" t="s">
        <v>24</v>
      </c>
      <c r="H187" s="5" t="s">
        <v>946</v>
      </c>
      <c r="I187" s="5" t="s">
        <v>24</v>
      </c>
      <c r="J187" s="5" t="s">
        <v>24</v>
      </c>
      <c r="K187" s="5" t="s">
        <v>24</v>
      </c>
      <c r="L187" s="5" t="s">
        <v>24</v>
      </c>
      <c r="M187" s="5" t="s">
        <v>1885</v>
      </c>
      <c r="N187" s="5" t="s">
        <v>24</v>
      </c>
      <c r="O187" s="5" t="s">
        <v>2085</v>
      </c>
      <c r="P187" s="5" t="s">
        <v>24</v>
      </c>
      <c r="Q187" s="5" t="s">
        <v>24</v>
      </c>
      <c r="R187" s="5" t="s">
        <v>24</v>
      </c>
      <c r="S187" s="5" t="s">
        <v>1852</v>
      </c>
      <c r="T187" s="5" t="s">
        <v>2127</v>
      </c>
      <c r="U187" s="5" t="s">
        <v>2127</v>
      </c>
      <c r="V187" s="5" t="s">
        <v>1854</v>
      </c>
      <c r="W187" s="5" t="s">
        <v>24</v>
      </c>
      <c r="X187" s="5" t="s">
        <v>24</v>
      </c>
      <c r="Y187" s="5" t="s">
        <v>3082</v>
      </c>
      <c r="Z187" s="5" t="s">
        <v>3083</v>
      </c>
      <c r="AA187" s="5" t="s">
        <v>3083</v>
      </c>
      <c r="AB187" s="5" t="s">
        <v>3083</v>
      </c>
      <c r="AC187" s="5" t="s">
        <v>3084</v>
      </c>
      <c r="AD187" s="5" t="s">
        <v>3085</v>
      </c>
      <c r="AE187" s="5" t="s">
        <v>3086</v>
      </c>
      <c r="AF187" s="5" t="s">
        <v>24</v>
      </c>
      <c r="AG187" s="5" t="s">
        <v>24</v>
      </c>
      <c r="AH187" s="5" t="s">
        <v>24</v>
      </c>
      <c r="AI187" s="5" t="s">
        <v>24</v>
      </c>
      <c r="AJ187" s="5" t="s">
        <v>24</v>
      </c>
      <c r="AK187" s="5" t="s">
        <v>24</v>
      </c>
      <c r="AL187" s="5" t="str">
        <f>VLOOKUP(mambo!$H187,Sheet1!B:C,2,FALSE)</f>
        <v>1275441</v>
      </c>
    </row>
    <row r="188" ht="15.75" customHeight="1">
      <c r="A188" s="5" t="s">
        <v>3087</v>
      </c>
      <c r="B188" s="5" t="s">
        <v>3088</v>
      </c>
      <c r="C188" s="5" t="s">
        <v>1915</v>
      </c>
      <c r="D188" s="5" t="s">
        <v>24</v>
      </c>
      <c r="E188" s="5" t="s">
        <v>1848</v>
      </c>
      <c r="F188" s="5" t="s">
        <v>1849</v>
      </c>
      <c r="G188" s="5" t="s">
        <v>24</v>
      </c>
      <c r="H188" s="5" t="s">
        <v>1571</v>
      </c>
      <c r="I188" s="5" t="s">
        <v>24</v>
      </c>
      <c r="J188" s="5" t="s">
        <v>24</v>
      </c>
      <c r="K188" s="5" t="s">
        <v>24</v>
      </c>
      <c r="L188" s="5" t="s">
        <v>24</v>
      </c>
      <c r="M188" s="5" t="s">
        <v>24</v>
      </c>
      <c r="N188" s="5" t="s">
        <v>24</v>
      </c>
      <c r="O188" s="5" t="s">
        <v>1851</v>
      </c>
      <c r="P188" s="5" t="s">
        <v>24</v>
      </c>
      <c r="Q188" s="5" t="s">
        <v>24</v>
      </c>
      <c r="R188" s="5" t="s">
        <v>24</v>
      </c>
      <c r="S188" s="5" t="s">
        <v>1852</v>
      </c>
      <c r="T188" s="5" t="s">
        <v>3089</v>
      </c>
      <c r="U188" s="5" t="s">
        <v>3089</v>
      </c>
      <c r="V188" s="5" t="s">
        <v>1854</v>
      </c>
      <c r="W188" s="5" t="s">
        <v>24</v>
      </c>
      <c r="X188" s="5" t="s">
        <v>24</v>
      </c>
      <c r="Y188" s="5" t="s">
        <v>3090</v>
      </c>
      <c r="Z188" s="5" t="s">
        <v>3091</v>
      </c>
      <c r="AA188" s="5" t="s">
        <v>3091</v>
      </c>
      <c r="AB188" s="5" t="s">
        <v>3091</v>
      </c>
      <c r="AC188" s="5" t="s">
        <v>24</v>
      </c>
      <c r="AD188" s="5" t="s">
        <v>24</v>
      </c>
      <c r="AE188" s="5" t="s">
        <v>24</v>
      </c>
      <c r="AF188" s="5" t="s">
        <v>24</v>
      </c>
      <c r="AG188" s="5" t="s">
        <v>24</v>
      </c>
      <c r="AH188" s="5" t="s">
        <v>24</v>
      </c>
      <c r="AI188" s="5" t="s">
        <v>24</v>
      </c>
      <c r="AJ188" s="5" t="s">
        <v>24</v>
      </c>
      <c r="AK188" s="5" t="s">
        <v>24</v>
      </c>
      <c r="AL188" s="5" t="str">
        <f>VLOOKUP(mambo!$H188,Sheet1!B:C,2,FALSE)</f>
        <v>1343886</v>
      </c>
    </row>
    <row r="189" ht="15.75" customHeight="1">
      <c r="A189" s="5" t="s">
        <v>3092</v>
      </c>
      <c r="B189" s="5" t="s">
        <v>3093</v>
      </c>
      <c r="C189" s="5" t="s">
        <v>2126</v>
      </c>
      <c r="D189" s="5" t="s">
        <v>24</v>
      </c>
      <c r="E189" s="5" t="s">
        <v>1848</v>
      </c>
      <c r="F189" s="5" t="s">
        <v>1849</v>
      </c>
      <c r="G189" s="5" t="s">
        <v>24</v>
      </c>
      <c r="H189" s="5" t="s">
        <v>626</v>
      </c>
      <c r="I189" s="5" t="s">
        <v>24</v>
      </c>
      <c r="J189" s="5" t="s">
        <v>24</v>
      </c>
      <c r="K189" s="5" t="s">
        <v>24</v>
      </c>
      <c r="L189" s="5" t="s">
        <v>24</v>
      </c>
      <c r="M189" s="5" t="s">
        <v>1885</v>
      </c>
      <c r="N189" s="5" t="s">
        <v>24</v>
      </c>
      <c r="O189" s="5" t="s">
        <v>2085</v>
      </c>
      <c r="P189" s="5" t="s">
        <v>24</v>
      </c>
      <c r="Q189" s="5" t="s">
        <v>24</v>
      </c>
      <c r="R189" s="5" t="s">
        <v>24</v>
      </c>
      <c r="S189" s="5" t="s">
        <v>1852</v>
      </c>
      <c r="T189" s="5" t="s">
        <v>2127</v>
      </c>
      <c r="U189" s="5" t="s">
        <v>2127</v>
      </c>
      <c r="V189" s="5" t="s">
        <v>1854</v>
      </c>
      <c r="W189" s="5" t="s">
        <v>24</v>
      </c>
      <c r="X189" s="5" t="s">
        <v>24</v>
      </c>
      <c r="Y189" s="5" t="s">
        <v>3094</v>
      </c>
      <c r="Z189" s="5" t="s">
        <v>3095</v>
      </c>
      <c r="AA189" s="5" t="s">
        <v>3095</v>
      </c>
      <c r="AB189" s="5" t="s">
        <v>3095</v>
      </c>
      <c r="AC189" s="5" t="s">
        <v>3096</v>
      </c>
      <c r="AD189" s="5" t="s">
        <v>24</v>
      </c>
      <c r="AE189" s="5" t="s">
        <v>24</v>
      </c>
      <c r="AF189" s="5" t="s">
        <v>24</v>
      </c>
      <c r="AG189" s="5" t="s">
        <v>24</v>
      </c>
      <c r="AH189" s="5" t="s">
        <v>24</v>
      </c>
      <c r="AI189" s="5" t="s">
        <v>24</v>
      </c>
      <c r="AJ189" s="5" t="s">
        <v>24</v>
      </c>
      <c r="AK189" s="5" t="s">
        <v>24</v>
      </c>
      <c r="AL189" s="5" t="str">
        <f>VLOOKUP(mambo!$H189,Sheet1!B:C,2,FALSE)</f>
        <v>1345312</v>
      </c>
    </row>
    <row r="190" ht="15.75" customHeight="1">
      <c r="A190" s="5" t="s">
        <v>3097</v>
      </c>
      <c r="B190" s="5" t="s">
        <v>3098</v>
      </c>
      <c r="C190" s="5" t="s">
        <v>2126</v>
      </c>
      <c r="D190" s="5" t="s">
        <v>24</v>
      </c>
      <c r="E190" s="5" t="s">
        <v>1848</v>
      </c>
      <c r="F190" s="5" t="s">
        <v>1849</v>
      </c>
      <c r="G190" s="5" t="s">
        <v>24</v>
      </c>
      <c r="H190" s="5" t="s">
        <v>748</v>
      </c>
      <c r="I190" s="5" t="s">
        <v>24</v>
      </c>
      <c r="J190" s="5" t="s">
        <v>24</v>
      </c>
      <c r="K190" s="5" t="s">
        <v>24</v>
      </c>
      <c r="L190" s="5" t="s">
        <v>24</v>
      </c>
      <c r="M190" s="5" t="s">
        <v>1885</v>
      </c>
      <c r="N190" s="5" t="s">
        <v>24</v>
      </c>
      <c r="O190" s="5" t="s">
        <v>2085</v>
      </c>
      <c r="P190" s="5" t="s">
        <v>24</v>
      </c>
      <c r="Q190" s="5" t="s">
        <v>24</v>
      </c>
      <c r="R190" s="5" t="s">
        <v>24</v>
      </c>
      <c r="S190" s="5" t="s">
        <v>1852</v>
      </c>
      <c r="T190" s="5" t="s">
        <v>2127</v>
      </c>
      <c r="U190" s="5" t="s">
        <v>2127</v>
      </c>
      <c r="V190" s="5" t="s">
        <v>1854</v>
      </c>
      <c r="W190" s="5" t="s">
        <v>24</v>
      </c>
      <c r="X190" s="5" t="s">
        <v>24</v>
      </c>
      <c r="Y190" s="5" t="s">
        <v>3099</v>
      </c>
      <c r="Z190" s="5" t="s">
        <v>3100</v>
      </c>
      <c r="AA190" s="5" t="s">
        <v>3100</v>
      </c>
      <c r="AB190" s="5" t="s">
        <v>3100</v>
      </c>
      <c r="AC190" s="5" t="s">
        <v>3101</v>
      </c>
      <c r="AD190" s="5" t="s">
        <v>24</v>
      </c>
      <c r="AE190" s="5" t="s">
        <v>24</v>
      </c>
      <c r="AF190" s="5" t="s">
        <v>24</v>
      </c>
      <c r="AG190" s="5" t="s">
        <v>24</v>
      </c>
      <c r="AH190" s="5" t="s">
        <v>24</v>
      </c>
      <c r="AI190" s="5" t="s">
        <v>24</v>
      </c>
      <c r="AJ190" s="5" t="s">
        <v>24</v>
      </c>
      <c r="AK190" s="5" t="s">
        <v>24</v>
      </c>
      <c r="AL190" s="5" t="str">
        <f>VLOOKUP(mambo!$H190,Sheet1!B:C,2,FALSE)</f>
        <v>1345313</v>
      </c>
    </row>
    <row r="191" ht="15.75" customHeight="1">
      <c r="A191" s="5" t="s">
        <v>3102</v>
      </c>
      <c r="B191" s="5" t="s">
        <v>3103</v>
      </c>
      <c r="C191" s="5" t="s">
        <v>2126</v>
      </c>
      <c r="D191" s="5" t="s">
        <v>24</v>
      </c>
      <c r="E191" s="5" t="s">
        <v>1848</v>
      </c>
      <c r="F191" s="5" t="s">
        <v>1849</v>
      </c>
      <c r="G191" s="5" t="s">
        <v>24</v>
      </c>
      <c r="H191" s="5" t="s">
        <v>606</v>
      </c>
      <c r="I191" s="5" t="s">
        <v>24</v>
      </c>
      <c r="J191" s="5" t="s">
        <v>24</v>
      </c>
      <c r="K191" s="5" t="s">
        <v>24</v>
      </c>
      <c r="L191" s="5" t="s">
        <v>24</v>
      </c>
      <c r="M191" s="5" t="s">
        <v>24</v>
      </c>
      <c r="N191" s="5" t="s">
        <v>24</v>
      </c>
      <c r="O191" s="5" t="s">
        <v>1894</v>
      </c>
      <c r="P191" s="5" t="s">
        <v>24</v>
      </c>
      <c r="Q191" s="5" t="s">
        <v>24</v>
      </c>
      <c r="R191" s="5" t="s">
        <v>24</v>
      </c>
      <c r="S191" s="5" t="s">
        <v>1852</v>
      </c>
      <c r="T191" s="5" t="s">
        <v>3104</v>
      </c>
      <c r="U191" s="5" t="s">
        <v>3104</v>
      </c>
      <c r="V191" s="5" t="s">
        <v>1854</v>
      </c>
      <c r="W191" s="5" t="s">
        <v>24</v>
      </c>
      <c r="X191" s="5" t="s">
        <v>24</v>
      </c>
      <c r="Y191" s="5" t="s">
        <v>3105</v>
      </c>
      <c r="Z191" s="5" t="s">
        <v>3106</v>
      </c>
      <c r="AA191" s="5" t="s">
        <v>3106</v>
      </c>
      <c r="AB191" s="5" t="s">
        <v>3106</v>
      </c>
      <c r="AC191" s="5" t="s">
        <v>24</v>
      </c>
      <c r="AD191" s="5" t="s">
        <v>24</v>
      </c>
      <c r="AE191" s="5" t="s">
        <v>24</v>
      </c>
      <c r="AF191" s="5" t="s">
        <v>24</v>
      </c>
      <c r="AG191" s="5" t="s">
        <v>24</v>
      </c>
      <c r="AH191" s="5" t="s">
        <v>24</v>
      </c>
      <c r="AI191" s="5" t="s">
        <v>24</v>
      </c>
      <c r="AJ191" s="5" t="s">
        <v>24</v>
      </c>
      <c r="AK191" s="5" t="s">
        <v>24</v>
      </c>
      <c r="AL191" s="5" t="str">
        <f>VLOOKUP(mambo!$H191,Sheet1!B:C,2,FALSE)</f>
        <v>1275340</v>
      </c>
    </row>
    <row r="192" ht="15.75" customHeight="1">
      <c r="A192" s="5" t="s">
        <v>3107</v>
      </c>
      <c r="B192" s="5" t="s">
        <v>3108</v>
      </c>
      <c r="C192" s="5" t="s">
        <v>106</v>
      </c>
      <c r="D192" s="5" t="s">
        <v>24</v>
      </c>
      <c r="E192" s="5" t="s">
        <v>1848</v>
      </c>
      <c r="F192" s="5" t="s">
        <v>1849</v>
      </c>
      <c r="G192" s="5" t="s">
        <v>24</v>
      </c>
      <c r="H192" s="5" t="s">
        <v>591</v>
      </c>
      <c r="I192" s="5" t="s">
        <v>24</v>
      </c>
      <c r="J192" s="5" t="s">
        <v>24</v>
      </c>
      <c r="K192" s="5" t="s">
        <v>24</v>
      </c>
      <c r="L192" s="5" t="s">
        <v>24</v>
      </c>
      <c r="M192" s="5" t="s">
        <v>24</v>
      </c>
      <c r="N192" s="5" t="s">
        <v>24</v>
      </c>
      <c r="O192" s="5" t="s">
        <v>1933</v>
      </c>
      <c r="P192" s="5" t="s">
        <v>24</v>
      </c>
      <c r="Q192" s="5" t="s">
        <v>24</v>
      </c>
      <c r="R192" s="5" t="s">
        <v>24</v>
      </c>
      <c r="S192" s="5" t="s">
        <v>1852</v>
      </c>
      <c r="T192" s="5" t="s">
        <v>3109</v>
      </c>
      <c r="U192" s="5" t="s">
        <v>3109</v>
      </c>
      <c r="V192" s="5" t="s">
        <v>1854</v>
      </c>
      <c r="W192" s="5" t="s">
        <v>24</v>
      </c>
      <c r="X192" s="5" t="s">
        <v>24</v>
      </c>
      <c r="Y192" s="5" t="s">
        <v>3110</v>
      </c>
      <c r="Z192" s="5" t="s">
        <v>3111</v>
      </c>
      <c r="AA192" s="5" t="s">
        <v>3111</v>
      </c>
      <c r="AB192" s="5" t="s">
        <v>3111</v>
      </c>
      <c r="AC192" s="5" t="s">
        <v>3112</v>
      </c>
      <c r="AD192" s="5" t="s">
        <v>3113</v>
      </c>
      <c r="AE192" s="5" t="s">
        <v>24</v>
      </c>
      <c r="AF192" s="5" t="s">
        <v>24</v>
      </c>
      <c r="AG192" s="5" t="s">
        <v>24</v>
      </c>
      <c r="AH192" s="5" t="s">
        <v>24</v>
      </c>
      <c r="AI192" s="5" t="s">
        <v>24</v>
      </c>
      <c r="AJ192" s="5" t="s">
        <v>24</v>
      </c>
      <c r="AK192" s="5" t="s">
        <v>24</v>
      </c>
      <c r="AL192" s="5" t="str">
        <f>VLOOKUP(mambo!$H192,Sheet1!B:C,2,FALSE)</f>
        <v>1275439</v>
      </c>
    </row>
    <row r="193" ht="15.75" customHeight="1">
      <c r="A193" s="5" t="s">
        <v>3114</v>
      </c>
      <c r="B193" s="5" t="s">
        <v>3115</v>
      </c>
      <c r="C193" s="5" t="s">
        <v>227</v>
      </c>
      <c r="D193" s="5" t="s">
        <v>24</v>
      </c>
      <c r="E193" s="5" t="s">
        <v>1848</v>
      </c>
      <c r="F193" s="5" t="s">
        <v>1849</v>
      </c>
      <c r="G193" s="5" t="s">
        <v>24</v>
      </c>
      <c r="H193" s="5" t="s">
        <v>581</v>
      </c>
      <c r="I193" s="5" t="s">
        <v>24</v>
      </c>
      <c r="J193" s="5" t="s">
        <v>24</v>
      </c>
      <c r="K193" s="5" t="s">
        <v>24</v>
      </c>
      <c r="L193" s="5" t="s">
        <v>24</v>
      </c>
      <c r="M193" s="5" t="s">
        <v>24</v>
      </c>
      <c r="N193" s="5" t="s">
        <v>24</v>
      </c>
      <c r="O193" s="5" t="s">
        <v>1894</v>
      </c>
      <c r="P193" s="5" t="s">
        <v>24</v>
      </c>
      <c r="Q193" s="5" t="s">
        <v>24</v>
      </c>
      <c r="R193" s="5" t="s">
        <v>24</v>
      </c>
      <c r="S193" s="5" t="s">
        <v>1852</v>
      </c>
      <c r="T193" s="5" t="s">
        <v>1939</v>
      </c>
      <c r="U193" s="5" t="s">
        <v>1939</v>
      </c>
      <c r="V193" s="5" t="s">
        <v>1854</v>
      </c>
      <c r="W193" s="5" t="s">
        <v>24</v>
      </c>
      <c r="X193" s="5" t="s">
        <v>24</v>
      </c>
      <c r="Y193" s="5" t="s">
        <v>3116</v>
      </c>
      <c r="Z193" s="5" t="s">
        <v>3117</v>
      </c>
      <c r="AA193" s="5" t="s">
        <v>3117</v>
      </c>
      <c r="AB193" s="5" t="s">
        <v>3117</v>
      </c>
      <c r="AC193" s="5" t="s">
        <v>3118</v>
      </c>
      <c r="AD193" s="5" t="s">
        <v>3119</v>
      </c>
      <c r="AE193" s="5" t="s">
        <v>3120</v>
      </c>
      <c r="AF193" s="5" t="s">
        <v>3121</v>
      </c>
      <c r="AG193" s="5" t="s">
        <v>24</v>
      </c>
      <c r="AH193" s="5" t="s">
        <v>24</v>
      </c>
      <c r="AI193" s="5" t="s">
        <v>24</v>
      </c>
      <c r="AJ193" s="5" t="s">
        <v>24</v>
      </c>
      <c r="AK193" s="5" t="s">
        <v>24</v>
      </c>
      <c r="AL193" s="5" t="str">
        <f>VLOOKUP(mambo!$H193,Sheet1!B:C,2,FALSE)</f>
        <v>4043140</v>
      </c>
    </row>
    <row r="194" ht="15.75" customHeight="1">
      <c r="A194" s="5" t="s">
        <v>3122</v>
      </c>
      <c r="B194" s="5" t="s">
        <v>3123</v>
      </c>
      <c r="C194" s="5" t="s">
        <v>2126</v>
      </c>
      <c r="D194" s="5" t="s">
        <v>24</v>
      </c>
      <c r="E194" s="5" t="s">
        <v>1848</v>
      </c>
      <c r="F194" s="5" t="s">
        <v>1849</v>
      </c>
      <c r="G194" s="5" t="s">
        <v>24</v>
      </c>
      <c r="H194" s="5" t="s">
        <v>1686</v>
      </c>
      <c r="I194" s="5" t="s">
        <v>24</v>
      </c>
      <c r="J194" s="5" t="s">
        <v>24</v>
      </c>
      <c r="K194" s="5" t="s">
        <v>24</v>
      </c>
      <c r="L194" s="5" t="s">
        <v>24</v>
      </c>
      <c r="M194" s="5" t="s">
        <v>24</v>
      </c>
      <c r="N194" s="5" t="s">
        <v>24</v>
      </c>
      <c r="O194" s="5" t="s">
        <v>1933</v>
      </c>
      <c r="P194" s="5" t="s">
        <v>24</v>
      </c>
      <c r="Q194" s="5" t="s">
        <v>24</v>
      </c>
      <c r="R194" s="5" t="s">
        <v>24</v>
      </c>
      <c r="S194" s="5" t="s">
        <v>1852</v>
      </c>
      <c r="T194" s="5" t="s">
        <v>3109</v>
      </c>
      <c r="U194" s="5" t="s">
        <v>3109</v>
      </c>
      <c r="V194" s="5" t="s">
        <v>1854</v>
      </c>
      <c r="W194" s="5" t="s">
        <v>24</v>
      </c>
      <c r="X194" s="5" t="s">
        <v>24</v>
      </c>
      <c r="Y194" s="5" t="s">
        <v>3124</v>
      </c>
      <c r="Z194" s="5" t="s">
        <v>3125</v>
      </c>
      <c r="AA194" s="5" t="s">
        <v>3125</v>
      </c>
      <c r="AB194" s="5" t="s">
        <v>3125</v>
      </c>
      <c r="AC194" s="5" t="s">
        <v>3126</v>
      </c>
      <c r="AD194" s="5" t="s">
        <v>3127</v>
      </c>
      <c r="AE194" s="5" t="s">
        <v>24</v>
      </c>
      <c r="AF194" s="5" t="s">
        <v>24</v>
      </c>
      <c r="AG194" s="5" t="s">
        <v>24</v>
      </c>
      <c r="AH194" s="5" t="s">
        <v>24</v>
      </c>
      <c r="AI194" s="5" t="s">
        <v>24</v>
      </c>
      <c r="AJ194" s="5" t="s">
        <v>24</v>
      </c>
      <c r="AK194" s="5" t="s">
        <v>24</v>
      </c>
      <c r="AL194" s="5" t="str">
        <f>VLOOKUP(mambo!$H194,Sheet1!B:C,2,FALSE)</f>
        <v>1275329</v>
      </c>
    </row>
    <row r="195" ht="15.75" customHeight="1">
      <c r="A195" s="5" t="s">
        <v>3128</v>
      </c>
      <c r="B195" s="5" t="s">
        <v>3129</v>
      </c>
      <c r="C195" s="5" t="s">
        <v>2126</v>
      </c>
      <c r="D195" s="5" t="s">
        <v>24</v>
      </c>
      <c r="E195" s="5" t="s">
        <v>1848</v>
      </c>
      <c r="F195" s="5" t="s">
        <v>1849</v>
      </c>
      <c r="G195" s="5" t="s">
        <v>24</v>
      </c>
      <c r="H195" s="5" t="s">
        <v>936</v>
      </c>
      <c r="I195" s="5" t="s">
        <v>24</v>
      </c>
      <c r="J195" s="5" t="s">
        <v>24</v>
      </c>
      <c r="K195" s="5" t="s">
        <v>24</v>
      </c>
      <c r="L195" s="5" t="s">
        <v>24</v>
      </c>
      <c r="M195" s="5" t="s">
        <v>24</v>
      </c>
      <c r="N195" s="5" t="s">
        <v>24</v>
      </c>
      <c r="O195" s="5" t="s">
        <v>1933</v>
      </c>
      <c r="P195" s="5" t="s">
        <v>24</v>
      </c>
      <c r="Q195" s="5" t="s">
        <v>24</v>
      </c>
      <c r="R195" s="5" t="s">
        <v>24</v>
      </c>
      <c r="S195" s="5" t="s">
        <v>1852</v>
      </c>
      <c r="T195" s="5" t="s">
        <v>3109</v>
      </c>
      <c r="U195" s="5" t="s">
        <v>3109</v>
      </c>
      <c r="V195" s="5" t="s">
        <v>1854</v>
      </c>
      <c r="W195" s="5" t="s">
        <v>24</v>
      </c>
      <c r="X195" s="5" t="s">
        <v>24</v>
      </c>
      <c r="Y195" s="5" t="s">
        <v>3130</v>
      </c>
      <c r="Z195" s="5" t="s">
        <v>3131</v>
      </c>
      <c r="AA195" s="5" t="s">
        <v>3131</v>
      </c>
      <c r="AB195" s="5" t="s">
        <v>3131</v>
      </c>
      <c r="AC195" s="5" t="s">
        <v>3132</v>
      </c>
      <c r="AD195" s="5" t="s">
        <v>3133</v>
      </c>
      <c r="AE195" s="5" t="s">
        <v>24</v>
      </c>
      <c r="AF195" s="5" t="s">
        <v>24</v>
      </c>
      <c r="AG195" s="5" t="s">
        <v>24</v>
      </c>
      <c r="AH195" s="5" t="s">
        <v>24</v>
      </c>
      <c r="AI195" s="5" t="s">
        <v>24</v>
      </c>
      <c r="AJ195" s="5" t="s">
        <v>24</v>
      </c>
      <c r="AK195" s="5" t="s">
        <v>24</v>
      </c>
      <c r="AL195" s="5" t="str">
        <f>VLOOKUP(mambo!$H195,Sheet1!B:C,2,FALSE)</f>
        <v>1275437</v>
      </c>
    </row>
    <row r="196" ht="15.75" customHeight="1">
      <c r="A196" s="5" t="s">
        <v>3134</v>
      </c>
      <c r="B196" s="5" t="s">
        <v>3135</v>
      </c>
      <c r="C196" s="5" t="s">
        <v>2126</v>
      </c>
      <c r="D196" s="5" t="s">
        <v>24</v>
      </c>
      <c r="E196" s="5" t="s">
        <v>1848</v>
      </c>
      <c r="F196" s="5" t="s">
        <v>1849</v>
      </c>
      <c r="G196" s="5" t="s">
        <v>24</v>
      </c>
      <c r="H196" s="5" t="s">
        <v>631</v>
      </c>
      <c r="I196" s="5" t="s">
        <v>24</v>
      </c>
      <c r="J196" s="5" t="s">
        <v>24</v>
      </c>
      <c r="K196" s="5" t="s">
        <v>24</v>
      </c>
      <c r="L196" s="5" t="s">
        <v>24</v>
      </c>
      <c r="M196" s="5" t="s">
        <v>24</v>
      </c>
      <c r="N196" s="5" t="s">
        <v>24</v>
      </c>
      <c r="O196" s="5" t="s">
        <v>3136</v>
      </c>
      <c r="P196" s="5" t="s">
        <v>24</v>
      </c>
      <c r="Q196" s="5" t="s">
        <v>24</v>
      </c>
      <c r="R196" s="5" t="s">
        <v>24</v>
      </c>
      <c r="S196" s="5" t="s">
        <v>1852</v>
      </c>
      <c r="T196" s="5" t="s">
        <v>3137</v>
      </c>
      <c r="U196" s="5" t="s">
        <v>3137</v>
      </c>
      <c r="V196" s="5" t="s">
        <v>1854</v>
      </c>
      <c r="W196" s="5" t="s">
        <v>24</v>
      </c>
      <c r="X196" s="5" t="s">
        <v>24</v>
      </c>
      <c r="Y196" s="5" t="s">
        <v>3138</v>
      </c>
      <c r="Z196" s="5" t="s">
        <v>3139</v>
      </c>
      <c r="AA196" s="5" t="s">
        <v>3139</v>
      </c>
      <c r="AB196" s="5" t="s">
        <v>3139</v>
      </c>
      <c r="AC196" s="5" t="s">
        <v>3140</v>
      </c>
      <c r="AD196" s="5" t="s">
        <v>24</v>
      </c>
      <c r="AE196" s="5" t="s">
        <v>24</v>
      </c>
      <c r="AF196" s="5" t="s">
        <v>24</v>
      </c>
      <c r="AG196" s="5" t="s">
        <v>24</v>
      </c>
      <c r="AH196" s="5" t="s">
        <v>24</v>
      </c>
      <c r="AI196" s="5" t="s">
        <v>24</v>
      </c>
      <c r="AJ196" s="5" t="s">
        <v>24</v>
      </c>
      <c r="AK196" s="5" t="s">
        <v>24</v>
      </c>
      <c r="AL196" s="5" t="str">
        <f>VLOOKUP(mambo!$H196,Sheet1!B:C,2,FALSE)</f>
        <v>1275557</v>
      </c>
    </row>
    <row r="197" ht="15.75" hidden="1" customHeight="1">
      <c r="A197" s="5" t="s">
        <v>3141</v>
      </c>
      <c r="B197" s="5" t="s">
        <v>3142</v>
      </c>
      <c r="C197" s="5" t="s">
        <v>117</v>
      </c>
      <c r="D197" s="5" t="s">
        <v>24</v>
      </c>
      <c r="E197" s="5" t="s">
        <v>1848</v>
      </c>
      <c r="F197" s="5" t="s">
        <v>1849</v>
      </c>
      <c r="G197" s="5" t="s">
        <v>24</v>
      </c>
      <c r="H197" s="5" t="s">
        <v>3143</v>
      </c>
      <c r="I197" s="5" t="s">
        <v>24</v>
      </c>
      <c r="J197" s="5" t="s">
        <v>24</v>
      </c>
      <c r="K197" s="5" t="s">
        <v>24</v>
      </c>
      <c r="L197" s="5" t="s">
        <v>24</v>
      </c>
      <c r="M197" s="5" t="s">
        <v>24</v>
      </c>
      <c r="N197" s="5" t="s">
        <v>24</v>
      </c>
      <c r="O197" s="5" t="s">
        <v>2626</v>
      </c>
      <c r="P197" s="5" t="s">
        <v>24</v>
      </c>
      <c r="Q197" s="5" t="s">
        <v>24</v>
      </c>
      <c r="R197" s="5" t="s">
        <v>24</v>
      </c>
      <c r="S197" s="5" t="s">
        <v>1852</v>
      </c>
      <c r="T197" s="5" t="s">
        <v>3039</v>
      </c>
      <c r="U197" s="5" t="s">
        <v>3039</v>
      </c>
      <c r="V197" s="5" t="s">
        <v>1854</v>
      </c>
      <c r="W197" s="5" t="s">
        <v>24</v>
      </c>
      <c r="X197" s="5" t="s">
        <v>24</v>
      </c>
      <c r="Y197" s="5" t="s">
        <v>3144</v>
      </c>
      <c r="Z197" s="5" t="s">
        <v>3145</v>
      </c>
      <c r="AA197" s="5" t="s">
        <v>3145</v>
      </c>
      <c r="AB197" s="5" t="s">
        <v>3145</v>
      </c>
      <c r="AC197" s="5" t="s">
        <v>24</v>
      </c>
      <c r="AD197" s="5" t="s">
        <v>24</v>
      </c>
      <c r="AE197" s="5" t="s">
        <v>24</v>
      </c>
      <c r="AF197" s="5" t="s">
        <v>24</v>
      </c>
      <c r="AG197" s="5" t="s">
        <v>24</v>
      </c>
      <c r="AH197" s="5" t="s">
        <v>24</v>
      </c>
      <c r="AI197" s="5" t="s">
        <v>24</v>
      </c>
      <c r="AJ197" s="5" t="s">
        <v>24</v>
      </c>
      <c r="AK197" s="5" t="s">
        <v>24</v>
      </c>
      <c r="AL197" s="5" t="str">
        <f>VLOOKUP(mambo!$H197,Sheet1!B:C,2,FALSE)</f>
        <v>#N/A</v>
      </c>
    </row>
    <row r="198" ht="15.75" hidden="1" customHeight="1">
      <c r="A198" s="5" t="s">
        <v>3146</v>
      </c>
      <c r="B198" s="5" t="s">
        <v>3147</v>
      </c>
      <c r="C198" s="5" t="s">
        <v>3148</v>
      </c>
      <c r="D198" s="5" t="s">
        <v>24</v>
      </c>
      <c r="E198" s="5" t="s">
        <v>1848</v>
      </c>
      <c r="F198" s="5" t="s">
        <v>1849</v>
      </c>
      <c r="G198" s="5" t="s">
        <v>24</v>
      </c>
      <c r="H198" s="5" t="s">
        <v>3149</v>
      </c>
      <c r="I198" s="5" t="s">
        <v>24</v>
      </c>
      <c r="J198" s="5" t="s">
        <v>24</v>
      </c>
      <c r="K198" s="5" t="s">
        <v>24</v>
      </c>
      <c r="L198" s="5" t="s">
        <v>24</v>
      </c>
      <c r="M198" s="5" t="s">
        <v>24</v>
      </c>
      <c r="N198" s="5" t="s">
        <v>24</v>
      </c>
      <c r="O198" s="5" t="s">
        <v>1851</v>
      </c>
      <c r="P198" s="5" t="s">
        <v>24</v>
      </c>
      <c r="Q198" s="5" t="s">
        <v>24</v>
      </c>
      <c r="R198" s="5" t="s">
        <v>24</v>
      </c>
      <c r="S198" s="5" t="s">
        <v>1852</v>
      </c>
      <c r="T198" s="5" t="s">
        <v>3150</v>
      </c>
      <c r="U198" s="5" t="s">
        <v>3150</v>
      </c>
      <c r="V198" s="5" t="s">
        <v>1854</v>
      </c>
      <c r="W198" s="5" t="s">
        <v>24</v>
      </c>
      <c r="X198" s="5" t="s">
        <v>24</v>
      </c>
      <c r="Y198" s="5" t="s">
        <v>3151</v>
      </c>
      <c r="Z198" s="5" t="s">
        <v>3152</v>
      </c>
      <c r="AA198" s="5" t="s">
        <v>3152</v>
      </c>
      <c r="AB198" s="5" t="s">
        <v>3152</v>
      </c>
      <c r="AC198" s="5" t="s">
        <v>24</v>
      </c>
      <c r="AD198" s="5" t="s">
        <v>24</v>
      </c>
      <c r="AE198" s="5" t="s">
        <v>24</v>
      </c>
      <c r="AF198" s="5" t="s">
        <v>24</v>
      </c>
      <c r="AG198" s="5" t="s">
        <v>24</v>
      </c>
      <c r="AH198" s="5" t="s">
        <v>24</v>
      </c>
      <c r="AI198" s="5" t="s">
        <v>24</v>
      </c>
      <c r="AJ198" s="5" t="s">
        <v>24</v>
      </c>
      <c r="AK198" s="5" t="s">
        <v>24</v>
      </c>
      <c r="AL198" s="5" t="str">
        <f>VLOOKUP(mambo!$H198,Sheet1!B:C,2,FALSE)</f>
        <v>#N/A</v>
      </c>
    </row>
    <row r="199" ht="15.75" customHeight="1">
      <c r="A199" s="5" t="s">
        <v>3153</v>
      </c>
      <c r="B199" s="5" t="s">
        <v>3154</v>
      </c>
      <c r="C199" s="5" t="s">
        <v>1915</v>
      </c>
      <c r="D199" s="5" t="s">
        <v>24</v>
      </c>
      <c r="E199" s="5" t="s">
        <v>1848</v>
      </c>
      <c r="F199" s="5" t="s">
        <v>1849</v>
      </c>
      <c r="G199" s="5" t="s">
        <v>24</v>
      </c>
      <c r="H199" s="5" t="s">
        <v>774</v>
      </c>
      <c r="I199" s="5" t="s">
        <v>24</v>
      </c>
      <c r="J199" s="5" t="s">
        <v>24</v>
      </c>
      <c r="K199" s="5" t="s">
        <v>24</v>
      </c>
      <c r="L199" s="5" t="s">
        <v>24</v>
      </c>
      <c r="M199" s="5" t="s">
        <v>1885</v>
      </c>
      <c r="N199" s="5" t="s">
        <v>24</v>
      </c>
      <c r="O199" s="5" t="s">
        <v>1917</v>
      </c>
      <c r="P199" s="5" t="s">
        <v>24</v>
      </c>
      <c r="Q199" s="5" t="s">
        <v>24</v>
      </c>
      <c r="R199" s="5" t="s">
        <v>24</v>
      </c>
      <c r="S199" s="5" t="s">
        <v>1852</v>
      </c>
      <c r="T199" s="5" t="s">
        <v>1918</v>
      </c>
      <c r="U199" s="5" t="s">
        <v>1918</v>
      </c>
      <c r="V199" s="5" t="s">
        <v>1854</v>
      </c>
      <c r="W199" s="5" t="s">
        <v>24</v>
      </c>
      <c r="X199" s="5" t="s">
        <v>24</v>
      </c>
      <c r="Y199" s="5" t="s">
        <v>3155</v>
      </c>
      <c r="Z199" s="5" t="s">
        <v>3156</v>
      </c>
      <c r="AA199" s="5" t="s">
        <v>3156</v>
      </c>
      <c r="AB199" s="5" t="s">
        <v>3156</v>
      </c>
      <c r="AC199" s="5" t="s">
        <v>24</v>
      </c>
      <c r="AD199" s="5" t="s">
        <v>24</v>
      </c>
      <c r="AE199" s="5" t="s">
        <v>24</v>
      </c>
      <c r="AF199" s="5" t="s">
        <v>24</v>
      </c>
      <c r="AG199" s="5" t="s">
        <v>24</v>
      </c>
      <c r="AH199" s="5" t="s">
        <v>24</v>
      </c>
      <c r="AI199" s="5" t="s">
        <v>24</v>
      </c>
      <c r="AJ199" s="5" t="s">
        <v>24</v>
      </c>
      <c r="AK199" s="5" t="s">
        <v>24</v>
      </c>
      <c r="AL199" s="5" t="str">
        <f>VLOOKUP(mambo!$H199,Sheet1!B:C,2,FALSE)</f>
        <v>1199845</v>
      </c>
    </row>
    <row r="200" ht="15.75" customHeight="1">
      <c r="A200" s="5" t="s">
        <v>3157</v>
      </c>
      <c r="B200" s="5" t="s">
        <v>3158</v>
      </c>
      <c r="C200" s="5" t="s">
        <v>394</v>
      </c>
      <c r="D200" s="5" t="s">
        <v>24</v>
      </c>
      <c r="E200" s="5" t="s">
        <v>1848</v>
      </c>
      <c r="F200" s="5" t="s">
        <v>1849</v>
      </c>
      <c r="G200" s="5" t="s">
        <v>24</v>
      </c>
      <c r="H200" s="5" t="s">
        <v>1752</v>
      </c>
      <c r="I200" s="5" t="s">
        <v>24</v>
      </c>
      <c r="J200" s="5" t="s">
        <v>24</v>
      </c>
      <c r="K200" s="5" t="s">
        <v>24</v>
      </c>
      <c r="L200" s="5" t="s">
        <v>24</v>
      </c>
      <c r="M200" s="5" t="s">
        <v>24</v>
      </c>
      <c r="N200" s="5" t="s">
        <v>24</v>
      </c>
      <c r="O200" s="5" t="s">
        <v>1851</v>
      </c>
      <c r="P200" s="5" t="s">
        <v>24</v>
      </c>
      <c r="Q200" s="5" t="s">
        <v>24</v>
      </c>
      <c r="R200" s="5" t="s">
        <v>24</v>
      </c>
      <c r="S200" s="5" t="s">
        <v>1852</v>
      </c>
      <c r="T200" s="5" t="s">
        <v>3150</v>
      </c>
      <c r="U200" s="5" t="s">
        <v>3150</v>
      </c>
      <c r="V200" s="5" t="s">
        <v>1854</v>
      </c>
      <c r="W200" s="5" t="s">
        <v>24</v>
      </c>
      <c r="X200" s="5" t="s">
        <v>24</v>
      </c>
      <c r="Y200" s="5" t="s">
        <v>3159</v>
      </c>
      <c r="Z200" s="5" t="s">
        <v>3160</v>
      </c>
      <c r="AA200" s="5" t="s">
        <v>3160</v>
      </c>
      <c r="AB200" s="5" t="s">
        <v>3160</v>
      </c>
      <c r="AC200" s="5" t="s">
        <v>3161</v>
      </c>
      <c r="AD200" s="5" t="s">
        <v>3162</v>
      </c>
      <c r="AE200" s="5" t="s">
        <v>3163</v>
      </c>
      <c r="AF200" s="5" t="s">
        <v>3164</v>
      </c>
      <c r="AG200" s="5" t="s">
        <v>3165</v>
      </c>
      <c r="AH200" s="5" t="s">
        <v>3166</v>
      </c>
      <c r="AI200" s="5" t="s">
        <v>24</v>
      </c>
      <c r="AJ200" s="5" t="s">
        <v>24</v>
      </c>
      <c r="AK200" s="5" t="s">
        <v>24</v>
      </c>
      <c r="AL200" s="5" t="str">
        <f>VLOOKUP(mambo!$H200,Sheet1!B:C,2,FALSE)</f>
        <v>6836832</v>
      </c>
    </row>
    <row r="201" ht="15.75" customHeight="1">
      <c r="A201" s="5" t="s">
        <v>3167</v>
      </c>
      <c r="B201" s="5" t="s">
        <v>3168</v>
      </c>
      <c r="C201" s="5" t="s">
        <v>2635</v>
      </c>
      <c r="D201" s="5" t="s">
        <v>24</v>
      </c>
      <c r="E201" s="5" t="s">
        <v>1848</v>
      </c>
      <c r="F201" s="5" t="s">
        <v>1849</v>
      </c>
      <c r="G201" s="5" t="s">
        <v>24</v>
      </c>
      <c r="H201" s="5" t="s">
        <v>1388</v>
      </c>
      <c r="I201" s="5" t="s">
        <v>24</v>
      </c>
      <c r="J201" s="5" t="s">
        <v>24</v>
      </c>
      <c r="K201" s="5" t="s">
        <v>24</v>
      </c>
      <c r="L201" s="5" t="s">
        <v>24</v>
      </c>
      <c r="M201" s="5" t="s">
        <v>24</v>
      </c>
      <c r="N201" s="5" t="s">
        <v>24</v>
      </c>
      <c r="O201" s="5" t="s">
        <v>3169</v>
      </c>
      <c r="P201" s="5" t="s">
        <v>24</v>
      </c>
      <c r="Q201" s="5" t="s">
        <v>24</v>
      </c>
      <c r="R201" s="5" t="s">
        <v>24</v>
      </c>
      <c r="S201" s="5" t="s">
        <v>1852</v>
      </c>
      <c r="T201" s="5" t="s">
        <v>1887</v>
      </c>
      <c r="U201" s="5" t="s">
        <v>1887</v>
      </c>
      <c r="V201" s="5" t="s">
        <v>1854</v>
      </c>
      <c r="W201" s="5" t="s">
        <v>24</v>
      </c>
      <c r="X201" s="5" t="s">
        <v>24</v>
      </c>
      <c r="Y201" s="5" t="s">
        <v>3170</v>
      </c>
      <c r="Z201" s="5" t="s">
        <v>3171</v>
      </c>
      <c r="AA201" s="5" t="s">
        <v>3171</v>
      </c>
      <c r="AB201" s="5" t="s">
        <v>3171</v>
      </c>
      <c r="AC201" s="5" t="s">
        <v>24</v>
      </c>
      <c r="AD201" s="5" t="s">
        <v>24</v>
      </c>
      <c r="AE201" s="5" t="s">
        <v>24</v>
      </c>
      <c r="AF201" s="5" t="s">
        <v>24</v>
      </c>
      <c r="AG201" s="5" t="s">
        <v>24</v>
      </c>
      <c r="AH201" s="5" t="s">
        <v>24</v>
      </c>
      <c r="AI201" s="5" t="s">
        <v>24</v>
      </c>
      <c r="AJ201" s="5" t="s">
        <v>24</v>
      </c>
      <c r="AK201" s="5" t="s">
        <v>24</v>
      </c>
      <c r="AL201" s="5" t="str">
        <f>VLOOKUP(mambo!$H201,Sheet1!B:C,2,FALSE)</f>
        <v>5757121</v>
      </c>
    </row>
    <row r="202" ht="15.75" customHeight="1">
      <c r="A202" s="5" t="s">
        <v>3172</v>
      </c>
      <c r="B202" s="5" t="s">
        <v>3173</v>
      </c>
      <c r="C202" s="5" t="s">
        <v>2019</v>
      </c>
      <c r="D202" s="5" t="s">
        <v>24</v>
      </c>
      <c r="E202" s="5" t="s">
        <v>1848</v>
      </c>
      <c r="F202" s="5" t="s">
        <v>1849</v>
      </c>
      <c r="G202" s="5" t="s">
        <v>24</v>
      </c>
      <c r="H202" s="5" t="s">
        <v>1647</v>
      </c>
      <c r="I202" s="5" t="s">
        <v>24</v>
      </c>
      <c r="J202" s="5" t="s">
        <v>24</v>
      </c>
      <c r="K202" s="5" t="s">
        <v>24</v>
      </c>
      <c r="L202" s="5" t="s">
        <v>24</v>
      </c>
      <c r="M202" s="5" t="s">
        <v>24</v>
      </c>
      <c r="N202" s="5" t="s">
        <v>24</v>
      </c>
      <c r="O202" s="5" t="s">
        <v>1933</v>
      </c>
      <c r="P202" s="5" t="s">
        <v>24</v>
      </c>
      <c r="Q202" s="5" t="s">
        <v>24</v>
      </c>
      <c r="R202" s="5" t="s">
        <v>24</v>
      </c>
      <c r="S202" s="5" t="s">
        <v>1852</v>
      </c>
      <c r="T202" s="5" t="s">
        <v>2724</v>
      </c>
      <c r="U202" s="5" t="s">
        <v>2724</v>
      </c>
      <c r="V202" s="5" t="s">
        <v>1854</v>
      </c>
      <c r="W202" s="5" t="s">
        <v>24</v>
      </c>
      <c r="X202" s="5" t="s">
        <v>24</v>
      </c>
      <c r="Y202" s="5" t="s">
        <v>3174</v>
      </c>
      <c r="Z202" s="5" t="s">
        <v>3175</v>
      </c>
      <c r="AA202" s="5" t="s">
        <v>3175</v>
      </c>
      <c r="AB202" s="5" t="s">
        <v>3175</v>
      </c>
      <c r="AC202" s="5" t="s">
        <v>24</v>
      </c>
      <c r="AD202" s="5" t="s">
        <v>24</v>
      </c>
      <c r="AE202" s="5" t="s">
        <v>24</v>
      </c>
      <c r="AF202" s="5" t="s">
        <v>24</v>
      </c>
      <c r="AG202" s="5" t="s">
        <v>24</v>
      </c>
      <c r="AH202" s="5" t="s">
        <v>24</v>
      </c>
      <c r="AI202" s="5" t="s">
        <v>24</v>
      </c>
      <c r="AJ202" s="5" t="s">
        <v>24</v>
      </c>
      <c r="AK202" s="5" t="s">
        <v>24</v>
      </c>
      <c r="AL202" s="5" t="str">
        <f>VLOOKUP(mambo!$H202,Sheet1!B:C,2,FALSE)</f>
        <v>1405397</v>
      </c>
    </row>
    <row r="203" ht="15.75" customHeight="1">
      <c r="A203" s="5" t="s">
        <v>3176</v>
      </c>
      <c r="B203" s="5" t="s">
        <v>3177</v>
      </c>
      <c r="C203" s="5" t="s">
        <v>227</v>
      </c>
      <c r="D203" s="5" t="s">
        <v>24</v>
      </c>
      <c r="E203" s="5" t="s">
        <v>1848</v>
      </c>
      <c r="F203" s="5" t="s">
        <v>1849</v>
      </c>
      <c r="G203" s="5" t="s">
        <v>24</v>
      </c>
      <c r="H203" s="5" t="s">
        <v>1128</v>
      </c>
      <c r="I203" s="5" t="s">
        <v>24</v>
      </c>
      <c r="J203" s="5" t="s">
        <v>24</v>
      </c>
      <c r="K203" s="5" t="s">
        <v>24</v>
      </c>
      <c r="L203" s="5" t="s">
        <v>24</v>
      </c>
      <c r="M203" s="5" t="s">
        <v>1885</v>
      </c>
      <c r="N203" s="5" t="s">
        <v>24</v>
      </c>
      <c r="O203" s="5" t="s">
        <v>1986</v>
      </c>
      <c r="P203" s="5" t="s">
        <v>24</v>
      </c>
      <c r="Q203" s="5" t="s">
        <v>24</v>
      </c>
      <c r="R203" s="5" t="s">
        <v>24</v>
      </c>
      <c r="S203" s="5" t="s">
        <v>1852</v>
      </c>
      <c r="T203" s="5" t="s">
        <v>1970</v>
      </c>
      <c r="U203" s="5" t="s">
        <v>1970</v>
      </c>
      <c r="V203" s="5" t="s">
        <v>1854</v>
      </c>
      <c r="W203" s="5" t="s">
        <v>24</v>
      </c>
      <c r="X203" s="5" t="s">
        <v>24</v>
      </c>
      <c r="Y203" s="5" t="s">
        <v>3178</v>
      </c>
      <c r="Z203" s="5" t="s">
        <v>3179</v>
      </c>
      <c r="AA203" s="5" t="s">
        <v>3179</v>
      </c>
      <c r="AB203" s="5" t="s">
        <v>3179</v>
      </c>
      <c r="AC203" s="5" t="s">
        <v>3180</v>
      </c>
      <c r="AD203" s="5" t="s">
        <v>3181</v>
      </c>
      <c r="AE203" s="5" t="s">
        <v>3182</v>
      </c>
      <c r="AF203" s="5" t="s">
        <v>24</v>
      </c>
      <c r="AG203" s="5" t="s">
        <v>24</v>
      </c>
      <c r="AH203" s="5" t="s">
        <v>24</v>
      </c>
      <c r="AI203" s="5" t="s">
        <v>24</v>
      </c>
      <c r="AJ203" s="5" t="s">
        <v>24</v>
      </c>
      <c r="AK203" s="5" t="s">
        <v>24</v>
      </c>
      <c r="AL203" s="5" t="str">
        <f>VLOOKUP(mambo!$H203,Sheet1!B:C,2,FALSE)</f>
        <v>1352655</v>
      </c>
    </row>
    <row r="204" ht="15.75" customHeight="1">
      <c r="A204" s="5" t="s">
        <v>3183</v>
      </c>
      <c r="B204" s="5" t="s">
        <v>3184</v>
      </c>
      <c r="C204" s="5" t="s">
        <v>227</v>
      </c>
      <c r="D204" s="5" t="s">
        <v>24</v>
      </c>
      <c r="E204" s="5" t="s">
        <v>1848</v>
      </c>
      <c r="F204" s="5" t="s">
        <v>1849</v>
      </c>
      <c r="G204" s="5" t="s">
        <v>24</v>
      </c>
      <c r="H204" s="5" t="s">
        <v>1539</v>
      </c>
      <c r="I204" s="5" t="s">
        <v>24</v>
      </c>
      <c r="J204" s="5" t="s">
        <v>24</v>
      </c>
      <c r="K204" s="5" t="s">
        <v>24</v>
      </c>
      <c r="L204" s="5" t="s">
        <v>24</v>
      </c>
      <c r="M204" s="5" t="s">
        <v>1885</v>
      </c>
      <c r="N204" s="5" t="s">
        <v>24</v>
      </c>
      <c r="O204" s="5" t="s">
        <v>24</v>
      </c>
      <c r="P204" s="5" t="s">
        <v>24</v>
      </c>
      <c r="Q204" s="5" t="s">
        <v>24</v>
      </c>
      <c r="R204" s="5" t="s">
        <v>24</v>
      </c>
      <c r="S204" s="5" t="s">
        <v>1852</v>
      </c>
      <c r="T204" s="5" t="s">
        <v>1970</v>
      </c>
      <c r="U204" s="5" t="s">
        <v>1970</v>
      </c>
      <c r="V204" s="5" t="s">
        <v>1854</v>
      </c>
      <c r="W204" s="5" t="s">
        <v>24</v>
      </c>
      <c r="X204" s="5" t="s">
        <v>24</v>
      </c>
      <c r="Y204" s="5" t="s">
        <v>3185</v>
      </c>
      <c r="Z204" s="5" t="s">
        <v>3186</v>
      </c>
      <c r="AA204" s="5" t="s">
        <v>3186</v>
      </c>
      <c r="AB204" s="5" t="s">
        <v>3186</v>
      </c>
      <c r="AC204" s="5" t="s">
        <v>24</v>
      </c>
      <c r="AD204" s="5" t="s">
        <v>24</v>
      </c>
      <c r="AE204" s="5" t="s">
        <v>24</v>
      </c>
      <c r="AF204" s="5" t="s">
        <v>24</v>
      </c>
      <c r="AG204" s="5" t="s">
        <v>24</v>
      </c>
      <c r="AH204" s="5" t="s">
        <v>24</v>
      </c>
      <c r="AI204" s="5" t="s">
        <v>24</v>
      </c>
      <c r="AJ204" s="5" t="s">
        <v>24</v>
      </c>
      <c r="AK204" s="5" t="s">
        <v>24</v>
      </c>
      <c r="AL204" s="5" t="str">
        <f>VLOOKUP(mambo!$H204,Sheet1!B:C,2,FALSE)</f>
        <v>1352654</v>
      </c>
    </row>
    <row r="205" ht="15.75" hidden="1" customHeight="1">
      <c r="A205" s="5" t="s">
        <v>3187</v>
      </c>
      <c r="B205" s="5" t="s">
        <v>3188</v>
      </c>
      <c r="C205" s="5" t="s">
        <v>227</v>
      </c>
      <c r="D205" s="5" t="s">
        <v>24</v>
      </c>
      <c r="E205" s="5" t="s">
        <v>1848</v>
      </c>
      <c r="F205" s="5" t="s">
        <v>1849</v>
      </c>
      <c r="G205" s="5" t="s">
        <v>24</v>
      </c>
      <c r="H205" s="5" t="s">
        <v>3189</v>
      </c>
      <c r="I205" s="5" t="s">
        <v>24</v>
      </c>
      <c r="J205" s="5" t="s">
        <v>24</v>
      </c>
      <c r="K205" s="5" t="s">
        <v>24</v>
      </c>
      <c r="L205" s="5" t="s">
        <v>24</v>
      </c>
      <c r="M205" s="5" t="s">
        <v>24</v>
      </c>
      <c r="N205" s="5" t="s">
        <v>24</v>
      </c>
      <c r="O205" s="5" t="s">
        <v>1933</v>
      </c>
      <c r="P205" s="5" t="s">
        <v>24</v>
      </c>
      <c r="Q205" s="5" t="s">
        <v>24</v>
      </c>
      <c r="R205" s="5" t="s">
        <v>24</v>
      </c>
      <c r="S205" s="5" t="s">
        <v>1852</v>
      </c>
      <c r="T205" s="5" t="s">
        <v>2363</v>
      </c>
      <c r="U205" s="5" t="s">
        <v>2363</v>
      </c>
      <c r="V205" s="5" t="s">
        <v>1854</v>
      </c>
      <c r="W205" s="5" t="s">
        <v>24</v>
      </c>
      <c r="X205" s="5" t="s">
        <v>24</v>
      </c>
      <c r="Y205" s="5" t="s">
        <v>3190</v>
      </c>
      <c r="Z205" s="5" t="s">
        <v>3191</v>
      </c>
      <c r="AA205" s="5" t="s">
        <v>3191</v>
      </c>
      <c r="AB205" s="5" t="s">
        <v>3191</v>
      </c>
      <c r="AC205" s="5" t="s">
        <v>24</v>
      </c>
      <c r="AD205" s="5" t="s">
        <v>24</v>
      </c>
      <c r="AE205" s="5" t="s">
        <v>24</v>
      </c>
      <c r="AF205" s="5" t="s">
        <v>24</v>
      </c>
      <c r="AG205" s="5" t="s">
        <v>24</v>
      </c>
      <c r="AH205" s="5" t="s">
        <v>24</v>
      </c>
      <c r="AI205" s="5" t="s">
        <v>24</v>
      </c>
      <c r="AJ205" s="5" t="s">
        <v>24</v>
      </c>
      <c r="AK205" s="5" t="s">
        <v>24</v>
      </c>
      <c r="AL205" s="5" t="str">
        <f>VLOOKUP(mambo!$H205,Sheet1!B:C,2,FALSE)</f>
        <v>#N/A</v>
      </c>
    </row>
    <row r="206" ht="15.75" customHeight="1">
      <c r="A206" s="5" t="s">
        <v>3192</v>
      </c>
      <c r="B206" s="5" t="s">
        <v>3193</v>
      </c>
      <c r="C206" s="5" t="s">
        <v>227</v>
      </c>
      <c r="D206" s="5" t="s">
        <v>24</v>
      </c>
      <c r="E206" s="5" t="s">
        <v>1848</v>
      </c>
      <c r="F206" s="5" t="s">
        <v>1849</v>
      </c>
      <c r="G206" s="5" t="s">
        <v>24</v>
      </c>
      <c r="H206" s="5" t="s">
        <v>467</v>
      </c>
      <c r="I206" s="5" t="s">
        <v>24</v>
      </c>
      <c r="J206" s="5" t="s">
        <v>24</v>
      </c>
      <c r="K206" s="5" t="s">
        <v>24</v>
      </c>
      <c r="L206" s="5" t="s">
        <v>24</v>
      </c>
      <c r="M206" s="5" t="s">
        <v>24</v>
      </c>
      <c r="N206" s="5" t="s">
        <v>24</v>
      </c>
      <c r="O206" s="5" t="s">
        <v>1933</v>
      </c>
      <c r="P206" s="5" t="s">
        <v>24</v>
      </c>
      <c r="Q206" s="5" t="s">
        <v>24</v>
      </c>
      <c r="R206" s="5" t="s">
        <v>24</v>
      </c>
      <c r="S206" s="5" t="s">
        <v>1852</v>
      </c>
      <c r="T206" s="5" t="s">
        <v>2363</v>
      </c>
      <c r="U206" s="5" t="s">
        <v>2363</v>
      </c>
      <c r="V206" s="5" t="s">
        <v>1854</v>
      </c>
      <c r="W206" s="5" t="s">
        <v>24</v>
      </c>
      <c r="X206" s="5" t="s">
        <v>24</v>
      </c>
      <c r="Y206" s="5" t="s">
        <v>3194</v>
      </c>
      <c r="Z206" s="5" t="s">
        <v>3195</v>
      </c>
      <c r="AA206" s="5" t="s">
        <v>3195</v>
      </c>
      <c r="AB206" s="5" t="s">
        <v>3195</v>
      </c>
      <c r="AC206" s="5" t="s">
        <v>24</v>
      </c>
      <c r="AD206" s="5" t="s">
        <v>24</v>
      </c>
      <c r="AE206" s="5" t="s">
        <v>24</v>
      </c>
      <c r="AF206" s="5" t="s">
        <v>24</v>
      </c>
      <c r="AG206" s="5" t="s">
        <v>24</v>
      </c>
      <c r="AH206" s="5" t="s">
        <v>24</v>
      </c>
      <c r="AI206" s="5" t="s">
        <v>24</v>
      </c>
      <c r="AJ206" s="5" t="s">
        <v>24</v>
      </c>
      <c r="AK206" s="5" t="s">
        <v>24</v>
      </c>
      <c r="AL206" s="5" t="str">
        <f>VLOOKUP(mambo!$H206,Sheet1!B:C,2,FALSE)</f>
        <v>1352653</v>
      </c>
    </row>
    <row r="207" ht="15.75" customHeight="1">
      <c r="A207" s="5" t="s">
        <v>3196</v>
      </c>
      <c r="B207" s="5" t="s">
        <v>3197</v>
      </c>
      <c r="C207" s="5" t="s">
        <v>227</v>
      </c>
      <c r="D207" s="5" t="s">
        <v>24</v>
      </c>
      <c r="E207" s="5" t="s">
        <v>1848</v>
      </c>
      <c r="F207" s="5" t="s">
        <v>1849</v>
      </c>
      <c r="G207" s="5" t="s">
        <v>24</v>
      </c>
      <c r="H207" s="5" t="s">
        <v>477</v>
      </c>
      <c r="I207" s="5" t="s">
        <v>24</v>
      </c>
      <c r="J207" s="5" t="s">
        <v>24</v>
      </c>
      <c r="K207" s="5" t="s">
        <v>24</v>
      </c>
      <c r="L207" s="5" t="s">
        <v>24</v>
      </c>
      <c r="M207" s="5" t="s">
        <v>24</v>
      </c>
      <c r="N207" s="5" t="s">
        <v>24</v>
      </c>
      <c r="O207" s="5" t="s">
        <v>1933</v>
      </c>
      <c r="P207" s="5" t="s">
        <v>24</v>
      </c>
      <c r="Q207" s="5" t="s">
        <v>24</v>
      </c>
      <c r="R207" s="5" t="s">
        <v>24</v>
      </c>
      <c r="S207" s="5" t="s">
        <v>1852</v>
      </c>
      <c r="T207" s="5" t="s">
        <v>2363</v>
      </c>
      <c r="U207" s="5" t="s">
        <v>2363</v>
      </c>
      <c r="V207" s="5" t="s">
        <v>1854</v>
      </c>
      <c r="W207" s="5" t="s">
        <v>24</v>
      </c>
      <c r="X207" s="5" t="s">
        <v>24</v>
      </c>
      <c r="Y207" s="5" t="s">
        <v>3198</v>
      </c>
      <c r="Z207" s="5" t="s">
        <v>3199</v>
      </c>
      <c r="AA207" s="5" t="s">
        <v>3199</v>
      </c>
      <c r="AB207" s="5" t="s">
        <v>3199</v>
      </c>
      <c r="AC207" s="5" t="s">
        <v>24</v>
      </c>
      <c r="AD207" s="5" t="s">
        <v>24</v>
      </c>
      <c r="AE207" s="5" t="s">
        <v>24</v>
      </c>
      <c r="AF207" s="5" t="s">
        <v>24</v>
      </c>
      <c r="AG207" s="5" t="s">
        <v>24</v>
      </c>
      <c r="AH207" s="5" t="s">
        <v>24</v>
      </c>
      <c r="AI207" s="5" t="s">
        <v>24</v>
      </c>
      <c r="AJ207" s="5" t="s">
        <v>24</v>
      </c>
      <c r="AK207" s="5" t="s">
        <v>24</v>
      </c>
      <c r="AL207" s="5" t="str">
        <f>VLOOKUP(mambo!$H207,Sheet1!B:C,2,FALSE)</f>
        <v>1352652</v>
      </c>
    </row>
    <row r="208" ht="15.75" customHeight="1">
      <c r="A208" s="5" t="s">
        <v>3200</v>
      </c>
      <c r="B208" s="5" t="s">
        <v>3201</v>
      </c>
      <c r="C208" s="5" t="s">
        <v>227</v>
      </c>
      <c r="D208" s="5" t="s">
        <v>24</v>
      </c>
      <c r="E208" s="5" t="s">
        <v>1848</v>
      </c>
      <c r="F208" s="5" t="s">
        <v>1849</v>
      </c>
      <c r="G208" s="5" t="s">
        <v>24</v>
      </c>
      <c r="H208" s="5" t="s">
        <v>770</v>
      </c>
      <c r="I208" s="5" t="s">
        <v>24</v>
      </c>
      <c r="J208" s="5" t="s">
        <v>24</v>
      </c>
      <c r="K208" s="5" t="s">
        <v>24</v>
      </c>
      <c r="L208" s="5" t="s">
        <v>24</v>
      </c>
      <c r="M208" s="5" t="s">
        <v>24</v>
      </c>
      <c r="N208" s="5" t="s">
        <v>24</v>
      </c>
      <c r="O208" s="5" t="s">
        <v>2148</v>
      </c>
      <c r="P208" s="5" t="s">
        <v>24</v>
      </c>
      <c r="Q208" s="5" t="s">
        <v>24</v>
      </c>
      <c r="R208" s="5" t="s">
        <v>24</v>
      </c>
      <c r="S208" s="5" t="s">
        <v>1852</v>
      </c>
      <c r="T208" s="5" t="s">
        <v>3202</v>
      </c>
      <c r="U208" s="5" t="s">
        <v>3202</v>
      </c>
      <c r="V208" s="5" t="s">
        <v>1854</v>
      </c>
      <c r="W208" s="5" t="s">
        <v>24</v>
      </c>
      <c r="X208" s="5" t="s">
        <v>24</v>
      </c>
      <c r="Y208" s="5" t="s">
        <v>3203</v>
      </c>
      <c r="Z208" s="5" t="s">
        <v>3204</v>
      </c>
      <c r="AA208" s="5" t="s">
        <v>3204</v>
      </c>
      <c r="AB208" s="5" t="s">
        <v>3204</v>
      </c>
      <c r="AC208" s="5" t="s">
        <v>24</v>
      </c>
      <c r="AD208" s="5" t="s">
        <v>24</v>
      </c>
      <c r="AE208" s="5" t="s">
        <v>24</v>
      </c>
      <c r="AF208" s="5" t="s">
        <v>24</v>
      </c>
      <c r="AG208" s="5" t="s">
        <v>24</v>
      </c>
      <c r="AH208" s="5" t="s">
        <v>24</v>
      </c>
      <c r="AI208" s="5" t="s">
        <v>24</v>
      </c>
      <c r="AJ208" s="5" t="s">
        <v>24</v>
      </c>
      <c r="AK208" s="5" t="s">
        <v>24</v>
      </c>
      <c r="AL208" s="5" t="str">
        <f>VLOOKUP(mambo!$H208,Sheet1!B:C,2,FALSE)</f>
        <v>8704672</v>
      </c>
    </row>
    <row r="209" ht="15.75" customHeight="1">
      <c r="A209" s="5" t="s">
        <v>3205</v>
      </c>
      <c r="B209" s="5" t="s">
        <v>3206</v>
      </c>
      <c r="C209" s="5" t="s">
        <v>294</v>
      </c>
      <c r="D209" s="5" t="s">
        <v>24</v>
      </c>
      <c r="E209" s="5" t="s">
        <v>1848</v>
      </c>
      <c r="F209" s="5" t="s">
        <v>1849</v>
      </c>
      <c r="G209" s="5" t="s">
        <v>24</v>
      </c>
      <c r="H209" s="5" t="s">
        <v>368</v>
      </c>
      <c r="I209" s="5" t="s">
        <v>24</v>
      </c>
      <c r="J209" s="5" t="s">
        <v>24</v>
      </c>
      <c r="K209" s="5" t="s">
        <v>24</v>
      </c>
      <c r="L209" s="5" t="s">
        <v>24</v>
      </c>
      <c r="M209" s="5" t="s">
        <v>1885</v>
      </c>
      <c r="N209" s="5" t="s">
        <v>24</v>
      </c>
      <c r="O209" s="5" t="s">
        <v>1917</v>
      </c>
      <c r="P209" s="5" t="s">
        <v>24</v>
      </c>
      <c r="Q209" s="5" t="s">
        <v>24</v>
      </c>
      <c r="R209" s="5" t="s">
        <v>24</v>
      </c>
      <c r="S209" s="5" t="s">
        <v>1852</v>
      </c>
      <c r="T209" s="5" t="s">
        <v>3207</v>
      </c>
      <c r="U209" s="5" t="s">
        <v>3207</v>
      </c>
      <c r="V209" s="5" t="s">
        <v>1854</v>
      </c>
      <c r="W209" s="5" t="s">
        <v>24</v>
      </c>
      <c r="X209" s="5" t="s">
        <v>24</v>
      </c>
      <c r="Y209" s="5" t="s">
        <v>3208</v>
      </c>
      <c r="Z209" s="5" t="s">
        <v>3209</v>
      </c>
      <c r="AA209" s="5" t="s">
        <v>3209</v>
      </c>
      <c r="AB209" s="5" t="s">
        <v>3209</v>
      </c>
      <c r="AC209" s="5" t="s">
        <v>24</v>
      </c>
      <c r="AD209" s="5" t="s">
        <v>24</v>
      </c>
      <c r="AE209" s="5" t="s">
        <v>24</v>
      </c>
      <c r="AF209" s="5" t="s">
        <v>24</v>
      </c>
      <c r="AG209" s="5" t="s">
        <v>24</v>
      </c>
      <c r="AH209" s="5" t="s">
        <v>24</v>
      </c>
      <c r="AI209" s="5" t="s">
        <v>24</v>
      </c>
      <c r="AJ209" s="5" t="s">
        <v>24</v>
      </c>
      <c r="AK209" s="5" t="s">
        <v>24</v>
      </c>
      <c r="AL209" s="5" t="str">
        <f>VLOOKUP(mambo!$H209,Sheet1!B:C,2,FALSE)</f>
        <v>1225275</v>
      </c>
    </row>
    <row r="210" ht="15.75" customHeight="1">
      <c r="A210" s="5" t="s">
        <v>3210</v>
      </c>
      <c r="B210" s="5" t="s">
        <v>3211</v>
      </c>
      <c r="C210" s="5" t="s">
        <v>1915</v>
      </c>
      <c r="D210" s="5" t="s">
        <v>24</v>
      </c>
      <c r="E210" s="5" t="s">
        <v>1848</v>
      </c>
      <c r="F210" s="5" t="s">
        <v>1849</v>
      </c>
      <c r="G210" s="5" t="s">
        <v>24</v>
      </c>
      <c r="H210" s="5" t="s">
        <v>1494</v>
      </c>
      <c r="I210" s="5" t="s">
        <v>24</v>
      </c>
      <c r="J210" s="5" t="s">
        <v>24</v>
      </c>
      <c r="K210" s="5" t="s">
        <v>24</v>
      </c>
      <c r="L210" s="5" t="s">
        <v>24</v>
      </c>
      <c r="M210" s="5" t="s">
        <v>24</v>
      </c>
      <c r="N210" s="5" t="s">
        <v>24</v>
      </c>
      <c r="O210" s="5" t="s">
        <v>1933</v>
      </c>
      <c r="P210" s="5" t="s">
        <v>24</v>
      </c>
      <c r="Q210" s="5" t="s">
        <v>24</v>
      </c>
      <c r="R210" s="5" t="s">
        <v>24</v>
      </c>
      <c r="S210" s="5" t="s">
        <v>1852</v>
      </c>
      <c r="T210" s="5" t="s">
        <v>3212</v>
      </c>
      <c r="U210" s="5" t="s">
        <v>3212</v>
      </c>
      <c r="V210" s="5" t="s">
        <v>1854</v>
      </c>
      <c r="W210" s="5" t="s">
        <v>24</v>
      </c>
      <c r="X210" s="5" t="s">
        <v>24</v>
      </c>
      <c r="Y210" s="5" t="s">
        <v>3213</v>
      </c>
      <c r="Z210" s="5" t="s">
        <v>3214</v>
      </c>
      <c r="AA210" s="5" t="s">
        <v>3214</v>
      </c>
      <c r="AB210" s="5" t="s">
        <v>3214</v>
      </c>
      <c r="AC210" s="5" t="s">
        <v>24</v>
      </c>
      <c r="AD210" s="5" t="s">
        <v>24</v>
      </c>
      <c r="AE210" s="5" t="s">
        <v>24</v>
      </c>
      <c r="AF210" s="5" t="s">
        <v>24</v>
      </c>
      <c r="AG210" s="5" t="s">
        <v>24</v>
      </c>
      <c r="AH210" s="5" t="s">
        <v>24</v>
      </c>
      <c r="AI210" s="5" t="s">
        <v>24</v>
      </c>
      <c r="AJ210" s="5" t="s">
        <v>24</v>
      </c>
      <c r="AK210" s="5" t="s">
        <v>24</v>
      </c>
      <c r="AL210" s="5" t="str">
        <f>VLOOKUP(mambo!$H210,Sheet1!B:C,2,FALSE)</f>
        <v>1311339</v>
      </c>
    </row>
    <row r="211" ht="15.75" customHeight="1">
      <c r="A211" s="5" t="s">
        <v>3215</v>
      </c>
      <c r="B211" s="5" t="s">
        <v>3216</v>
      </c>
      <c r="C211" s="5" t="s">
        <v>1915</v>
      </c>
      <c r="D211" s="5" t="s">
        <v>24</v>
      </c>
      <c r="E211" s="5" t="s">
        <v>1848</v>
      </c>
      <c r="F211" s="5" t="s">
        <v>1849</v>
      </c>
      <c r="G211" s="5" t="s">
        <v>24</v>
      </c>
      <c r="H211" s="5" t="s">
        <v>1737</v>
      </c>
      <c r="I211" s="5" t="s">
        <v>24</v>
      </c>
      <c r="J211" s="5" t="s">
        <v>24</v>
      </c>
      <c r="K211" s="5" t="s">
        <v>24</v>
      </c>
      <c r="L211" s="5" t="s">
        <v>24</v>
      </c>
      <c r="M211" s="5" t="s">
        <v>24</v>
      </c>
      <c r="N211" s="5" t="s">
        <v>24</v>
      </c>
      <c r="O211" s="5" t="s">
        <v>1851</v>
      </c>
      <c r="P211" s="5" t="s">
        <v>24</v>
      </c>
      <c r="Q211" s="5" t="s">
        <v>24</v>
      </c>
      <c r="R211" s="5" t="s">
        <v>24</v>
      </c>
      <c r="S211" s="5" t="s">
        <v>1852</v>
      </c>
      <c r="T211" s="5" t="s">
        <v>3217</v>
      </c>
      <c r="U211" s="5" t="s">
        <v>3217</v>
      </c>
      <c r="V211" s="5" t="s">
        <v>1854</v>
      </c>
      <c r="W211" s="5" t="s">
        <v>24</v>
      </c>
      <c r="X211" s="5" t="s">
        <v>24</v>
      </c>
      <c r="Y211" s="5" t="s">
        <v>3218</v>
      </c>
      <c r="Z211" s="5" t="s">
        <v>3219</v>
      </c>
      <c r="AA211" s="5" t="s">
        <v>3219</v>
      </c>
      <c r="AB211" s="5" t="s">
        <v>3219</v>
      </c>
      <c r="AC211" s="5" t="s">
        <v>24</v>
      </c>
      <c r="AD211" s="5" t="s">
        <v>24</v>
      </c>
      <c r="AE211" s="5" t="s">
        <v>24</v>
      </c>
      <c r="AF211" s="5" t="s">
        <v>24</v>
      </c>
      <c r="AG211" s="5" t="s">
        <v>24</v>
      </c>
      <c r="AH211" s="5" t="s">
        <v>24</v>
      </c>
      <c r="AI211" s="5" t="s">
        <v>24</v>
      </c>
      <c r="AJ211" s="5" t="s">
        <v>24</v>
      </c>
      <c r="AK211" s="5" t="s">
        <v>24</v>
      </c>
      <c r="AL211" s="5" t="str">
        <f>VLOOKUP(mambo!$H211,Sheet1!B:C,2,FALSE)</f>
        <v>3877272</v>
      </c>
    </row>
    <row r="212" ht="15.75" hidden="1" customHeight="1">
      <c r="A212" s="5" t="s">
        <v>3220</v>
      </c>
      <c r="B212" s="5" t="s">
        <v>3221</v>
      </c>
      <c r="C212" s="5" t="s">
        <v>1915</v>
      </c>
      <c r="D212" s="5" t="s">
        <v>24</v>
      </c>
      <c r="E212" s="5" t="s">
        <v>1848</v>
      </c>
      <c r="F212" s="5" t="s">
        <v>1849</v>
      </c>
      <c r="G212" s="5" t="s">
        <v>24</v>
      </c>
      <c r="H212" s="5" t="s">
        <v>3222</v>
      </c>
      <c r="I212" s="5" t="s">
        <v>24</v>
      </c>
      <c r="J212" s="5" t="s">
        <v>24</v>
      </c>
      <c r="K212" s="5" t="s">
        <v>24</v>
      </c>
      <c r="L212" s="5" t="s">
        <v>24</v>
      </c>
      <c r="M212" s="5" t="s">
        <v>1885</v>
      </c>
      <c r="N212" s="5" t="s">
        <v>24</v>
      </c>
      <c r="O212" s="5" t="s">
        <v>1917</v>
      </c>
      <c r="P212" s="5" t="s">
        <v>24</v>
      </c>
      <c r="Q212" s="5" t="s">
        <v>24</v>
      </c>
      <c r="R212" s="5" t="s">
        <v>24</v>
      </c>
      <c r="S212" s="5" t="s">
        <v>1852</v>
      </c>
      <c r="T212" s="5" t="s">
        <v>3223</v>
      </c>
      <c r="U212" s="5" t="s">
        <v>3223</v>
      </c>
      <c r="V212" s="5" t="s">
        <v>1854</v>
      </c>
      <c r="W212" s="5" t="s">
        <v>24</v>
      </c>
      <c r="X212" s="5" t="s">
        <v>24</v>
      </c>
      <c r="Y212" s="5" t="s">
        <v>3224</v>
      </c>
      <c r="Z212" s="5" t="s">
        <v>3225</v>
      </c>
      <c r="AA212" s="5" t="s">
        <v>3225</v>
      </c>
      <c r="AB212" s="5" t="s">
        <v>3225</v>
      </c>
      <c r="AC212" s="5" t="s">
        <v>24</v>
      </c>
      <c r="AD212" s="5" t="s">
        <v>24</v>
      </c>
      <c r="AE212" s="5" t="s">
        <v>24</v>
      </c>
      <c r="AF212" s="5" t="s">
        <v>24</v>
      </c>
      <c r="AG212" s="5" t="s">
        <v>24</v>
      </c>
      <c r="AH212" s="5" t="s">
        <v>24</v>
      </c>
      <c r="AI212" s="5" t="s">
        <v>24</v>
      </c>
      <c r="AJ212" s="5" t="s">
        <v>24</v>
      </c>
      <c r="AK212" s="5" t="s">
        <v>24</v>
      </c>
      <c r="AL212" s="5" t="str">
        <f>VLOOKUP(mambo!$H212,Sheet1!B:C,2,FALSE)</f>
        <v>#N/A</v>
      </c>
    </row>
    <row r="213" ht="15.75" customHeight="1">
      <c r="A213" s="5" t="s">
        <v>3226</v>
      </c>
      <c r="B213" s="5" t="s">
        <v>3227</v>
      </c>
      <c r="C213" s="5" t="s">
        <v>3228</v>
      </c>
      <c r="D213" s="5" t="s">
        <v>24</v>
      </c>
      <c r="E213" s="5" t="s">
        <v>1848</v>
      </c>
      <c r="F213" s="5" t="s">
        <v>1849</v>
      </c>
      <c r="G213" s="5" t="s">
        <v>24</v>
      </c>
      <c r="H213" s="5" t="s">
        <v>395</v>
      </c>
      <c r="I213" s="5" t="s">
        <v>24</v>
      </c>
      <c r="J213" s="5" t="s">
        <v>24</v>
      </c>
      <c r="K213" s="5" t="s">
        <v>24</v>
      </c>
      <c r="L213" s="5" t="s">
        <v>24</v>
      </c>
      <c r="M213" s="5" t="s">
        <v>24</v>
      </c>
      <c r="N213" s="5" t="s">
        <v>24</v>
      </c>
      <c r="O213" s="5" t="s">
        <v>1851</v>
      </c>
      <c r="P213" s="5" t="s">
        <v>24</v>
      </c>
      <c r="Q213" s="5" t="s">
        <v>24</v>
      </c>
      <c r="R213" s="5" t="s">
        <v>24</v>
      </c>
      <c r="S213" s="5" t="s">
        <v>1852</v>
      </c>
      <c r="T213" s="5" t="s">
        <v>3150</v>
      </c>
      <c r="U213" s="5" t="s">
        <v>3150</v>
      </c>
      <c r="V213" s="5" t="s">
        <v>1854</v>
      </c>
      <c r="W213" s="5" t="s">
        <v>24</v>
      </c>
      <c r="X213" s="5" t="s">
        <v>24</v>
      </c>
      <c r="Y213" s="5" t="s">
        <v>3229</v>
      </c>
      <c r="Z213" s="5" t="s">
        <v>3230</v>
      </c>
      <c r="AA213" s="5" t="s">
        <v>3230</v>
      </c>
      <c r="AB213" s="5" t="s">
        <v>3230</v>
      </c>
      <c r="AC213" s="5" t="s">
        <v>24</v>
      </c>
      <c r="AD213" s="5" t="s">
        <v>24</v>
      </c>
      <c r="AE213" s="5" t="s">
        <v>24</v>
      </c>
      <c r="AF213" s="5" t="s">
        <v>24</v>
      </c>
      <c r="AG213" s="5" t="s">
        <v>24</v>
      </c>
      <c r="AH213" s="5" t="s">
        <v>24</v>
      </c>
      <c r="AI213" s="5" t="s">
        <v>24</v>
      </c>
      <c r="AJ213" s="5" t="s">
        <v>24</v>
      </c>
      <c r="AK213" s="5" t="s">
        <v>24</v>
      </c>
      <c r="AL213" s="5" t="str">
        <f>VLOOKUP(mambo!$H213,Sheet1!B:C,2,FALSE)</f>
        <v>0106498</v>
      </c>
    </row>
    <row r="214" ht="15.75" customHeight="1">
      <c r="A214" s="5" t="s">
        <v>3231</v>
      </c>
      <c r="B214" s="5" t="s">
        <v>3232</v>
      </c>
      <c r="C214" s="5" t="s">
        <v>294</v>
      </c>
      <c r="D214" s="5" t="s">
        <v>24</v>
      </c>
      <c r="E214" s="5" t="s">
        <v>1848</v>
      </c>
      <c r="F214" s="5" t="s">
        <v>1849</v>
      </c>
      <c r="G214" s="5" t="s">
        <v>24</v>
      </c>
      <c r="H214" s="5" t="s">
        <v>621</v>
      </c>
      <c r="I214" s="5" t="s">
        <v>24</v>
      </c>
      <c r="J214" s="5" t="s">
        <v>24</v>
      </c>
      <c r="K214" s="5" t="s">
        <v>24</v>
      </c>
      <c r="L214" s="5" t="s">
        <v>24</v>
      </c>
      <c r="M214" s="5" t="s">
        <v>24</v>
      </c>
      <c r="N214" s="5" t="s">
        <v>24</v>
      </c>
      <c r="O214" s="5" t="s">
        <v>1933</v>
      </c>
      <c r="P214" s="5" t="s">
        <v>24</v>
      </c>
      <c r="Q214" s="5" t="s">
        <v>24</v>
      </c>
      <c r="R214" s="5" t="s">
        <v>24</v>
      </c>
      <c r="S214" s="5" t="s">
        <v>1852</v>
      </c>
      <c r="T214" s="5" t="s">
        <v>2463</v>
      </c>
      <c r="U214" s="5" t="s">
        <v>2463</v>
      </c>
      <c r="V214" s="5" t="s">
        <v>1854</v>
      </c>
      <c r="W214" s="5" t="s">
        <v>24</v>
      </c>
      <c r="X214" s="5" t="s">
        <v>24</v>
      </c>
      <c r="Y214" s="5" t="s">
        <v>3233</v>
      </c>
      <c r="Z214" s="5" t="s">
        <v>3234</v>
      </c>
      <c r="AA214" s="5" t="s">
        <v>3234</v>
      </c>
      <c r="AB214" s="5" t="s">
        <v>3234</v>
      </c>
      <c r="AC214" s="5" t="s">
        <v>24</v>
      </c>
      <c r="AD214" s="5" t="s">
        <v>24</v>
      </c>
      <c r="AE214" s="5" t="s">
        <v>24</v>
      </c>
      <c r="AF214" s="5" t="s">
        <v>24</v>
      </c>
      <c r="AG214" s="5" t="s">
        <v>24</v>
      </c>
      <c r="AH214" s="5" t="s">
        <v>24</v>
      </c>
      <c r="AI214" s="5" t="s">
        <v>24</v>
      </c>
      <c r="AJ214" s="5" t="s">
        <v>24</v>
      </c>
      <c r="AK214" s="5" t="s">
        <v>24</v>
      </c>
      <c r="AL214" s="5" t="str">
        <f>VLOOKUP(mambo!$H214,Sheet1!B:C,2,FALSE)</f>
        <v>1286079</v>
      </c>
    </row>
    <row r="215" ht="15.75" customHeight="1">
      <c r="A215" s="5" t="s">
        <v>3235</v>
      </c>
      <c r="B215" s="5" t="s">
        <v>3236</v>
      </c>
      <c r="C215" s="5" t="s">
        <v>294</v>
      </c>
      <c r="D215" s="5" t="s">
        <v>24</v>
      </c>
      <c r="E215" s="5" t="s">
        <v>1848</v>
      </c>
      <c r="F215" s="5" t="s">
        <v>1849</v>
      </c>
      <c r="G215" s="5" t="s">
        <v>24</v>
      </c>
      <c r="H215" s="5" t="s">
        <v>1068</v>
      </c>
      <c r="I215" s="5" t="s">
        <v>24</v>
      </c>
      <c r="J215" s="5" t="s">
        <v>24</v>
      </c>
      <c r="K215" s="5" t="s">
        <v>24</v>
      </c>
      <c r="L215" s="5" t="s">
        <v>24</v>
      </c>
      <c r="M215" s="5" t="s">
        <v>1885</v>
      </c>
      <c r="N215" s="5" t="s">
        <v>24</v>
      </c>
      <c r="O215" s="5" t="s">
        <v>1917</v>
      </c>
      <c r="P215" s="5" t="s">
        <v>24</v>
      </c>
      <c r="Q215" s="5" t="s">
        <v>24</v>
      </c>
      <c r="R215" s="5" t="s">
        <v>24</v>
      </c>
      <c r="S215" s="5" t="s">
        <v>1852</v>
      </c>
      <c r="T215" s="5" t="s">
        <v>3207</v>
      </c>
      <c r="U215" s="5" t="s">
        <v>3207</v>
      </c>
      <c r="V215" s="5" t="s">
        <v>1854</v>
      </c>
      <c r="W215" s="5" t="s">
        <v>24</v>
      </c>
      <c r="X215" s="5" t="s">
        <v>24</v>
      </c>
      <c r="Y215" s="5" t="s">
        <v>3237</v>
      </c>
      <c r="Z215" s="5" t="s">
        <v>3238</v>
      </c>
      <c r="AA215" s="5" t="s">
        <v>3238</v>
      </c>
      <c r="AB215" s="5" t="s">
        <v>3238</v>
      </c>
      <c r="AC215" s="5" t="s">
        <v>24</v>
      </c>
      <c r="AD215" s="5" t="s">
        <v>24</v>
      </c>
      <c r="AE215" s="5" t="s">
        <v>24</v>
      </c>
      <c r="AF215" s="5" t="s">
        <v>24</v>
      </c>
      <c r="AG215" s="5" t="s">
        <v>24</v>
      </c>
      <c r="AH215" s="5" t="s">
        <v>24</v>
      </c>
      <c r="AI215" s="5" t="s">
        <v>24</v>
      </c>
      <c r="AJ215" s="5" t="s">
        <v>24</v>
      </c>
      <c r="AK215" s="5" t="s">
        <v>24</v>
      </c>
      <c r="AL215" s="5" t="str">
        <f>VLOOKUP(mambo!$H215,Sheet1!B:C,2,FALSE)</f>
        <v>1363922</v>
      </c>
    </row>
    <row r="216" ht="15.75" hidden="1" customHeight="1">
      <c r="A216" s="5" t="s">
        <v>3239</v>
      </c>
      <c r="B216" s="5" t="s">
        <v>3240</v>
      </c>
      <c r="C216" s="5" t="s">
        <v>503</v>
      </c>
      <c r="D216" s="5" t="s">
        <v>24</v>
      </c>
      <c r="E216" s="5" t="s">
        <v>1848</v>
      </c>
      <c r="F216" s="5" t="s">
        <v>1849</v>
      </c>
      <c r="G216" s="5" t="s">
        <v>24</v>
      </c>
      <c r="H216" s="5" t="s">
        <v>3241</v>
      </c>
      <c r="I216" s="5" t="s">
        <v>24</v>
      </c>
      <c r="J216" s="5" t="s">
        <v>24</v>
      </c>
      <c r="K216" s="5" t="s">
        <v>24</v>
      </c>
      <c r="L216" s="5" t="s">
        <v>24</v>
      </c>
      <c r="M216" s="5" t="s">
        <v>24</v>
      </c>
      <c r="N216" s="5" t="s">
        <v>24</v>
      </c>
      <c r="O216" s="5" t="s">
        <v>1894</v>
      </c>
      <c r="P216" s="5" t="s">
        <v>24</v>
      </c>
      <c r="Q216" s="5" t="s">
        <v>24</v>
      </c>
      <c r="R216" s="5" t="s">
        <v>24</v>
      </c>
      <c r="S216" s="5" t="s">
        <v>1852</v>
      </c>
      <c r="T216" s="5" t="s">
        <v>2408</v>
      </c>
      <c r="U216" s="5" t="s">
        <v>2408</v>
      </c>
      <c r="V216" s="5" t="s">
        <v>1854</v>
      </c>
      <c r="W216" s="5" t="s">
        <v>24</v>
      </c>
      <c r="X216" s="5" t="s">
        <v>24</v>
      </c>
      <c r="Y216" s="5" t="s">
        <v>3242</v>
      </c>
      <c r="Z216" s="5" t="s">
        <v>3243</v>
      </c>
      <c r="AA216" s="5" t="s">
        <v>3243</v>
      </c>
      <c r="AB216" s="5" t="s">
        <v>3243</v>
      </c>
      <c r="AC216" s="5" t="s">
        <v>3244</v>
      </c>
      <c r="AD216" s="5" t="s">
        <v>3245</v>
      </c>
      <c r="AE216" s="5" t="s">
        <v>3246</v>
      </c>
      <c r="AF216" s="5" t="s">
        <v>3247</v>
      </c>
      <c r="AG216" s="5" t="s">
        <v>24</v>
      </c>
      <c r="AH216" s="5" t="s">
        <v>24</v>
      </c>
      <c r="AI216" s="5" t="s">
        <v>24</v>
      </c>
      <c r="AJ216" s="5" t="s">
        <v>24</v>
      </c>
      <c r="AK216" s="5" t="s">
        <v>24</v>
      </c>
      <c r="AL216" s="5" t="str">
        <f>VLOOKUP(mambo!$H216,Sheet1!B:C,2,FALSE)</f>
        <v>#N/A</v>
      </c>
    </row>
    <row r="217" ht="15.75" customHeight="1">
      <c r="A217" s="5" t="s">
        <v>3248</v>
      </c>
      <c r="B217" s="5" t="s">
        <v>3249</v>
      </c>
      <c r="C217" s="5" t="s">
        <v>503</v>
      </c>
      <c r="D217" s="5" t="s">
        <v>24</v>
      </c>
      <c r="E217" s="5" t="s">
        <v>1848</v>
      </c>
      <c r="F217" s="5" t="s">
        <v>1849</v>
      </c>
      <c r="G217" s="5" t="s">
        <v>24</v>
      </c>
      <c r="H217" s="5" t="s">
        <v>906</v>
      </c>
      <c r="I217" s="5" t="s">
        <v>24</v>
      </c>
      <c r="J217" s="5" t="s">
        <v>24</v>
      </c>
      <c r="K217" s="5" t="s">
        <v>24</v>
      </c>
      <c r="L217" s="5" t="s">
        <v>24</v>
      </c>
      <c r="M217" s="5" t="s">
        <v>24</v>
      </c>
      <c r="N217" s="5" t="s">
        <v>24</v>
      </c>
      <c r="O217" s="5" t="s">
        <v>1894</v>
      </c>
      <c r="P217" s="5" t="s">
        <v>24</v>
      </c>
      <c r="Q217" s="5" t="s">
        <v>24</v>
      </c>
      <c r="R217" s="5" t="s">
        <v>24</v>
      </c>
      <c r="S217" s="5" t="s">
        <v>1852</v>
      </c>
      <c r="T217" s="5" t="s">
        <v>2408</v>
      </c>
      <c r="U217" s="5" t="s">
        <v>2408</v>
      </c>
      <c r="V217" s="5" t="s">
        <v>1854</v>
      </c>
      <c r="W217" s="5" t="s">
        <v>24</v>
      </c>
      <c r="X217" s="5" t="s">
        <v>24</v>
      </c>
      <c r="Y217" s="5" t="s">
        <v>3250</v>
      </c>
      <c r="Z217" s="5" t="s">
        <v>3251</v>
      </c>
      <c r="AA217" s="5" t="s">
        <v>3251</v>
      </c>
      <c r="AB217" s="5" t="s">
        <v>3251</v>
      </c>
      <c r="AC217" s="5" t="s">
        <v>3252</v>
      </c>
      <c r="AD217" s="5" t="s">
        <v>3253</v>
      </c>
      <c r="AE217" s="5" t="s">
        <v>3254</v>
      </c>
      <c r="AF217" s="5" t="s">
        <v>3255</v>
      </c>
      <c r="AG217" s="5" t="s">
        <v>24</v>
      </c>
      <c r="AH217" s="5" t="s">
        <v>24</v>
      </c>
      <c r="AI217" s="5" t="s">
        <v>24</v>
      </c>
      <c r="AJ217" s="5" t="s">
        <v>24</v>
      </c>
      <c r="AK217" s="5" t="s">
        <v>24</v>
      </c>
      <c r="AL217" s="5" t="str">
        <f>VLOOKUP(mambo!$H217,Sheet1!B:C,2,FALSE)</f>
        <v>1366618</v>
      </c>
    </row>
    <row r="218" ht="15.75" customHeight="1">
      <c r="A218" s="5" t="s">
        <v>3256</v>
      </c>
      <c r="B218" s="5" t="s">
        <v>3257</v>
      </c>
      <c r="C218" s="5" t="s">
        <v>503</v>
      </c>
      <c r="D218" s="5" t="s">
        <v>24</v>
      </c>
      <c r="E218" s="5" t="s">
        <v>1848</v>
      </c>
      <c r="F218" s="5" t="s">
        <v>1849</v>
      </c>
      <c r="G218" s="5" t="s">
        <v>24</v>
      </c>
      <c r="H218" s="5" t="s">
        <v>965</v>
      </c>
      <c r="I218" s="5" t="s">
        <v>24</v>
      </c>
      <c r="J218" s="5" t="s">
        <v>24</v>
      </c>
      <c r="K218" s="5" t="s">
        <v>24</v>
      </c>
      <c r="L218" s="5" t="s">
        <v>24</v>
      </c>
      <c r="M218" s="5" t="s">
        <v>24</v>
      </c>
      <c r="N218" s="5" t="s">
        <v>24</v>
      </c>
      <c r="O218" s="5" t="s">
        <v>1894</v>
      </c>
      <c r="P218" s="5" t="s">
        <v>24</v>
      </c>
      <c r="Q218" s="5" t="s">
        <v>24</v>
      </c>
      <c r="R218" s="5" t="s">
        <v>24</v>
      </c>
      <c r="S218" s="5" t="s">
        <v>1852</v>
      </c>
      <c r="T218" s="5" t="s">
        <v>2408</v>
      </c>
      <c r="U218" s="5" t="s">
        <v>2408</v>
      </c>
      <c r="V218" s="5" t="s">
        <v>1854</v>
      </c>
      <c r="W218" s="5" t="s">
        <v>24</v>
      </c>
      <c r="X218" s="5" t="s">
        <v>24</v>
      </c>
      <c r="Y218" s="5" t="s">
        <v>3258</v>
      </c>
      <c r="Z218" s="5" t="s">
        <v>3259</v>
      </c>
      <c r="AA218" s="5" t="s">
        <v>3259</v>
      </c>
      <c r="AB218" s="5" t="s">
        <v>3259</v>
      </c>
      <c r="AC218" s="5" t="s">
        <v>3260</v>
      </c>
      <c r="AD218" s="5" t="s">
        <v>3261</v>
      </c>
      <c r="AE218" s="5" t="s">
        <v>3262</v>
      </c>
      <c r="AF218" s="5" t="s">
        <v>3263</v>
      </c>
      <c r="AG218" s="5" t="s">
        <v>24</v>
      </c>
      <c r="AH218" s="5" t="s">
        <v>24</v>
      </c>
      <c r="AI218" s="5" t="s">
        <v>24</v>
      </c>
      <c r="AJ218" s="5" t="s">
        <v>24</v>
      </c>
      <c r="AK218" s="5" t="s">
        <v>24</v>
      </c>
      <c r="AL218" s="5" t="str">
        <f>VLOOKUP(mambo!$H218,Sheet1!B:C,2,FALSE)</f>
        <v>1366619</v>
      </c>
    </row>
    <row r="219" ht="15.75" hidden="1" customHeight="1">
      <c r="A219" s="5" t="s">
        <v>3264</v>
      </c>
      <c r="B219" s="5" t="s">
        <v>3265</v>
      </c>
      <c r="C219" s="5" t="s">
        <v>3266</v>
      </c>
      <c r="D219" s="5" t="s">
        <v>24</v>
      </c>
      <c r="E219" s="5" t="s">
        <v>1848</v>
      </c>
      <c r="F219" s="5" t="s">
        <v>1849</v>
      </c>
      <c r="G219" s="5" t="s">
        <v>24</v>
      </c>
      <c r="H219" s="5" t="s">
        <v>3267</v>
      </c>
      <c r="I219" s="5" t="s">
        <v>24</v>
      </c>
      <c r="J219" s="5" t="s">
        <v>24</v>
      </c>
      <c r="K219" s="5" t="s">
        <v>24</v>
      </c>
      <c r="L219" s="5" t="s">
        <v>24</v>
      </c>
      <c r="M219" s="5" t="s">
        <v>24</v>
      </c>
      <c r="N219" s="5" t="s">
        <v>24</v>
      </c>
      <c r="O219" s="5" t="s">
        <v>24</v>
      </c>
      <c r="P219" s="5" t="s">
        <v>24</v>
      </c>
      <c r="Q219" s="5" t="s">
        <v>24</v>
      </c>
      <c r="R219" s="5" t="s">
        <v>24</v>
      </c>
      <c r="S219" s="5" t="s">
        <v>1852</v>
      </c>
      <c r="T219" s="5" t="s">
        <v>3268</v>
      </c>
      <c r="U219" s="5" t="s">
        <v>3268</v>
      </c>
      <c r="V219" s="5" t="s">
        <v>1854</v>
      </c>
      <c r="W219" s="5" t="s">
        <v>24</v>
      </c>
      <c r="X219" s="5" t="s">
        <v>24</v>
      </c>
      <c r="Y219" s="5" t="s">
        <v>3269</v>
      </c>
      <c r="Z219" s="5" t="s">
        <v>3270</v>
      </c>
      <c r="AA219" s="5" t="s">
        <v>3270</v>
      </c>
      <c r="AB219" s="5" t="s">
        <v>3270</v>
      </c>
      <c r="AC219" s="5" t="s">
        <v>3271</v>
      </c>
      <c r="AD219" s="5" t="s">
        <v>3272</v>
      </c>
      <c r="AE219" s="5" t="s">
        <v>3273</v>
      </c>
      <c r="AF219" s="5" t="s">
        <v>24</v>
      </c>
      <c r="AG219" s="5" t="s">
        <v>24</v>
      </c>
      <c r="AH219" s="5" t="s">
        <v>24</v>
      </c>
      <c r="AI219" s="5" t="s">
        <v>24</v>
      </c>
      <c r="AJ219" s="5" t="s">
        <v>24</v>
      </c>
      <c r="AK219" s="5" t="s">
        <v>24</v>
      </c>
      <c r="AL219" s="5" t="str">
        <f>VLOOKUP(mambo!$H219,Sheet1!B:C,2,FALSE)</f>
        <v>#N/A</v>
      </c>
    </row>
    <row r="220" ht="15.75" hidden="1" customHeight="1">
      <c r="A220" s="5" t="s">
        <v>3274</v>
      </c>
      <c r="B220" s="5" t="s">
        <v>3275</v>
      </c>
      <c r="C220" s="5" t="s">
        <v>3266</v>
      </c>
      <c r="D220" s="5" t="s">
        <v>24</v>
      </c>
      <c r="E220" s="5" t="s">
        <v>1848</v>
      </c>
      <c r="F220" s="5" t="s">
        <v>1849</v>
      </c>
      <c r="G220" s="5" t="s">
        <v>24</v>
      </c>
      <c r="H220" s="5" t="s">
        <v>3276</v>
      </c>
      <c r="I220" s="5" t="s">
        <v>24</v>
      </c>
      <c r="J220" s="5" t="s">
        <v>24</v>
      </c>
      <c r="K220" s="5" t="s">
        <v>24</v>
      </c>
      <c r="L220" s="5" t="s">
        <v>24</v>
      </c>
      <c r="M220" s="5" t="s">
        <v>24</v>
      </c>
      <c r="N220" s="5" t="s">
        <v>24</v>
      </c>
      <c r="O220" s="5" t="s">
        <v>24</v>
      </c>
      <c r="P220" s="5" t="s">
        <v>24</v>
      </c>
      <c r="Q220" s="5" t="s">
        <v>24</v>
      </c>
      <c r="R220" s="5" t="s">
        <v>24</v>
      </c>
      <c r="S220" s="5" t="s">
        <v>1852</v>
      </c>
      <c r="T220" s="5" t="s">
        <v>3277</v>
      </c>
      <c r="U220" s="5" t="s">
        <v>3277</v>
      </c>
      <c r="V220" s="5" t="s">
        <v>1854</v>
      </c>
      <c r="W220" s="5" t="s">
        <v>24</v>
      </c>
      <c r="X220" s="5" t="s">
        <v>24</v>
      </c>
      <c r="Y220" s="5" t="s">
        <v>3278</v>
      </c>
      <c r="Z220" s="5" t="s">
        <v>3279</v>
      </c>
      <c r="AA220" s="5" t="s">
        <v>3279</v>
      </c>
      <c r="AB220" s="5" t="s">
        <v>3279</v>
      </c>
      <c r="AC220" s="5" t="s">
        <v>3280</v>
      </c>
      <c r="AD220" s="5" t="s">
        <v>3281</v>
      </c>
      <c r="AE220" s="5" t="s">
        <v>3282</v>
      </c>
      <c r="AF220" s="5" t="s">
        <v>24</v>
      </c>
      <c r="AG220" s="5" t="s">
        <v>24</v>
      </c>
      <c r="AH220" s="5" t="s">
        <v>24</v>
      </c>
      <c r="AI220" s="5" t="s">
        <v>24</v>
      </c>
      <c r="AJ220" s="5" t="s">
        <v>24</v>
      </c>
      <c r="AK220" s="5" t="s">
        <v>24</v>
      </c>
      <c r="AL220" s="5" t="str">
        <f>VLOOKUP(mambo!$H220,Sheet1!B:C,2,FALSE)</f>
        <v>#N/A</v>
      </c>
    </row>
    <row r="221" ht="15.75" hidden="1" customHeight="1">
      <c r="A221" s="5" t="s">
        <v>3283</v>
      </c>
      <c r="B221" s="5" t="s">
        <v>3284</v>
      </c>
      <c r="C221" s="5" t="s">
        <v>3266</v>
      </c>
      <c r="D221" s="5" t="s">
        <v>24</v>
      </c>
      <c r="E221" s="5" t="s">
        <v>1848</v>
      </c>
      <c r="F221" s="5" t="s">
        <v>1849</v>
      </c>
      <c r="G221" s="5" t="s">
        <v>24</v>
      </c>
      <c r="H221" s="5" t="s">
        <v>3285</v>
      </c>
      <c r="I221" s="5" t="s">
        <v>24</v>
      </c>
      <c r="J221" s="5" t="s">
        <v>24</v>
      </c>
      <c r="K221" s="5" t="s">
        <v>24</v>
      </c>
      <c r="L221" s="5" t="s">
        <v>24</v>
      </c>
      <c r="M221" s="5" t="s">
        <v>24</v>
      </c>
      <c r="N221" s="5" t="s">
        <v>24</v>
      </c>
      <c r="O221" s="5" t="s">
        <v>24</v>
      </c>
      <c r="P221" s="5" t="s">
        <v>24</v>
      </c>
      <c r="Q221" s="5" t="s">
        <v>24</v>
      </c>
      <c r="R221" s="5" t="s">
        <v>24</v>
      </c>
      <c r="S221" s="5" t="s">
        <v>1852</v>
      </c>
      <c r="T221" s="5" t="s">
        <v>3286</v>
      </c>
      <c r="U221" s="5" t="s">
        <v>3286</v>
      </c>
      <c r="V221" s="5" t="s">
        <v>1854</v>
      </c>
      <c r="W221" s="5" t="s">
        <v>24</v>
      </c>
      <c r="X221" s="5" t="s">
        <v>24</v>
      </c>
      <c r="Y221" s="5" t="s">
        <v>3287</v>
      </c>
      <c r="Z221" s="5" t="s">
        <v>3288</v>
      </c>
      <c r="AA221" s="5" t="s">
        <v>3288</v>
      </c>
      <c r="AB221" s="5" t="s">
        <v>3288</v>
      </c>
      <c r="AC221" s="5" t="s">
        <v>3289</v>
      </c>
      <c r="AD221" s="5" t="s">
        <v>3290</v>
      </c>
      <c r="AE221" s="5" t="s">
        <v>3291</v>
      </c>
      <c r="AF221" s="5" t="s">
        <v>24</v>
      </c>
      <c r="AG221" s="5" t="s">
        <v>24</v>
      </c>
      <c r="AH221" s="5" t="s">
        <v>24</v>
      </c>
      <c r="AI221" s="5" t="s">
        <v>24</v>
      </c>
      <c r="AJ221" s="5" t="s">
        <v>24</v>
      </c>
      <c r="AK221" s="5" t="s">
        <v>24</v>
      </c>
      <c r="AL221" s="5" t="str">
        <f>VLOOKUP(mambo!$H221,Sheet1!B:C,2,FALSE)</f>
        <v>#N/A</v>
      </c>
    </row>
    <row r="222" ht="15.75" hidden="1" customHeight="1">
      <c r="A222" s="5" t="s">
        <v>3292</v>
      </c>
      <c r="B222" s="5" t="s">
        <v>3293</v>
      </c>
      <c r="C222" s="5" t="s">
        <v>3266</v>
      </c>
      <c r="D222" s="5" t="s">
        <v>24</v>
      </c>
      <c r="E222" s="5" t="s">
        <v>1848</v>
      </c>
      <c r="F222" s="5" t="s">
        <v>1849</v>
      </c>
      <c r="G222" s="5" t="s">
        <v>24</v>
      </c>
      <c r="H222" s="5" t="s">
        <v>3294</v>
      </c>
      <c r="I222" s="5" t="s">
        <v>24</v>
      </c>
      <c r="J222" s="5" t="s">
        <v>24</v>
      </c>
      <c r="K222" s="5" t="s">
        <v>24</v>
      </c>
      <c r="L222" s="5" t="s">
        <v>24</v>
      </c>
      <c r="M222" s="5" t="s">
        <v>24</v>
      </c>
      <c r="N222" s="5" t="s">
        <v>24</v>
      </c>
      <c r="O222" s="5" t="s">
        <v>24</v>
      </c>
      <c r="P222" s="5" t="s">
        <v>24</v>
      </c>
      <c r="Q222" s="5" t="s">
        <v>24</v>
      </c>
      <c r="R222" s="5" t="s">
        <v>24</v>
      </c>
      <c r="S222" s="5" t="s">
        <v>1852</v>
      </c>
      <c r="T222" s="5" t="s">
        <v>2848</v>
      </c>
      <c r="U222" s="5" t="s">
        <v>2848</v>
      </c>
      <c r="V222" s="5" t="s">
        <v>1854</v>
      </c>
      <c r="W222" s="5" t="s">
        <v>24</v>
      </c>
      <c r="X222" s="5" t="s">
        <v>24</v>
      </c>
      <c r="Y222" s="5" t="s">
        <v>3295</v>
      </c>
      <c r="Z222" s="5" t="s">
        <v>3296</v>
      </c>
      <c r="AA222" s="5" t="s">
        <v>3296</v>
      </c>
      <c r="AB222" s="5" t="s">
        <v>3296</v>
      </c>
      <c r="AC222" s="5" t="s">
        <v>3297</v>
      </c>
      <c r="AD222" s="5" t="s">
        <v>3298</v>
      </c>
      <c r="AE222" s="5" t="s">
        <v>3299</v>
      </c>
      <c r="AF222" s="5" t="s">
        <v>24</v>
      </c>
      <c r="AG222" s="5" t="s">
        <v>24</v>
      </c>
      <c r="AH222" s="5" t="s">
        <v>24</v>
      </c>
      <c r="AI222" s="5" t="s">
        <v>24</v>
      </c>
      <c r="AJ222" s="5" t="s">
        <v>24</v>
      </c>
      <c r="AK222" s="5" t="s">
        <v>24</v>
      </c>
      <c r="AL222" s="5" t="str">
        <f>VLOOKUP(mambo!$H222,Sheet1!B:C,2,FALSE)</f>
        <v>#N/A</v>
      </c>
    </row>
    <row r="223" ht="15.75" hidden="1" customHeight="1">
      <c r="A223" s="5" t="s">
        <v>3300</v>
      </c>
      <c r="B223" s="5" t="s">
        <v>3301</v>
      </c>
      <c r="C223" s="5" t="s">
        <v>3302</v>
      </c>
      <c r="D223" s="5" t="s">
        <v>24</v>
      </c>
      <c r="E223" s="5" t="s">
        <v>1848</v>
      </c>
      <c r="F223" s="5" t="s">
        <v>1849</v>
      </c>
      <c r="G223" s="5" t="s">
        <v>24</v>
      </c>
      <c r="H223" s="5" t="s">
        <v>3303</v>
      </c>
      <c r="I223" s="5" t="s">
        <v>24</v>
      </c>
      <c r="J223" s="5" t="s">
        <v>24</v>
      </c>
      <c r="K223" s="5" t="s">
        <v>24</v>
      </c>
      <c r="L223" s="5" t="s">
        <v>24</v>
      </c>
      <c r="M223" s="5" t="s">
        <v>24</v>
      </c>
      <c r="N223" s="5" t="s">
        <v>24</v>
      </c>
      <c r="O223" s="5" t="s">
        <v>1894</v>
      </c>
      <c r="P223" s="5" t="s">
        <v>24</v>
      </c>
      <c r="Q223" s="5" t="s">
        <v>24</v>
      </c>
      <c r="R223" s="5" t="s">
        <v>24</v>
      </c>
      <c r="S223" s="5" t="s">
        <v>1852</v>
      </c>
      <c r="T223" s="5" t="s">
        <v>1923</v>
      </c>
      <c r="U223" s="5" t="s">
        <v>1923</v>
      </c>
      <c r="V223" s="5" t="s">
        <v>1854</v>
      </c>
      <c r="W223" s="5" t="s">
        <v>24</v>
      </c>
      <c r="X223" s="5" t="s">
        <v>24</v>
      </c>
      <c r="Y223" s="5" t="s">
        <v>3304</v>
      </c>
      <c r="Z223" s="5" t="s">
        <v>3305</v>
      </c>
      <c r="AA223" s="5" t="s">
        <v>3305</v>
      </c>
      <c r="AB223" s="5" t="s">
        <v>3305</v>
      </c>
      <c r="AC223" s="5" t="s">
        <v>24</v>
      </c>
      <c r="AD223" s="5" t="s">
        <v>24</v>
      </c>
      <c r="AE223" s="5" t="s">
        <v>24</v>
      </c>
      <c r="AF223" s="5" t="s">
        <v>24</v>
      </c>
      <c r="AG223" s="5" t="s">
        <v>24</v>
      </c>
      <c r="AH223" s="5" t="s">
        <v>24</v>
      </c>
      <c r="AI223" s="5" t="s">
        <v>24</v>
      </c>
      <c r="AJ223" s="5" t="s">
        <v>24</v>
      </c>
      <c r="AK223" s="5" t="s">
        <v>24</v>
      </c>
      <c r="AL223" s="5" t="str">
        <f>VLOOKUP(mambo!$H223,Sheet1!B:C,2,FALSE)</f>
        <v>#N/A</v>
      </c>
    </row>
    <row r="224" ht="15.75" hidden="1" customHeight="1">
      <c r="A224" s="5" t="s">
        <v>3306</v>
      </c>
      <c r="B224" s="5" t="s">
        <v>3307</v>
      </c>
      <c r="C224" s="5" t="s">
        <v>3302</v>
      </c>
      <c r="D224" s="5" t="s">
        <v>24</v>
      </c>
      <c r="E224" s="5" t="s">
        <v>1848</v>
      </c>
      <c r="F224" s="5" t="s">
        <v>1849</v>
      </c>
      <c r="G224" s="5" t="s">
        <v>24</v>
      </c>
      <c r="H224" s="5" t="s">
        <v>3308</v>
      </c>
      <c r="I224" s="5" t="s">
        <v>24</v>
      </c>
      <c r="J224" s="5" t="s">
        <v>24</v>
      </c>
      <c r="K224" s="5" t="s">
        <v>24</v>
      </c>
      <c r="L224" s="5" t="s">
        <v>24</v>
      </c>
      <c r="M224" s="5" t="s">
        <v>24</v>
      </c>
      <c r="N224" s="5" t="s">
        <v>24</v>
      </c>
      <c r="O224" s="5" t="s">
        <v>1894</v>
      </c>
      <c r="P224" s="5" t="s">
        <v>24</v>
      </c>
      <c r="Q224" s="5" t="s">
        <v>24</v>
      </c>
      <c r="R224" s="5" t="s">
        <v>24</v>
      </c>
      <c r="S224" s="5" t="s">
        <v>1852</v>
      </c>
      <c r="T224" s="5" t="s">
        <v>1923</v>
      </c>
      <c r="U224" s="5" t="s">
        <v>1923</v>
      </c>
      <c r="V224" s="5" t="s">
        <v>1854</v>
      </c>
      <c r="W224" s="5" t="s">
        <v>24</v>
      </c>
      <c r="X224" s="5" t="s">
        <v>24</v>
      </c>
      <c r="Y224" s="5" t="s">
        <v>3309</v>
      </c>
      <c r="Z224" s="5" t="s">
        <v>3310</v>
      </c>
      <c r="AA224" s="5" t="s">
        <v>3310</v>
      </c>
      <c r="AB224" s="5" t="s">
        <v>3310</v>
      </c>
      <c r="AC224" s="5" t="s">
        <v>24</v>
      </c>
      <c r="AD224" s="5" t="s">
        <v>24</v>
      </c>
      <c r="AE224" s="5" t="s">
        <v>24</v>
      </c>
      <c r="AF224" s="5" t="s">
        <v>24</v>
      </c>
      <c r="AG224" s="5" t="s">
        <v>24</v>
      </c>
      <c r="AH224" s="5" t="s">
        <v>24</v>
      </c>
      <c r="AI224" s="5" t="s">
        <v>24</v>
      </c>
      <c r="AJ224" s="5" t="s">
        <v>24</v>
      </c>
      <c r="AK224" s="5" t="s">
        <v>24</v>
      </c>
      <c r="AL224" s="5" t="str">
        <f>VLOOKUP(mambo!$H224,Sheet1!B:C,2,FALSE)</f>
        <v>#N/A</v>
      </c>
    </row>
    <row r="225" ht="15.75" hidden="1" customHeight="1">
      <c r="A225" s="5" t="s">
        <v>3311</v>
      </c>
      <c r="B225" s="5" t="s">
        <v>3312</v>
      </c>
      <c r="C225" s="5" t="s">
        <v>3302</v>
      </c>
      <c r="D225" s="5" t="s">
        <v>24</v>
      </c>
      <c r="E225" s="5" t="s">
        <v>1848</v>
      </c>
      <c r="F225" s="5" t="s">
        <v>1849</v>
      </c>
      <c r="G225" s="5" t="s">
        <v>24</v>
      </c>
      <c r="H225" s="5" t="s">
        <v>3313</v>
      </c>
      <c r="I225" s="5" t="s">
        <v>24</v>
      </c>
      <c r="J225" s="5" t="s">
        <v>24</v>
      </c>
      <c r="K225" s="5" t="s">
        <v>24</v>
      </c>
      <c r="L225" s="5" t="s">
        <v>24</v>
      </c>
      <c r="M225" s="5" t="s">
        <v>24</v>
      </c>
      <c r="N225" s="5" t="s">
        <v>24</v>
      </c>
      <c r="O225" s="5" t="s">
        <v>1894</v>
      </c>
      <c r="P225" s="5" t="s">
        <v>24</v>
      </c>
      <c r="Q225" s="5" t="s">
        <v>24</v>
      </c>
      <c r="R225" s="5" t="s">
        <v>24</v>
      </c>
      <c r="S225" s="5" t="s">
        <v>1852</v>
      </c>
      <c r="T225" s="5" t="s">
        <v>1923</v>
      </c>
      <c r="U225" s="5" t="s">
        <v>1923</v>
      </c>
      <c r="V225" s="5" t="s">
        <v>1854</v>
      </c>
      <c r="W225" s="5" t="s">
        <v>24</v>
      </c>
      <c r="X225" s="5" t="s">
        <v>24</v>
      </c>
      <c r="Y225" s="5" t="s">
        <v>3314</v>
      </c>
      <c r="Z225" s="5" t="s">
        <v>3315</v>
      </c>
      <c r="AA225" s="5" t="s">
        <v>3315</v>
      </c>
      <c r="AB225" s="5" t="s">
        <v>3315</v>
      </c>
      <c r="AC225" s="5" t="s">
        <v>24</v>
      </c>
      <c r="AD225" s="5" t="s">
        <v>24</v>
      </c>
      <c r="AE225" s="5" t="s">
        <v>24</v>
      </c>
      <c r="AF225" s="5" t="s">
        <v>24</v>
      </c>
      <c r="AG225" s="5" t="s">
        <v>24</v>
      </c>
      <c r="AH225" s="5" t="s">
        <v>24</v>
      </c>
      <c r="AI225" s="5" t="s">
        <v>24</v>
      </c>
      <c r="AJ225" s="5" t="s">
        <v>24</v>
      </c>
      <c r="AK225" s="5" t="s">
        <v>24</v>
      </c>
      <c r="AL225" s="5" t="str">
        <f>VLOOKUP(mambo!$H225,Sheet1!B:C,2,FALSE)</f>
        <v>#N/A</v>
      </c>
    </row>
    <row r="226" ht="15.75" hidden="1" customHeight="1">
      <c r="A226" s="5" t="s">
        <v>3316</v>
      </c>
      <c r="B226" s="5" t="s">
        <v>3317</v>
      </c>
      <c r="C226" s="5" t="s">
        <v>3302</v>
      </c>
      <c r="D226" s="5" t="s">
        <v>24</v>
      </c>
      <c r="E226" s="5" t="s">
        <v>1848</v>
      </c>
      <c r="F226" s="5" t="s">
        <v>1849</v>
      </c>
      <c r="G226" s="5" t="s">
        <v>24</v>
      </c>
      <c r="H226" s="5" t="s">
        <v>3318</v>
      </c>
      <c r="I226" s="5" t="s">
        <v>24</v>
      </c>
      <c r="J226" s="5" t="s">
        <v>24</v>
      </c>
      <c r="K226" s="5" t="s">
        <v>24</v>
      </c>
      <c r="L226" s="5" t="s">
        <v>24</v>
      </c>
      <c r="M226" s="5" t="s">
        <v>1885</v>
      </c>
      <c r="N226" s="5" t="s">
        <v>24</v>
      </c>
      <c r="O226" s="5" t="s">
        <v>1917</v>
      </c>
      <c r="P226" s="5" t="s">
        <v>24</v>
      </c>
      <c r="Q226" s="5" t="s">
        <v>24</v>
      </c>
      <c r="R226" s="5" t="s">
        <v>24</v>
      </c>
      <c r="S226" s="5" t="s">
        <v>1852</v>
      </c>
      <c r="T226" s="5" t="s">
        <v>3319</v>
      </c>
      <c r="U226" s="5" t="s">
        <v>3319</v>
      </c>
      <c r="V226" s="5" t="s">
        <v>1854</v>
      </c>
      <c r="W226" s="5" t="s">
        <v>24</v>
      </c>
      <c r="X226" s="5" t="s">
        <v>24</v>
      </c>
      <c r="Y226" s="5" t="s">
        <v>3320</v>
      </c>
      <c r="Z226" s="5" t="s">
        <v>3321</v>
      </c>
      <c r="AA226" s="5" t="s">
        <v>3321</v>
      </c>
      <c r="AB226" s="5" t="s">
        <v>3321</v>
      </c>
      <c r="AC226" s="5" t="s">
        <v>24</v>
      </c>
      <c r="AD226" s="5" t="s">
        <v>24</v>
      </c>
      <c r="AE226" s="5" t="s">
        <v>24</v>
      </c>
      <c r="AF226" s="5" t="s">
        <v>24</v>
      </c>
      <c r="AG226" s="5" t="s">
        <v>24</v>
      </c>
      <c r="AH226" s="5" t="s">
        <v>24</v>
      </c>
      <c r="AI226" s="5" t="s">
        <v>24</v>
      </c>
      <c r="AJ226" s="5" t="s">
        <v>24</v>
      </c>
      <c r="AK226" s="5" t="s">
        <v>24</v>
      </c>
      <c r="AL226" s="5" t="str">
        <f>VLOOKUP(mambo!$H226,Sheet1!B:C,2,FALSE)</f>
        <v>#N/A</v>
      </c>
    </row>
    <row r="227" ht="15.75" hidden="1" customHeight="1">
      <c r="A227" s="5" t="s">
        <v>3322</v>
      </c>
      <c r="B227" s="5" t="s">
        <v>3323</v>
      </c>
      <c r="C227" s="5" t="s">
        <v>3302</v>
      </c>
      <c r="D227" s="5" t="s">
        <v>24</v>
      </c>
      <c r="E227" s="5" t="s">
        <v>1848</v>
      </c>
      <c r="F227" s="5" t="s">
        <v>1849</v>
      </c>
      <c r="G227" s="5" t="s">
        <v>24</v>
      </c>
      <c r="H227" s="5" t="s">
        <v>3324</v>
      </c>
      <c r="I227" s="5" t="s">
        <v>24</v>
      </c>
      <c r="J227" s="5" t="s">
        <v>24</v>
      </c>
      <c r="K227" s="5" t="s">
        <v>24</v>
      </c>
      <c r="L227" s="5" t="s">
        <v>24</v>
      </c>
      <c r="M227" s="5" t="s">
        <v>1885</v>
      </c>
      <c r="N227" s="5" t="s">
        <v>24</v>
      </c>
      <c r="O227" s="5" t="s">
        <v>1917</v>
      </c>
      <c r="P227" s="5" t="s">
        <v>24</v>
      </c>
      <c r="Q227" s="5" t="s">
        <v>24</v>
      </c>
      <c r="R227" s="5" t="s">
        <v>24</v>
      </c>
      <c r="S227" s="5" t="s">
        <v>1852</v>
      </c>
      <c r="T227" s="5" t="s">
        <v>3319</v>
      </c>
      <c r="U227" s="5" t="s">
        <v>3319</v>
      </c>
      <c r="V227" s="5" t="s">
        <v>1854</v>
      </c>
      <c r="W227" s="5" t="s">
        <v>24</v>
      </c>
      <c r="X227" s="5" t="s">
        <v>24</v>
      </c>
      <c r="Y227" s="5" t="s">
        <v>3325</v>
      </c>
      <c r="Z227" s="5" t="s">
        <v>3326</v>
      </c>
      <c r="AA227" s="5" t="s">
        <v>3326</v>
      </c>
      <c r="AB227" s="5" t="s">
        <v>3326</v>
      </c>
      <c r="AC227" s="5" t="s">
        <v>24</v>
      </c>
      <c r="AD227" s="5" t="s">
        <v>24</v>
      </c>
      <c r="AE227" s="5" t="s">
        <v>24</v>
      </c>
      <c r="AF227" s="5" t="s">
        <v>24</v>
      </c>
      <c r="AG227" s="5" t="s">
        <v>24</v>
      </c>
      <c r="AH227" s="5" t="s">
        <v>24</v>
      </c>
      <c r="AI227" s="5" t="s">
        <v>24</v>
      </c>
      <c r="AJ227" s="5" t="s">
        <v>24</v>
      </c>
      <c r="AK227" s="5" t="s">
        <v>24</v>
      </c>
      <c r="AL227" s="5" t="str">
        <f>VLOOKUP(mambo!$H227,Sheet1!B:C,2,FALSE)</f>
        <v>#N/A</v>
      </c>
    </row>
    <row r="228" ht="15.75" hidden="1" customHeight="1">
      <c r="A228" s="5" t="s">
        <v>3327</v>
      </c>
      <c r="B228" s="5" t="s">
        <v>3328</v>
      </c>
      <c r="C228" s="5" t="s">
        <v>3302</v>
      </c>
      <c r="D228" s="5" t="s">
        <v>24</v>
      </c>
      <c r="E228" s="5" t="s">
        <v>1848</v>
      </c>
      <c r="F228" s="5" t="s">
        <v>1849</v>
      </c>
      <c r="G228" s="5" t="s">
        <v>24</v>
      </c>
      <c r="H228" s="5" t="s">
        <v>3329</v>
      </c>
      <c r="I228" s="5" t="s">
        <v>24</v>
      </c>
      <c r="J228" s="5" t="s">
        <v>24</v>
      </c>
      <c r="K228" s="5" t="s">
        <v>24</v>
      </c>
      <c r="L228" s="5" t="s">
        <v>24</v>
      </c>
      <c r="M228" s="5" t="s">
        <v>1885</v>
      </c>
      <c r="N228" s="5" t="s">
        <v>24</v>
      </c>
      <c r="O228" s="5" t="s">
        <v>1917</v>
      </c>
      <c r="P228" s="5" t="s">
        <v>24</v>
      </c>
      <c r="Q228" s="5" t="s">
        <v>24</v>
      </c>
      <c r="R228" s="5" t="s">
        <v>24</v>
      </c>
      <c r="S228" s="5" t="s">
        <v>1852</v>
      </c>
      <c r="T228" s="5" t="s">
        <v>3319</v>
      </c>
      <c r="U228" s="5" t="s">
        <v>3319</v>
      </c>
      <c r="V228" s="5" t="s">
        <v>1854</v>
      </c>
      <c r="W228" s="5" t="s">
        <v>24</v>
      </c>
      <c r="X228" s="5" t="s">
        <v>24</v>
      </c>
      <c r="Y228" s="5" t="s">
        <v>3330</v>
      </c>
      <c r="Z228" s="5" t="s">
        <v>3331</v>
      </c>
      <c r="AA228" s="5" t="s">
        <v>3331</v>
      </c>
      <c r="AB228" s="5" t="s">
        <v>3331</v>
      </c>
      <c r="AC228" s="5" t="s">
        <v>24</v>
      </c>
      <c r="AD228" s="5" t="s">
        <v>24</v>
      </c>
      <c r="AE228" s="5" t="s">
        <v>24</v>
      </c>
      <c r="AF228" s="5" t="s">
        <v>24</v>
      </c>
      <c r="AG228" s="5" t="s">
        <v>24</v>
      </c>
      <c r="AH228" s="5" t="s">
        <v>24</v>
      </c>
      <c r="AI228" s="5" t="s">
        <v>24</v>
      </c>
      <c r="AJ228" s="5" t="s">
        <v>24</v>
      </c>
      <c r="AK228" s="5" t="s">
        <v>24</v>
      </c>
      <c r="AL228" s="5" t="str">
        <f>VLOOKUP(mambo!$H228,Sheet1!B:C,2,FALSE)</f>
        <v>#N/A</v>
      </c>
    </row>
    <row r="229" ht="15.75" hidden="1" customHeight="1">
      <c r="A229" s="5" t="s">
        <v>3332</v>
      </c>
      <c r="B229" s="5" t="s">
        <v>3333</v>
      </c>
      <c r="C229" s="5" t="s">
        <v>3302</v>
      </c>
      <c r="D229" s="5" t="s">
        <v>24</v>
      </c>
      <c r="E229" s="5" t="s">
        <v>1848</v>
      </c>
      <c r="F229" s="5" t="s">
        <v>1849</v>
      </c>
      <c r="G229" s="5" t="s">
        <v>24</v>
      </c>
      <c r="H229" s="5" t="s">
        <v>3334</v>
      </c>
      <c r="I229" s="5" t="s">
        <v>24</v>
      </c>
      <c r="J229" s="5" t="s">
        <v>24</v>
      </c>
      <c r="K229" s="5" t="s">
        <v>24</v>
      </c>
      <c r="L229" s="5" t="s">
        <v>24</v>
      </c>
      <c r="M229" s="5" t="s">
        <v>1885</v>
      </c>
      <c r="N229" s="5" t="s">
        <v>24</v>
      </c>
      <c r="O229" s="5" t="s">
        <v>1917</v>
      </c>
      <c r="P229" s="5" t="s">
        <v>24</v>
      </c>
      <c r="Q229" s="5" t="s">
        <v>24</v>
      </c>
      <c r="R229" s="5" t="s">
        <v>24</v>
      </c>
      <c r="S229" s="5" t="s">
        <v>1852</v>
      </c>
      <c r="T229" s="5" t="s">
        <v>3319</v>
      </c>
      <c r="U229" s="5" t="s">
        <v>3319</v>
      </c>
      <c r="V229" s="5" t="s">
        <v>1854</v>
      </c>
      <c r="W229" s="5" t="s">
        <v>24</v>
      </c>
      <c r="X229" s="5" t="s">
        <v>24</v>
      </c>
      <c r="Y229" s="5" t="s">
        <v>3335</v>
      </c>
      <c r="Z229" s="5" t="s">
        <v>3336</v>
      </c>
      <c r="AA229" s="5" t="s">
        <v>3336</v>
      </c>
      <c r="AB229" s="5" t="s">
        <v>3336</v>
      </c>
      <c r="AC229" s="5" t="s">
        <v>24</v>
      </c>
      <c r="AD229" s="5" t="s">
        <v>24</v>
      </c>
      <c r="AE229" s="5" t="s">
        <v>24</v>
      </c>
      <c r="AF229" s="5" t="s">
        <v>24</v>
      </c>
      <c r="AG229" s="5" t="s">
        <v>24</v>
      </c>
      <c r="AH229" s="5" t="s">
        <v>24</v>
      </c>
      <c r="AI229" s="5" t="s">
        <v>24</v>
      </c>
      <c r="AJ229" s="5" t="s">
        <v>24</v>
      </c>
      <c r="AK229" s="5" t="s">
        <v>24</v>
      </c>
      <c r="AL229" s="5" t="str">
        <f>VLOOKUP(mambo!$H229,Sheet1!B:C,2,FALSE)</f>
        <v>#N/A</v>
      </c>
    </row>
    <row r="230" ht="15.75" hidden="1" customHeight="1">
      <c r="A230" s="5" t="s">
        <v>3337</v>
      </c>
      <c r="B230" s="5" t="s">
        <v>3338</v>
      </c>
      <c r="C230" s="5" t="s">
        <v>3302</v>
      </c>
      <c r="D230" s="5" t="s">
        <v>24</v>
      </c>
      <c r="E230" s="5" t="s">
        <v>1848</v>
      </c>
      <c r="F230" s="5" t="s">
        <v>1849</v>
      </c>
      <c r="G230" s="5" t="s">
        <v>24</v>
      </c>
      <c r="H230" s="5" t="s">
        <v>3339</v>
      </c>
      <c r="I230" s="5" t="s">
        <v>24</v>
      </c>
      <c r="J230" s="5" t="s">
        <v>24</v>
      </c>
      <c r="K230" s="5" t="s">
        <v>24</v>
      </c>
      <c r="L230" s="5" t="s">
        <v>24</v>
      </c>
      <c r="M230" s="5" t="s">
        <v>1885</v>
      </c>
      <c r="N230" s="5" t="s">
        <v>24</v>
      </c>
      <c r="O230" s="5" t="s">
        <v>1917</v>
      </c>
      <c r="P230" s="5" t="s">
        <v>24</v>
      </c>
      <c r="Q230" s="5" t="s">
        <v>24</v>
      </c>
      <c r="R230" s="5" t="s">
        <v>24</v>
      </c>
      <c r="S230" s="5" t="s">
        <v>1852</v>
      </c>
      <c r="T230" s="5" t="s">
        <v>3319</v>
      </c>
      <c r="U230" s="5" t="s">
        <v>3319</v>
      </c>
      <c r="V230" s="5" t="s">
        <v>1854</v>
      </c>
      <c r="W230" s="5" t="s">
        <v>24</v>
      </c>
      <c r="X230" s="5" t="s">
        <v>24</v>
      </c>
      <c r="Y230" s="5" t="s">
        <v>3340</v>
      </c>
      <c r="Z230" s="5" t="s">
        <v>3341</v>
      </c>
      <c r="AA230" s="5" t="s">
        <v>3341</v>
      </c>
      <c r="AB230" s="5" t="s">
        <v>3341</v>
      </c>
      <c r="AC230" s="5" t="s">
        <v>24</v>
      </c>
      <c r="AD230" s="5" t="s">
        <v>24</v>
      </c>
      <c r="AE230" s="5" t="s">
        <v>24</v>
      </c>
      <c r="AF230" s="5" t="s">
        <v>24</v>
      </c>
      <c r="AG230" s="5" t="s">
        <v>24</v>
      </c>
      <c r="AH230" s="5" t="s">
        <v>24</v>
      </c>
      <c r="AI230" s="5" t="s">
        <v>24</v>
      </c>
      <c r="AJ230" s="5" t="s">
        <v>24</v>
      </c>
      <c r="AK230" s="5" t="s">
        <v>24</v>
      </c>
      <c r="AL230" s="5" t="str">
        <f>VLOOKUP(mambo!$H230,Sheet1!B:C,2,FALSE)</f>
        <v>#N/A</v>
      </c>
    </row>
    <row r="231" ht="15.75" hidden="1" customHeight="1">
      <c r="A231" s="5" t="s">
        <v>3342</v>
      </c>
      <c r="B231" s="5" t="s">
        <v>3343</v>
      </c>
      <c r="C231" s="5" t="s">
        <v>3302</v>
      </c>
      <c r="D231" s="5" t="s">
        <v>24</v>
      </c>
      <c r="E231" s="5" t="s">
        <v>1848</v>
      </c>
      <c r="F231" s="5" t="s">
        <v>1849</v>
      </c>
      <c r="G231" s="5" t="s">
        <v>24</v>
      </c>
      <c r="H231" s="5" t="s">
        <v>3344</v>
      </c>
      <c r="I231" s="5" t="s">
        <v>24</v>
      </c>
      <c r="J231" s="5" t="s">
        <v>24</v>
      </c>
      <c r="K231" s="5" t="s">
        <v>24</v>
      </c>
      <c r="L231" s="5" t="s">
        <v>24</v>
      </c>
      <c r="M231" s="5" t="s">
        <v>24</v>
      </c>
      <c r="N231" s="5" t="s">
        <v>24</v>
      </c>
      <c r="O231" s="5" t="s">
        <v>1933</v>
      </c>
      <c r="P231" s="5" t="s">
        <v>24</v>
      </c>
      <c r="Q231" s="5" t="s">
        <v>24</v>
      </c>
      <c r="R231" s="5" t="s">
        <v>24</v>
      </c>
      <c r="S231" s="5" t="s">
        <v>1852</v>
      </c>
      <c r="T231" s="5" t="s">
        <v>1861</v>
      </c>
      <c r="U231" s="5" t="s">
        <v>1861</v>
      </c>
      <c r="V231" s="5" t="s">
        <v>1854</v>
      </c>
      <c r="W231" s="5" t="s">
        <v>24</v>
      </c>
      <c r="X231" s="5" t="s">
        <v>24</v>
      </c>
      <c r="Y231" s="5" t="s">
        <v>3345</v>
      </c>
      <c r="Z231" s="5" t="s">
        <v>3346</v>
      </c>
      <c r="AA231" s="5" t="s">
        <v>3346</v>
      </c>
      <c r="AB231" s="5" t="s">
        <v>3346</v>
      </c>
      <c r="AC231" s="5" t="s">
        <v>24</v>
      </c>
      <c r="AD231" s="5" t="s">
        <v>24</v>
      </c>
      <c r="AE231" s="5" t="s">
        <v>24</v>
      </c>
      <c r="AF231" s="5" t="s">
        <v>24</v>
      </c>
      <c r="AG231" s="5" t="s">
        <v>24</v>
      </c>
      <c r="AH231" s="5" t="s">
        <v>24</v>
      </c>
      <c r="AI231" s="5" t="s">
        <v>24</v>
      </c>
      <c r="AJ231" s="5" t="s">
        <v>24</v>
      </c>
      <c r="AK231" s="5" t="s">
        <v>24</v>
      </c>
      <c r="AL231" s="5" t="str">
        <f>VLOOKUP(mambo!$H231,Sheet1!B:C,2,FALSE)</f>
        <v>#N/A</v>
      </c>
    </row>
    <row r="232" ht="15.75" hidden="1" customHeight="1">
      <c r="A232" s="5" t="s">
        <v>3347</v>
      </c>
      <c r="B232" s="5" t="s">
        <v>3348</v>
      </c>
      <c r="C232" s="5" t="s">
        <v>3302</v>
      </c>
      <c r="D232" s="5" t="s">
        <v>24</v>
      </c>
      <c r="E232" s="5" t="s">
        <v>1848</v>
      </c>
      <c r="F232" s="5" t="s">
        <v>1849</v>
      </c>
      <c r="G232" s="5" t="s">
        <v>24</v>
      </c>
      <c r="H232" s="5" t="s">
        <v>3349</v>
      </c>
      <c r="I232" s="5" t="s">
        <v>24</v>
      </c>
      <c r="J232" s="5" t="s">
        <v>24</v>
      </c>
      <c r="K232" s="5" t="s">
        <v>24</v>
      </c>
      <c r="L232" s="5" t="s">
        <v>24</v>
      </c>
      <c r="M232" s="5" t="s">
        <v>24</v>
      </c>
      <c r="N232" s="5" t="s">
        <v>24</v>
      </c>
      <c r="O232" s="5" t="s">
        <v>1933</v>
      </c>
      <c r="P232" s="5" t="s">
        <v>24</v>
      </c>
      <c r="Q232" s="5" t="s">
        <v>24</v>
      </c>
      <c r="R232" s="5" t="s">
        <v>24</v>
      </c>
      <c r="S232" s="5" t="s">
        <v>1852</v>
      </c>
      <c r="T232" s="5" t="s">
        <v>1861</v>
      </c>
      <c r="U232" s="5" t="s">
        <v>1861</v>
      </c>
      <c r="V232" s="5" t="s">
        <v>1854</v>
      </c>
      <c r="W232" s="5" t="s">
        <v>24</v>
      </c>
      <c r="X232" s="5" t="s">
        <v>24</v>
      </c>
      <c r="Y232" s="5" t="s">
        <v>3350</v>
      </c>
      <c r="Z232" s="5" t="s">
        <v>3351</v>
      </c>
      <c r="AA232" s="5" t="s">
        <v>3351</v>
      </c>
      <c r="AB232" s="5" t="s">
        <v>3351</v>
      </c>
      <c r="AC232" s="5" t="s">
        <v>24</v>
      </c>
      <c r="AD232" s="5" t="s">
        <v>24</v>
      </c>
      <c r="AE232" s="5" t="s">
        <v>24</v>
      </c>
      <c r="AF232" s="5" t="s">
        <v>24</v>
      </c>
      <c r="AG232" s="5" t="s">
        <v>24</v>
      </c>
      <c r="AH232" s="5" t="s">
        <v>24</v>
      </c>
      <c r="AI232" s="5" t="s">
        <v>24</v>
      </c>
      <c r="AJ232" s="5" t="s">
        <v>24</v>
      </c>
      <c r="AK232" s="5" t="s">
        <v>24</v>
      </c>
      <c r="AL232" s="5" t="str">
        <f>VLOOKUP(mambo!$H232,Sheet1!B:C,2,FALSE)</f>
        <v>#N/A</v>
      </c>
    </row>
    <row r="233" ht="15.75" hidden="1" customHeight="1">
      <c r="A233" s="5" t="s">
        <v>3352</v>
      </c>
      <c r="B233" s="5" t="s">
        <v>3353</v>
      </c>
      <c r="C233" s="5" t="s">
        <v>3302</v>
      </c>
      <c r="D233" s="5" t="s">
        <v>24</v>
      </c>
      <c r="E233" s="5" t="s">
        <v>1848</v>
      </c>
      <c r="F233" s="5" t="s">
        <v>1849</v>
      </c>
      <c r="G233" s="5" t="s">
        <v>24</v>
      </c>
      <c r="H233" s="5" t="s">
        <v>3354</v>
      </c>
      <c r="I233" s="5" t="s">
        <v>24</v>
      </c>
      <c r="J233" s="5" t="s">
        <v>24</v>
      </c>
      <c r="K233" s="5" t="s">
        <v>24</v>
      </c>
      <c r="L233" s="5" t="s">
        <v>24</v>
      </c>
      <c r="M233" s="5" t="s">
        <v>24</v>
      </c>
      <c r="N233" s="5" t="s">
        <v>24</v>
      </c>
      <c r="O233" s="5" t="s">
        <v>1933</v>
      </c>
      <c r="P233" s="5" t="s">
        <v>24</v>
      </c>
      <c r="Q233" s="5" t="s">
        <v>24</v>
      </c>
      <c r="R233" s="5" t="s">
        <v>24</v>
      </c>
      <c r="S233" s="5" t="s">
        <v>1852</v>
      </c>
      <c r="T233" s="5" t="s">
        <v>1861</v>
      </c>
      <c r="U233" s="5" t="s">
        <v>1861</v>
      </c>
      <c r="V233" s="5" t="s">
        <v>1854</v>
      </c>
      <c r="W233" s="5" t="s">
        <v>24</v>
      </c>
      <c r="X233" s="5" t="s">
        <v>24</v>
      </c>
      <c r="Y233" s="5" t="s">
        <v>3355</v>
      </c>
      <c r="Z233" s="5" t="s">
        <v>3356</v>
      </c>
      <c r="AA233" s="5" t="s">
        <v>3356</v>
      </c>
      <c r="AB233" s="5" t="s">
        <v>3356</v>
      </c>
      <c r="AC233" s="5" t="s">
        <v>24</v>
      </c>
      <c r="AD233" s="5" t="s">
        <v>24</v>
      </c>
      <c r="AE233" s="5" t="s">
        <v>24</v>
      </c>
      <c r="AF233" s="5" t="s">
        <v>24</v>
      </c>
      <c r="AG233" s="5" t="s">
        <v>24</v>
      </c>
      <c r="AH233" s="5" t="s">
        <v>24</v>
      </c>
      <c r="AI233" s="5" t="s">
        <v>24</v>
      </c>
      <c r="AJ233" s="5" t="s">
        <v>24</v>
      </c>
      <c r="AK233" s="5" t="s">
        <v>24</v>
      </c>
      <c r="AL233" s="5" t="str">
        <f>VLOOKUP(mambo!$H233,Sheet1!B:C,2,FALSE)</f>
        <v>#N/A</v>
      </c>
    </row>
    <row r="234" ht="15.75" hidden="1" customHeight="1">
      <c r="A234" s="5" t="s">
        <v>3357</v>
      </c>
      <c r="B234" s="5" t="s">
        <v>3358</v>
      </c>
      <c r="C234" s="5" t="s">
        <v>3302</v>
      </c>
      <c r="D234" s="5" t="s">
        <v>24</v>
      </c>
      <c r="E234" s="5" t="s">
        <v>1848</v>
      </c>
      <c r="F234" s="5" t="s">
        <v>1849</v>
      </c>
      <c r="G234" s="5" t="s">
        <v>24</v>
      </c>
      <c r="H234" s="5" t="s">
        <v>3359</v>
      </c>
      <c r="I234" s="5" t="s">
        <v>24</v>
      </c>
      <c r="J234" s="5" t="s">
        <v>24</v>
      </c>
      <c r="K234" s="5" t="s">
        <v>24</v>
      </c>
      <c r="L234" s="5" t="s">
        <v>24</v>
      </c>
      <c r="M234" s="5" t="s">
        <v>24</v>
      </c>
      <c r="N234" s="5" t="s">
        <v>24</v>
      </c>
      <c r="O234" s="5" t="s">
        <v>1933</v>
      </c>
      <c r="P234" s="5" t="s">
        <v>24</v>
      </c>
      <c r="Q234" s="5" t="s">
        <v>24</v>
      </c>
      <c r="R234" s="5" t="s">
        <v>24</v>
      </c>
      <c r="S234" s="5" t="s">
        <v>1852</v>
      </c>
      <c r="T234" s="5" t="s">
        <v>2408</v>
      </c>
      <c r="U234" s="5" t="s">
        <v>2408</v>
      </c>
      <c r="V234" s="5" t="s">
        <v>1854</v>
      </c>
      <c r="W234" s="5" t="s">
        <v>24</v>
      </c>
      <c r="X234" s="5" t="s">
        <v>24</v>
      </c>
      <c r="Y234" s="5" t="s">
        <v>3360</v>
      </c>
      <c r="Z234" s="5" t="s">
        <v>3361</v>
      </c>
      <c r="AA234" s="5" t="s">
        <v>3361</v>
      </c>
      <c r="AB234" s="5" t="s">
        <v>3361</v>
      </c>
      <c r="AC234" s="5" t="s">
        <v>24</v>
      </c>
      <c r="AD234" s="5" t="s">
        <v>24</v>
      </c>
      <c r="AE234" s="5" t="s">
        <v>24</v>
      </c>
      <c r="AF234" s="5" t="s">
        <v>24</v>
      </c>
      <c r="AG234" s="5" t="s">
        <v>24</v>
      </c>
      <c r="AH234" s="5" t="s">
        <v>24</v>
      </c>
      <c r="AI234" s="5" t="s">
        <v>24</v>
      </c>
      <c r="AJ234" s="5" t="s">
        <v>24</v>
      </c>
      <c r="AK234" s="5" t="s">
        <v>24</v>
      </c>
      <c r="AL234" s="5" t="str">
        <f>VLOOKUP(mambo!$H234,Sheet1!B:C,2,FALSE)</f>
        <v>#N/A</v>
      </c>
    </row>
    <row r="235" ht="15.75" customHeight="1">
      <c r="A235" s="5" t="s">
        <v>3362</v>
      </c>
      <c r="B235" s="5" t="s">
        <v>3363</v>
      </c>
      <c r="C235" s="5" t="s">
        <v>139</v>
      </c>
      <c r="D235" s="5" t="s">
        <v>24</v>
      </c>
      <c r="E235" s="5" t="s">
        <v>1848</v>
      </c>
      <c r="F235" s="5" t="s">
        <v>1849</v>
      </c>
      <c r="G235" s="5" t="s">
        <v>24</v>
      </c>
      <c r="H235" s="5" t="s">
        <v>1586</v>
      </c>
      <c r="I235" s="5" t="s">
        <v>24</v>
      </c>
      <c r="J235" s="5" t="s">
        <v>24</v>
      </c>
      <c r="K235" s="5" t="s">
        <v>24</v>
      </c>
      <c r="L235" s="5" t="s">
        <v>24</v>
      </c>
      <c r="M235" s="5" t="s">
        <v>24</v>
      </c>
      <c r="N235" s="5" t="s">
        <v>24</v>
      </c>
      <c r="O235" s="5" t="s">
        <v>1933</v>
      </c>
      <c r="P235" s="5" t="s">
        <v>24</v>
      </c>
      <c r="Q235" s="5" t="s">
        <v>24</v>
      </c>
      <c r="R235" s="5" t="s">
        <v>24</v>
      </c>
      <c r="S235" s="5" t="s">
        <v>1852</v>
      </c>
      <c r="T235" s="5" t="s">
        <v>2066</v>
      </c>
      <c r="U235" s="5" t="s">
        <v>2066</v>
      </c>
      <c r="V235" s="5" t="s">
        <v>1854</v>
      </c>
      <c r="W235" s="5" t="s">
        <v>24</v>
      </c>
      <c r="X235" s="5" t="s">
        <v>24</v>
      </c>
      <c r="Y235" s="5" t="s">
        <v>3364</v>
      </c>
      <c r="Z235" s="5" t="s">
        <v>3365</v>
      </c>
      <c r="AA235" s="5" t="s">
        <v>3365</v>
      </c>
      <c r="AB235" s="5" t="s">
        <v>3365</v>
      </c>
      <c r="AC235" s="5" t="s">
        <v>3366</v>
      </c>
      <c r="AD235" s="5" t="s">
        <v>3367</v>
      </c>
      <c r="AE235" s="5" t="s">
        <v>24</v>
      </c>
      <c r="AF235" s="5" t="s">
        <v>24</v>
      </c>
      <c r="AG235" s="5" t="s">
        <v>24</v>
      </c>
      <c r="AH235" s="5" t="s">
        <v>24</v>
      </c>
      <c r="AI235" s="5" t="s">
        <v>24</v>
      </c>
      <c r="AJ235" s="5" t="s">
        <v>24</v>
      </c>
      <c r="AK235" s="5" t="s">
        <v>24</v>
      </c>
      <c r="AL235" s="5" t="str">
        <f>VLOOKUP(mambo!$H235,Sheet1!B:C,2,FALSE)</f>
        <v>1194409</v>
      </c>
    </row>
    <row r="236" ht="15.75" hidden="1" customHeight="1">
      <c r="A236" s="5" t="s">
        <v>3368</v>
      </c>
      <c r="B236" s="5" t="s">
        <v>3369</v>
      </c>
      <c r="C236" s="5" t="s">
        <v>3266</v>
      </c>
      <c r="D236" s="5" t="s">
        <v>24</v>
      </c>
      <c r="E236" s="5" t="s">
        <v>1848</v>
      </c>
      <c r="F236" s="5" t="s">
        <v>1849</v>
      </c>
      <c r="G236" s="5" t="s">
        <v>24</v>
      </c>
      <c r="H236" s="5" t="s">
        <v>3370</v>
      </c>
      <c r="I236" s="5" t="s">
        <v>24</v>
      </c>
      <c r="J236" s="5" t="s">
        <v>24</v>
      </c>
      <c r="K236" s="5" t="s">
        <v>24</v>
      </c>
      <c r="L236" s="5" t="s">
        <v>24</v>
      </c>
      <c r="M236" s="5" t="s">
        <v>24</v>
      </c>
      <c r="N236" s="5" t="s">
        <v>24</v>
      </c>
      <c r="O236" s="5" t="s">
        <v>1933</v>
      </c>
      <c r="P236" s="5" t="s">
        <v>24</v>
      </c>
      <c r="Q236" s="5" t="s">
        <v>24</v>
      </c>
      <c r="R236" s="5" t="s">
        <v>24</v>
      </c>
      <c r="S236" s="5" t="s">
        <v>1852</v>
      </c>
      <c r="T236" s="5" t="s">
        <v>3286</v>
      </c>
      <c r="U236" s="5" t="s">
        <v>3286</v>
      </c>
      <c r="V236" s="5" t="s">
        <v>1854</v>
      </c>
      <c r="W236" s="5" t="s">
        <v>24</v>
      </c>
      <c r="X236" s="5" t="s">
        <v>24</v>
      </c>
      <c r="Y236" s="5" t="s">
        <v>3371</v>
      </c>
      <c r="Z236" s="5" t="s">
        <v>3372</v>
      </c>
      <c r="AA236" s="5" t="s">
        <v>3372</v>
      </c>
      <c r="AB236" s="5" t="s">
        <v>3372</v>
      </c>
      <c r="AC236" s="5" t="s">
        <v>3373</v>
      </c>
      <c r="AD236" s="5" t="s">
        <v>3374</v>
      </c>
      <c r="AE236" s="5" t="s">
        <v>3375</v>
      </c>
      <c r="AF236" s="5" t="s">
        <v>24</v>
      </c>
      <c r="AG236" s="5" t="s">
        <v>24</v>
      </c>
      <c r="AH236" s="5" t="s">
        <v>24</v>
      </c>
      <c r="AI236" s="5" t="s">
        <v>24</v>
      </c>
      <c r="AJ236" s="5" t="s">
        <v>24</v>
      </c>
      <c r="AK236" s="5" t="s">
        <v>24</v>
      </c>
      <c r="AL236" s="5" t="str">
        <f>VLOOKUP(mambo!$H236,Sheet1!B:C,2,FALSE)</f>
        <v>#N/A</v>
      </c>
    </row>
    <row r="237" ht="15.75" customHeight="1">
      <c r="A237" s="5" t="s">
        <v>3376</v>
      </c>
      <c r="B237" s="5" t="s">
        <v>3377</v>
      </c>
      <c r="C237" s="5" t="s">
        <v>227</v>
      </c>
      <c r="D237" s="5" t="s">
        <v>24</v>
      </c>
      <c r="E237" s="5" t="s">
        <v>1848</v>
      </c>
      <c r="F237" s="5" t="s">
        <v>1849</v>
      </c>
      <c r="G237" s="5" t="s">
        <v>24</v>
      </c>
      <c r="H237" s="5" t="s">
        <v>571</v>
      </c>
      <c r="I237" s="5" t="s">
        <v>24</v>
      </c>
      <c r="J237" s="5" t="s">
        <v>24</v>
      </c>
      <c r="K237" s="5" t="s">
        <v>24</v>
      </c>
      <c r="L237" s="5" t="s">
        <v>24</v>
      </c>
      <c r="M237" s="5" t="s">
        <v>24</v>
      </c>
      <c r="N237" s="5" t="s">
        <v>24</v>
      </c>
      <c r="O237" s="5" t="s">
        <v>3378</v>
      </c>
      <c r="P237" s="5" t="s">
        <v>24</v>
      </c>
      <c r="Q237" s="5" t="s">
        <v>24</v>
      </c>
      <c r="R237" s="5" t="s">
        <v>24</v>
      </c>
      <c r="S237" s="5" t="s">
        <v>1852</v>
      </c>
      <c r="T237" s="5" t="s">
        <v>1895</v>
      </c>
      <c r="U237" s="5" t="s">
        <v>1895</v>
      </c>
      <c r="V237" s="5" t="s">
        <v>1854</v>
      </c>
      <c r="W237" s="5" t="s">
        <v>24</v>
      </c>
      <c r="X237" s="5" t="s">
        <v>24</v>
      </c>
      <c r="Y237" s="5" t="s">
        <v>3379</v>
      </c>
      <c r="Z237" s="5" t="s">
        <v>3380</v>
      </c>
      <c r="AA237" s="5" t="s">
        <v>3380</v>
      </c>
      <c r="AB237" s="5" t="s">
        <v>3380</v>
      </c>
      <c r="AC237" s="5" t="s">
        <v>3381</v>
      </c>
      <c r="AD237" s="5" t="s">
        <v>24</v>
      </c>
      <c r="AE237" s="5" t="s">
        <v>24</v>
      </c>
      <c r="AF237" s="5" t="s">
        <v>24</v>
      </c>
      <c r="AG237" s="5" t="s">
        <v>24</v>
      </c>
      <c r="AH237" s="5" t="s">
        <v>24</v>
      </c>
      <c r="AI237" s="5" t="s">
        <v>24</v>
      </c>
      <c r="AJ237" s="5" t="s">
        <v>24</v>
      </c>
      <c r="AK237" s="5" t="s">
        <v>24</v>
      </c>
      <c r="AL237" s="5" t="str">
        <f>VLOOKUP(mambo!$H237,Sheet1!B:C,2,FALSE)</f>
        <v>1366892</v>
      </c>
    </row>
    <row r="238" ht="15.75" customHeight="1">
      <c r="A238" s="5" t="s">
        <v>3382</v>
      </c>
      <c r="B238" s="5" t="s">
        <v>3383</v>
      </c>
      <c r="C238" s="5" t="s">
        <v>503</v>
      </c>
      <c r="D238" s="5" t="s">
        <v>24</v>
      </c>
      <c r="E238" s="5" t="s">
        <v>1848</v>
      </c>
      <c r="F238" s="5" t="s">
        <v>1849</v>
      </c>
      <c r="G238" s="5" t="s">
        <v>24</v>
      </c>
      <c r="H238" s="5" t="s">
        <v>661</v>
      </c>
      <c r="I238" s="5" t="s">
        <v>24</v>
      </c>
      <c r="J238" s="5" t="s">
        <v>24</v>
      </c>
      <c r="K238" s="5" t="s">
        <v>24</v>
      </c>
      <c r="L238" s="5" t="s">
        <v>24</v>
      </c>
      <c r="M238" s="5" t="s">
        <v>1885</v>
      </c>
      <c r="N238" s="5" t="s">
        <v>24</v>
      </c>
      <c r="O238" s="5" t="s">
        <v>1969</v>
      </c>
      <c r="P238" s="5" t="s">
        <v>24</v>
      </c>
      <c r="Q238" s="5" t="s">
        <v>24</v>
      </c>
      <c r="R238" s="5" t="s">
        <v>24</v>
      </c>
      <c r="S238" s="5" t="s">
        <v>1852</v>
      </c>
      <c r="T238" s="5" t="s">
        <v>3384</v>
      </c>
      <c r="U238" s="5" t="s">
        <v>3384</v>
      </c>
      <c r="V238" s="5" t="s">
        <v>1854</v>
      </c>
      <c r="W238" s="5" t="s">
        <v>24</v>
      </c>
      <c r="X238" s="5" t="s">
        <v>24</v>
      </c>
      <c r="Y238" s="5" t="s">
        <v>3385</v>
      </c>
      <c r="Z238" s="5" t="s">
        <v>3386</v>
      </c>
      <c r="AA238" s="5" t="s">
        <v>3386</v>
      </c>
      <c r="AB238" s="5" t="s">
        <v>3386</v>
      </c>
      <c r="AC238" s="5" t="s">
        <v>3387</v>
      </c>
      <c r="AD238" s="5" t="s">
        <v>3388</v>
      </c>
      <c r="AE238" s="5" t="s">
        <v>3389</v>
      </c>
      <c r="AF238" s="5" t="s">
        <v>3390</v>
      </c>
      <c r="AG238" s="5" t="s">
        <v>3391</v>
      </c>
      <c r="AH238" s="5" t="s">
        <v>24</v>
      </c>
      <c r="AI238" s="5" t="s">
        <v>24</v>
      </c>
      <c r="AJ238" s="5" t="s">
        <v>24</v>
      </c>
      <c r="AK238" s="5" t="s">
        <v>24</v>
      </c>
      <c r="AL238" s="5" t="str">
        <f>VLOOKUP(mambo!$H238,Sheet1!B:C,2,FALSE)</f>
        <v>1367244</v>
      </c>
    </row>
    <row r="239" ht="15.75" customHeight="1">
      <c r="A239" s="5" t="s">
        <v>3392</v>
      </c>
      <c r="B239" s="5" t="s">
        <v>3393</v>
      </c>
      <c r="C239" s="5" t="s">
        <v>503</v>
      </c>
      <c r="D239" s="5" t="s">
        <v>24</v>
      </c>
      <c r="E239" s="5" t="s">
        <v>1848</v>
      </c>
      <c r="F239" s="5" t="s">
        <v>1849</v>
      </c>
      <c r="G239" s="5" t="s">
        <v>24</v>
      </c>
      <c r="H239" s="5" t="s">
        <v>400</v>
      </c>
      <c r="I239" s="5" t="s">
        <v>24</v>
      </c>
      <c r="J239" s="5" t="s">
        <v>24</v>
      </c>
      <c r="K239" s="5" t="s">
        <v>24</v>
      </c>
      <c r="L239" s="5" t="s">
        <v>24</v>
      </c>
      <c r="M239" s="5" t="s">
        <v>1885</v>
      </c>
      <c r="N239" s="5" t="s">
        <v>24</v>
      </c>
      <c r="O239" s="5" t="s">
        <v>1986</v>
      </c>
      <c r="P239" s="5" t="s">
        <v>24</v>
      </c>
      <c r="Q239" s="5" t="s">
        <v>24</v>
      </c>
      <c r="R239" s="5" t="s">
        <v>24</v>
      </c>
      <c r="S239" s="5" t="s">
        <v>1852</v>
      </c>
      <c r="T239" s="5" t="s">
        <v>3384</v>
      </c>
      <c r="U239" s="5" t="s">
        <v>3384</v>
      </c>
      <c r="V239" s="5" t="s">
        <v>1854</v>
      </c>
      <c r="W239" s="5" t="s">
        <v>24</v>
      </c>
      <c r="X239" s="5" t="s">
        <v>24</v>
      </c>
      <c r="Y239" s="5" t="s">
        <v>3394</v>
      </c>
      <c r="Z239" s="5" t="s">
        <v>3395</v>
      </c>
      <c r="AA239" s="5" t="s">
        <v>3395</v>
      </c>
      <c r="AB239" s="5" t="s">
        <v>3395</v>
      </c>
      <c r="AC239" s="5" t="s">
        <v>3396</v>
      </c>
      <c r="AD239" s="5" t="s">
        <v>3397</v>
      </c>
      <c r="AE239" s="5" t="s">
        <v>3398</v>
      </c>
      <c r="AF239" s="5" t="s">
        <v>3399</v>
      </c>
      <c r="AG239" s="5" t="s">
        <v>3400</v>
      </c>
      <c r="AH239" s="5" t="s">
        <v>24</v>
      </c>
      <c r="AI239" s="5" t="s">
        <v>24</v>
      </c>
      <c r="AJ239" s="5" t="s">
        <v>24</v>
      </c>
      <c r="AK239" s="5" t="s">
        <v>24</v>
      </c>
      <c r="AL239" s="5" t="str">
        <f>VLOOKUP(mambo!$H239,Sheet1!B:C,2,FALSE)</f>
        <v>1156103</v>
      </c>
    </row>
    <row r="240" ht="15.75" customHeight="1">
      <c r="A240" s="5" t="s">
        <v>3401</v>
      </c>
      <c r="B240" s="5" t="s">
        <v>3402</v>
      </c>
      <c r="C240" s="5" t="s">
        <v>503</v>
      </c>
      <c r="D240" s="5" t="s">
        <v>24</v>
      </c>
      <c r="E240" s="5" t="s">
        <v>1848</v>
      </c>
      <c r="F240" s="5" t="s">
        <v>1849</v>
      </c>
      <c r="G240" s="5" t="s">
        <v>24</v>
      </c>
      <c r="H240" s="5" t="s">
        <v>462</v>
      </c>
      <c r="I240" s="5" t="s">
        <v>24</v>
      </c>
      <c r="J240" s="5" t="s">
        <v>24</v>
      </c>
      <c r="K240" s="5" t="s">
        <v>24</v>
      </c>
      <c r="L240" s="5" t="s">
        <v>24</v>
      </c>
      <c r="M240" s="5" t="s">
        <v>1885</v>
      </c>
      <c r="N240" s="5" t="s">
        <v>24</v>
      </c>
      <c r="O240" s="5" t="s">
        <v>1894</v>
      </c>
      <c r="P240" s="5" t="s">
        <v>24</v>
      </c>
      <c r="Q240" s="5" t="s">
        <v>24</v>
      </c>
      <c r="R240" s="5" t="s">
        <v>24</v>
      </c>
      <c r="S240" s="5" t="s">
        <v>1852</v>
      </c>
      <c r="T240" s="5" t="s">
        <v>3403</v>
      </c>
      <c r="U240" s="5" t="s">
        <v>3403</v>
      </c>
      <c r="V240" s="5" t="s">
        <v>1854</v>
      </c>
      <c r="W240" s="5" t="s">
        <v>24</v>
      </c>
      <c r="X240" s="5" t="s">
        <v>24</v>
      </c>
      <c r="Y240" s="5" t="s">
        <v>3404</v>
      </c>
      <c r="Z240" s="5" t="s">
        <v>3405</v>
      </c>
      <c r="AA240" s="5" t="s">
        <v>3405</v>
      </c>
      <c r="AB240" s="5" t="s">
        <v>3405</v>
      </c>
      <c r="AC240" s="5" t="s">
        <v>3406</v>
      </c>
      <c r="AD240" s="5" t="s">
        <v>3407</v>
      </c>
      <c r="AE240" s="5" t="s">
        <v>3408</v>
      </c>
      <c r="AF240" s="5" t="s">
        <v>3409</v>
      </c>
      <c r="AG240" s="5" t="s">
        <v>3410</v>
      </c>
      <c r="AH240" s="5" t="s">
        <v>24</v>
      </c>
      <c r="AI240" s="5" t="s">
        <v>24</v>
      </c>
      <c r="AJ240" s="5" t="s">
        <v>24</v>
      </c>
      <c r="AK240" s="5" t="s">
        <v>24</v>
      </c>
      <c r="AL240" s="5" t="str">
        <f>VLOOKUP(mambo!$H240,Sheet1!B:C,2,FALSE)</f>
        <v>1156099</v>
      </c>
    </row>
    <row r="241" ht="15.75" customHeight="1">
      <c r="A241" s="5" t="s">
        <v>3411</v>
      </c>
      <c r="B241" s="5" t="s">
        <v>3412</v>
      </c>
      <c r="C241" s="5" t="s">
        <v>503</v>
      </c>
      <c r="D241" s="5" t="s">
        <v>24</v>
      </c>
      <c r="E241" s="5" t="s">
        <v>1848</v>
      </c>
      <c r="F241" s="5" t="s">
        <v>1849</v>
      </c>
      <c r="G241" s="5" t="s">
        <v>24</v>
      </c>
      <c r="H241" s="5" t="s">
        <v>415</v>
      </c>
      <c r="I241" s="5" t="s">
        <v>24</v>
      </c>
      <c r="J241" s="5" t="s">
        <v>24</v>
      </c>
      <c r="K241" s="5" t="s">
        <v>24</v>
      </c>
      <c r="L241" s="5" t="s">
        <v>24</v>
      </c>
      <c r="M241" s="5" t="s">
        <v>1885</v>
      </c>
      <c r="N241" s="5" t="s">
        <v>24</v>
      </c>
      <c r="O241" s="5" t="s">
        <v>24</v>
      </c>
      <c r="P241" s="5" t="s">
        <v>24</v>
      </c>
      <c r="Q241" s="5" t="s">
        <v>24</v>
      </c>
      <c r="R241" s="5" t="s">
        <v>24</v>
      </c>
      <c r="S241" s="5" t="s">
        <v>1852</v>
      </c>
      <c r="T241" s="5" t="s">
        <v>2214</v>
      </c>
      <c r="U241" s="5" t="s">
        <v>2214</v>
      </c>
      <c r="V241" s="5" t="s">
        <v>1854</v>
      </c>
      <c r="W241" s="5" t="s">
        <v>24</v>
      </c>
      <c r="X241" s="5" t="s">
        <v>24</v>
      </c>
      <c r="Y241" s="5" t="s">
        <v>3413</v>
      </c>
      <c r="Z241" s="5" t="s">
        <v>3414</v>
      </c>
      <c r="AA241" s="5" t="s">
        <v>3414</v>
      </c>
      <c r="AB241" s="5" t="s">
        <v>3414</v>
      </c>
      <c r="AC241" s="5" t="s">
        <v>3415</v>
      </c>
      <c r="AD241" s="5" t="s">
        <v>3416</v>
      </c>
      <c r="AE241" s="5" t="s">
        <v>3417</v>
      </c>
      <c r="AF241" s="5" t="s">
        <v>3418</v>
      </c>
      <c r="AG241" s="5" t="s">
        <v>3419</v>
      </c>
      <c r="AH241" s="5" t="s">
        <v>24</v>
      </c>
      <c r="AI241" s="5" t="s">
        <v>24</v>
      </c>
      <c r="AJ241" s="5" t="s">
        <v>24</v>
      </c>
      <c r="AK241" s="5" t="s">
        <v>24</v>
      </c>
      <c r="AL241" s="5" t="str">
        <f>VLOOKUP(mambo!$H241,Sheet1!B:C,2,FALSE)</f>
        <v>1367240</v>
      </c>
    </row>
    <row r="242" ht="15.75" customHeight="1">
      <c r="A242" s="5" t="s">
        <v>3420</v>
      </c>
      <c r="B242" s="5" t="s">
        <v>3421</v>
      </c>
      <c r="C242" s="5" t="s">
        <v>503</v>
      </c>
      <c r="D242" s="5" t="s">
        <v>24</v>
      </c>
      <c r="E242" s="5" t="s">
        <v>1848</v>
      </c>
      <c r="F242" s="5" t="s">
        <v>1849</v>
      </c>
      <c r="G242" s="5" t="s">
        <v>24</v>
      </c>
      <c r="H242" s="5" t="s">
        <v>677</v>
      </c>
      <c r="I242" s="5" t="s">
        <v>24</v>
      </c>
      <c r="J242" s="5" t="s">
        <v>24</v>
      </c>
      <c r="K242" s="5" t="s">
        <v>24</v>
      </c>
      <c r="L242" s="5" t="s">
        <v>24</v>
      </c>
      <c r="M242" s="5" t="s">
        <v>1885</v>
      </c>
      <c r="N242" s="5" t="s">
        <v>24</v>
      </c>
      <c r="O242" s="5" t="s">
        <v>3422</v>
      </c>
      <c r="P242" s="5" t="s">
        <v>24</v>
      </c>
      <c r="Q242" s="5" t="s">
        <v>24</v>
      </c>
      <c r="R242" s="5" t="s">
        <v>24</v>
      </c>
      <c r="S242" s="5" t="s">
        <v>1852</v>
      </c>
      <c r="T242" s="5" t="s">
        <v>3384</v>
      </c>
      <c r="U242" s="5" t="s">
        <v>3384</v>
      </c>
      <c r="V242" s="5" t="s">
        <v>1854</v>
      </c>
      <c r="W242" s="5" t="s">
        <v>24</v>
      </c>
      <c r="X242" s="5" t="s">
        <v>24</v>
      </c>
      <c r="Y242" s="5" t="s">
        <v>3423</v>
      </c>
      <c r="Z242" s="5" t="s">
        <v>3424</v>
      </c>
      <c r="AA242" s="5" t="s">
        <v>3424</v>
      </c>
      <c r="AB242" s="5" t="s">
        <v>3424</v>
      </c>
      <c r="AC242" s="5" t="s">
        <v>3425</v>
      </c>
      <c r="AD242" s="5" t="s">
        <v>3426</v>
      </c>
      <c r="AE242" s="5" t="s">
        <v>3427</v>
      </c>
      <c r="AF242" s="5" t="s">
        <v>3428</v>
      </c>
      <c r="AG242" s="5" t="s">
        <v>3429</v>
      </c>
      <c r="AH242" s="5" t="s">
        <v>24</v>
      </c>
      <c r="AI242" s="5" t="s">
        <v>24</v>
      </c>
      <c r="AJ242" s="5" t="s">
        <v>24</v>
      </c>
      <c r="AK242" s="5" t="s">
        <v>24</v>
      </c>
      <c r="AL242" s="5" t="str">
        <f>VLOOKUP(mambo!$H242,Sheet1!B:C,2,FALSE)</f>
        <v>1367242</v>
      </c>
    </row>
    <row r="243" ht="15.75" customHeight="1">
      <c r="A243" s="5" t="s">
        <v>3430</v>
      </c>
      <c r="B243" s="5" t="s">
        <v>3431</v>
      </c>
      <c r="C243" s="5" t="s">
        <v>503</v>
      </c>
      <c r="D243" s="5" t="s">
        <v>24</v>
      </c>
      <c r="E243" s="5" t="s">
        <v>1848</v>
      </c>
      <c r="F243" s="5" t="s">
        <v>1849</v>
      </c>
      <c r="G243" s="5" t="s">
        <v>24</v>
      </c>
      <c r="H243" s="5" t="s">
        <v>488</v>
      </c>
      <c r="I243" s="5" t="s">
        <v>24</v>
      </c>
      <c r="J243" s="5" t="s">
        <v>24</v>
      </c>
      <c r="K243" s="5" t="s">
        <v>24</v>
      </c>
      <c r="L243" s="5" t="s">
        <v>24</v>
      </c>
      <c r="M243" s="5" t="s">
        <v>1885</v>
      </c>
      <c r="N243" s="5" t="s">
        <v>24</v>
      </c>
      <c r="O243" s="5" t="s">
        <v>3432</v>
      </c>
      <c r="P243" s="5" t="s">
        <v>24</v>
      </c>
      <c r="Q243" s="5" t="s">
        <v>24</v>
      </c>
      <c r="R243" s="5" t="s">
        <v>24</v>
      </c>
      <c r="S243" s="5" t="s">
        <v>1852</v>
      </c>
      <c r="T243" s="5" t="s">
        <v>3384</v>
      </c>
      <c r="U243" s="5" t="s">
        <v>3384</v>
      </c>
      <c r="V243" s="5" t="s">
        <v>1854</v>
      </c>
      <c r="W243" s="5" t="s">
        <v>24</v>
      </c>
      <c r="X243" s="5" t="s">
        <v>24</v>
      </c>
      <c r="Y243" s="5" t="s">
        <v>3433</v>
      </c>
      <c r="Z243" s="5" t="s">
        <v>3434</v>
      </c>
      <c r="AA243" s="5" t="s">
        <v>3434</v>
      </c>
      <c r="AB243" s="5" t="s">
        <v>3434</v>
      </c>
      <c r="AC243" s="5" t="s">
        <v>3435</v>
      </c>
      <c r="AD243" s="5" t="s">
        <v>3436</v>
      </c>
      <c r="AE243" s="5" t="s">
        <v>3437</v>
      </c>
      <c r="AF243" s="5" t="s">
        <v>3438</v>
      </c>
      <c r="AG243" s="5" t="s">
        <v>3439</v>
      </c>
      <c r="AH243" s="5" t="s">
        <v>24</v>
      </c>
      <c r="AI243" s="5" t="s">
        <v>24</v>
      </c>
      <c r="AJ243" s="5" t="s">
        <v>24</v>
      </c>
      <c r="AK243" s="5" t="s">
        <v>24</v>
      </c>
      <c r="AL243" s="5" t="str">
        <f>VLOOKUP(mambo!$H243,Sheet1!B:C,2,FALSE)</f>
        <v>1156101</v>
      </c>
    </row>
    <row r="244" ht="15.75" customHeight="1">
      <c r="A244" s="5" t="s">
        <v>3440</v>
      </c>
      <c r="B244" s="5" t="s">
        <v>3441</v>
      </c>
      <c r="C244" s="5" t="s">
        <v>503</v>
      </c>
      <c r="D244" s="5" t="s">
        <v>24</v>
      </c>
      <c r="E244" s="5" t="s">
        <v>1848</v>
      </c>
      <c r="F244" s="5" t="s">
        <v>1849</v>
      </c>
      <c r="G244" s="5" t="s">
        <v>24</v>
      </c>
      <c r="H244" s="5" t="s">
        <v>789</v>
      </c>
      <c r="I244" s="5" t="s">
        <v>24</v>
      </c>
      <c r="J244" s="5" t="s">
        <v>24</v>
      </c>
      <c r="K244" s="5" t="s">
        <v>24</v>
      </c>
      <c r="L244" s="5" t="s">
        <v>24</v>
      </c>
      <c r="M244" s="5" t="s">
        <v>1885</v>
      </c>
      <c r="N244" s="5" t="s">
        <v>24</v>
      </c>
      <c r="O244" s="5" t="s">
        <v>1986</v>
      </c>
      <c r="P244" s="5" t="s">
        <v>24</v>
      </c>
      <c r="Q244" s="5" t="s">
        <v>24</v>
      </c>
      <c r="R244" s="5" t="s">
        <v>24</v>
      </c>
      <c r="S244" s="5" t="s">
        <v>1852</v>
      </c>
      <c r="T244" s="5" t="s">
        <v>3384</v>
      </c>
      <c r="U244" s="5" t="s">
        <v>3384</v>
      </c>
      <c r="V244" s="5" t="s">
        <v>1854</v>
      </c>
      <c r="W244" s="5" t="s">
        <v>24</v>
      </c>
      <c r="X244" s="5" t="s">
        <v>24</v>
      </c>
      <c r="Y244" s="5" t="s">
        <v>3442</v>
      </c>
      <c r="Z244" s="5" t="s">
        <v>3443</v>
      </c>
      <c r="AA244" s="5" t="s">
        <v>3443</v>
      </c>
      <c r="AB244" s="5" t="s">
        <v>3443</v>
      </c>
      <c r="AC244" s="5" t="s">
        <v>3444</v>
      </c>
      <c r="AD244" s="5" t="s">
        <v>3445</v>
      </c>
      <c r="AE244" s="5" t="s">
        <v>3446</v>
      </c>
      <c r="AF244" s="5" t="s">
        <v>3447</v>
      </c>
      <c r="AG244" s="5" t="s">
        <v>3448</v>
      </c>
      <c r="AH244" s="5" t="s">
        <v>3449</v>
      </c>
      <c r="AI244" s="5" t="s">
        <v>3450</v>
      </c>
      <c r="AJ244" s="5" t="s">
        <v>3451</v>
      </c>
      <c r="AK244" s="5" t="s">
        <v>24</v>
      </c>
      <c r="AL244" s="5" t="str">
        <f>VLOOKUP(mambo!$H244,Sheet1!B:C,2,FALSE)</f>
        <v>1367237</v>
      </c>
    </row>
    <row r="245" ht="15.75" customHeight="1">
      <c r="A245" s="5" t="s">
        <v>3452</v>
      </c>
      <c r="B245" s="5" t="s">
        <v>3453</v>
      </c>
      <c r="C245" s="5" t="s">
        <v>503</v>
      </c>
      <c r="D245" s="5" t="s">
        <v>24</v>
      </c>
      <c r="E245" s="5" t="s">
        <v>1848</v>
      </c>
      <c r="F245" s="5" t="s">
        <v>1849</v>
      </c>
      <c r="G245" s="5" t="s">
        <v>24</v>
      </c>
      <c r="H245" s="5" t="s">
        <v>389</v>
      </c>
      <c r="I245" s="5" t="s">
        <v>24</v>
      </c>
      <c r="J245" s="5" t="s">
        <v>24</v>
      </c>
      <c r="K245" s="5" t="s">
        <v>24</v>
      </c>
      <c r="L245" s="5" t="s">
        <v>24</v>
      </c>
      <c r="M245" s="5" t="s">
        <v>1885</v>
      </c>
      <c r="N245" s="5" t="s">
        <v>24</v>
      </c>
      <c r="O245" s="5" t="s">
        <v>1986</v>
      </c>
      <c r="P245" s="5" t="s">
        <v>24</v>
      </c>
      <c r="Q245" s="5" t="s">
        <v>24</v>
      </c>
      <c r="R245" s="5" t="s">
        <v>24</v>
      </c>
      <c r="S245" s="5" t="s">
        <v>1852</v>
      </c>
      <c r="T245" s="5" t="s">
        <v>3384</v>
      </c>
      <c r="U245" s="5" t="s">
        <v>3384</v>
      </c>
      <c r="V245" s="5" t="s">
        <v>1854</v>
      </c>
      <c r="W245" s="5" t="s">
        <v>24</v>
      </c>
      <c r="X245" s="5" t="s">
        <v>24</v>
      </c>
      <c r="Y245" s="5" t="s">
        <v>3454</v>
      </c>
      <c r="Z245" s="5" t="s">
        <v>3455</v>
      </c>
      <c r="AA245" s="5" t="s">
        <v>3455</v>
      </c>
      <c r="AB245" s="5" t="s">
        <v>3455</v>
      </c>
      <c r="AC245" s="5" t="s">
        <v>3456</v>
      </c>
      <c r="AD245" s="5" t="s">
        <v>3457</v>
      </c>
      <c r="AE245" s="5" t="s">
        <v>3458</v>
      </c>
      <c r="AF245" s="5" t="s">
        <v>3459</v>
      </c>
      <c r="AG245" s="5" t="s">
        <v>3460</v>
      </c>
      <c r="AH245" s="5" t="s">
        <v>24</v>
      </c>
      <c r="AI245" s="5" t="s">
        <v>24</v>
      </c>
      <c r="AJ245" s="5" t="s">
        <v>24</v>
      </c>
      <c r="AK245" s="5" t="s">
        <v>24</v>
      </c>
      <c r="AL245" s="5" t="str">
        <f>VLOOKUP(mambo!$H245,Sheet1!B:C,2,FALSE)</f>
        <v>1367241</v>
      </c>
    </row>
    <row r="246" ht="15.75" hidden="1" customHeight="1">
      <c r="A246" s="5" t="s">
        <v>3461</v>
      </c>
      <c r="B246" s="5" t="s">
        <v>3462</v>
      </c>
      <c r="C246" s="5" t="s">
        <v>3463</v>
      </c>
      <c r="D246" s="5" t="s">
        <v>24</v>
      </c>
      <c r="E246" s="5" t="s">
        <v>1848</v>
      </c>
      <c r="F246" s="5" t="s">
        <v>1849</v>
      </c>
      <c r="G246" s="5" t="s">
        <v>24</v>
      </c>
      <c r="H246" s="5" t="s">
        <v>3464</v>
      </c>
      <c r="I246" s="5" t="s">
        <v>24</v>
      </c>
      <c r="J246" s="5" t="s">
        <v>24</v>
      </c>
      <c r="K246" s="5" t="s">
        <v>24</v>
      </c>
      <c r="L246" s="5" t="s">
        <v>24</v>
      </c>
      <c r="M246" s="5" t="s">
        <v>24</v>
      </c>
      <c r="N246" s="5" t="s">
        <v>24</v>
      </c>
      <c r="O246" s="5" t="s">
        <v>1933</v>
      </c>
      <c r="P246" s="5" t="s">
        <v>24</v>
      </c>
      <c r="Q246" s="5" t="s">
        <v>24</v>
      </c>
      <c r="R246" s="5" t="s">
        <v>24</v>
      </c>
      <c r="S246" s="5" t="s">
        <v>2020</v>
      </c>
      <c r="T246" s="5" t="s">
        <v>2021</v>
      </c>
      <c r="U246" s="5" t="s">
        <v>2021</v>
      </c>
      <c r="V246" s="5" t="s">
        <v>24</v>
      </c>
      <c r="W246" s="5" t="s">
        <v>24</v>
      </c>
      <c r="X246" s="5" t="s">
        <v>24</v>
      </c>
      <c r="Y246" s="5" t="s">
        <v>3465</v>
      </c>
      <c r="Z246" s="5" t="s">
        <v>3466</v>
      </c>
      <c r="AA246" s="5" t="s">
        <v>3466</v>
      </c>
      <c r="AB246" s="5" t="s">
        <v>3466</v>
      </c>
      <c r="AC246" s="5" t="s">
        <v>24</v>
      </c>
      <c r="AD246" s="5" t="s">
        <v>24</v>
      </c>
      <c r="AE246" s="5" t="s">
        <v>24</v>
      </c>
      <c r="AF246" s="5" t="s">
        <v>24</v>
      </c>
      <c r="AG246" s="5" t="s">
        <v>24</v>
      </c>
      <c r="AH246" s="5" t="s">
        <v>24</v>
      </c>
      <c r="AI246" s="5" t="s">
        <v>24</v>
      </c>
      <c r="AJ246" s="5" t="s">
        <v>24</v>
      </c>
      <c r="AK246" s="5" t="s">
        <v>24</v>
      </c>
      <c r="AL246" s="5" t="str">
        <f>VLOOKUP(mambo!$H246,Sheet1!B:C,2,FALSE)</f>
        <v>#N/A</v>
      </c>
    </row>
    <row r="247" ht="15.75" hidden="1" customHeight="1">
      <c r="A247" s="5" t="s">
        <v>3467</v>
      </c>
      <c r="B247" s="5" t="s">
        <v>3468</v>
      </c>
      <c r="C247" s="5" t="s">
        <v>1961</v>
      </c>
      <c r="D247" s="5" t="s">
        <v>24</v>
      </c>
      <c r="E247" s="5" t="s">
        <v>1848</v>
      </c>
      <c r="F247" s="5" t="s">
        <v>1849</v>
      </c>
      <c r="G247" s="5" t="s">
        <v>24</v>
      </c>
      <c r="H247" s="5" t="s">
        <v>3469</v>
      </c>
      <c r="I247" s="5" t="s">
        <v>24</v>
      </c>
      <c r="J247" s="5" t="s">
        <v>24</v>
      </c>
      <c r="K247" s="5" t="s">
        <v>24</v>
      </c>
      <c r="L247" s="5" t="s">
        <v>24</v>
      </c>
      <c r="M247" s="5" t="s">
        <v>24</v>
      </c>
      <c r="N247" s="5" t="s">
        <v>24</v>
      </c>
      <c r="O247" s="5" t="s">
        <v>2337</v>
      </c>
      <c r="P247" s="5" t="s">
        <v>24</v>
      </c>
      <c r="Q247" s="5" t="s">
        <v>24</v>
      </c>
      <c r="R247" s="5" t="s">
        <v>24</v>
      </c>
      <c r="S247" s="5" t="s">
        <v>1852</v>
      </c>
      <c r="T247" s="5" t="s">
        <v>1964</v>
      </c>
      <c r="U247" s="5" t="s">
        <v>1964</v>
      </c>
      <c r="V247" s="5" t="s">
        <v>1854</v>
      </c>
      <c r="W247" s="5" t="s">
        <v>24</v>
      </c>
      <c r="X247" s="5" t="s">
        <v>24</v>
      </c>
      <c r="Y247" s="5" t="s">
        <v>3470</v>
      </c>
      <c r="Z247" s="5" t="s">
        <v>3471</v>
      </c>
      <c r="AA247" s="5" t="s">
        <v>3471</v>
      </c>
      <c r="AB247" s="5" t="s">
        <v>3471</v>
      </c>
      <c r="AC247" s="5" t="s">
        <v>24</v>
      </c>
      <c r="AD247" s="5" t="s">
        <v>24</v>
      </c>
      <c r="AE247" s="5" t="s">
        <v>24</v>
      </c>
      <c r="AF247" s="5" t="s">
        <v>24</v>
      </c>
      <c r="AG247" s="5" t="s">
        <v>24</v>
      </c>
      <c r="AH247" s="5" t="s">
        <v>24</v>
      </c>
      <c r="AI247" s="5" t="s">
        <v>24</v>
      </c>
      <c r="AJ247" s="5" t="s">
        <v>24</v>
      </c>
      <c r="AK247" s="5" t="s">
        <v>24</v>
      </c>
      <c r="AL247" s="5" t="str">
        <f>VLOOKUP(mambo!$H247,Sheet1!B:C,2,FALSE)</f>
        <v>#N/A</v>
      </c>
    </row>
    <row r="248" ht="15.75" hidden="1" customHeight="1">
      <c r="A248" s="5" t="s">
        <v>3472</v>
      </c>
      <c r="B248" s="5" t="s">
        <v>3473</v>
      </c>
      <c r="C248" s="5" t="s">
        <v>3302</v>
      </c>
      <c r="D248" s="5" t="s">
        <v>24</v>
      </c>
      <c r="E248" s="5" t="s">
        <v>1848</v>
      </c>
      <c r="F248" s="5" t="s">
        <v>1849</v>
      </c>
      <c r="G248" s="5" t="s">
        <v>24</v>
      </c>
      <c r="H248" s="5" t="s">
        <v>3474</v>
      </c>
      <c r="I248" s="5" t="s">
        <v>24</v>
      </c>
      <c r="J248" s="5" t="s">
        <v>24</v>
      </c>
      <c r="K248" s="5" t="s">
        <v>24</v>
      </c>
      <c r="L248" s="5" t="s">
        <v>24</v>
      </c>
      <c r="M248" s="5" t="s">
        <v>1885</v>
      </c>
      <c r="N248" s="5" t="s">
        <v>24</v>
      </c>
      <c r="O248" s="5" t="s">
        <v>1917</v>
      </c>
      <c r="P248" s="5" t="s">
        <v>24</v>
      </c>
      <c r="Q248" s="5" t="s">
        <v>24</v>
      </c>
      <c r="R248" s="5" t="s">
        <v>24</v>
      </c>
      <c r="S248" s="5" t="s">
        <v>1852</v>
      </c>
      <c r="T248" s="5" t="s">
        <v>3319</v>
      </c>
      <c r="U248" s="5" t="s">
        <v>3319</v>
      </c>
      <c r="V248" s="5" t="s">
        <v>1854</v>
      </c>
      <c r="W248" s="5" t="s">
        <v>24</v>
      </c>
      <c r="X248" s="5" t="s">
        <v>24</v>
      </c>
      <c r="Y248" s="5" t="s">
        <v>3475</v>
      </c>
      <c r="Z248" s="5" t="s">
        <v>3476</v>
      </c>
      <c r="AA248" s="5" t="s">
        <v>3476</v>
      </c>
      <c r="AB248" s="5" t="s">
        <v>3476</v>
      </c>
      <c r="AC248" s="5" t="s">
        <v>24</v>
      </c>
      <c r="AD248" s="5" t="s">
        <v>24</v>
      </c>
      <c r="AE248" s="5" t="s">
        <v>24</v>
      </c>
      <c r="AF248" s="5" t="s">
        <v>24</v>
      </c>
      <c r="AG248" s="5" t="s">
        <v>24</v>
      </c>
      <c r="AH248" s="5" t="s">
        <v>24</v>
      </c>
      <c r="AI248" s="5" t="s">
        <v>24</v>
      </c>
      <c r="AJ248" s="5" t="s">
        <v>24</v>
      </c>
      <c r="AK248" s="5" t="s">
        <v>24</v>
      </c>
      <c r="AL248" s="5" t="str">
        <f>VLOOKUP(mambo!$H248,Sheet1!B:C,2,FALSE)</f>
        <v>#N/A</v>
      </c>
    </row>
    <row r="249" ht="15.75" hidden="1" customHeight="1">
      <c r="A249" s="5" t="s">
        <v>3477</v>
      </c>
      <c r="B249" s="5" t="s">
        <v>3478</v>
      </c>
      <c r="C249" s="5" t="s">
        <v>3302</v>
      </c>
      <c r="D249" s="5" t="s">
        <v>24</v>
      </c>
      <c r="E249" s="5" t="s">
        <v>1848</v>
      </c>
      <c r="F249" s="5" t="s">
        <v>1849</v>
      </c>
      <c r="G249" s="5" t="s">
        <v>24</v>
      </c>
      <c r="H249" s="5" t="s">
        <v>3479</v>
      </c>
      <c r="I249" s="5" t="s">
        <v>24</v>
      </c>
      <c r="J249" s="5" t="s">
        <v>24</v>
      </c>
      <c r="K249" s="5" t="s">
        <v>24</v>
      </c>
      <c r="L249" s="5" t="s">
        <v>24</v>
      </c>
      <c r="M249" s="5" t="s">
        <v>24</v>
      </c>
      <c r="N249" s="5" t="s">
        <v>24</v>
      </c>
      <c r="O249" s="5" t="s">
        <v>1933</v>
      </c>
      <c r="P249" s="5" t="s">
        <v>24</v>
      </c>
      <c r="Q249" s="5" t="s">
        <v>24</v>
      </c>
      <c r="R249" s="5" t="s">
        <v>24</v>
      </c>
      <c r="S249" s="5" t="s">
        <v>1852</v>
      </c>
      <c r="T249" s="5" t="s">
        <v>3480</v>
      </c>
      <c r="U249" s="5" t="s">
        <v>3480</v>
      </c>
      <c r="V249" s="5" t="s">
        <v>1854</v>
      </c>
      <c r="W249" s="5" t="s">
        <v>24</v>
      </c>
      <c r="X249" s="5" t="s">
        <v>24</v>
      </c>
      <c r="Y249" s="5" t="s">
        <v>3481</v>
      </c>
      <c r="Z249" s="5" t="s">
        <v>3482</v>
      </c>
      <c r="AA249" s="5" t="s">
        <v>3482</v>
      </c>
      <c r="AB249" s="5" t="s">
        <v>3482</v>
      </c>
      <c r="AC249" s="5" t="s">
        <v>24</v>
      </c>
      <c r="AD249" s="5" t="s">
        <v>24</v>
      </c>
      <c r="AE249" s="5" t="s">
        <v>24</v>
      </c>
      <c r="AF249" s="5" t="s">
        <v>24</v>
      </c>
      <c r="AG249" s="5" t="s">
        <v>24</v>
      </c>
      <c r="AH249" s="5" t="s">
        <v>24</v>
      </c>
      <c r="AI249" s="5" t="s">
        <v>24</v>
      </c>
      <c r="AJ249" s="5" t="s">
        <v>24</v>
      </c>
      <c r="AK249" s="5" t="s">
        <v>24</v>
      </c>
      <c r="AL249" s="5" t="str">
        <f>VLOOKUP(mambo!$H249,Sheet1!B:C,2,FALSE)</f>
        <v>#N/A</v>
      </c>
    </row>
    <row r="250" ht="15.75" customHeight="1">
      <c r="A250" s="5" t="s">
        <v>3483</v>
      </c>
      <c r="B250" s="5" t="s">
        <v>3484</v>
      </c>
      <c r="C250" s="5" t="s">
        <v>227</v>
      </c>
      <c r="D250" s="5" t="s">
        <v>24</v>
      </c>
      <c r="E250" s="5" t="s">
        <v>1848</v>
      </c>
      <c r="F250" s="5" t="s">
        <v>1849</v>
      </c>
      <c r="G250" s="5" t="s">
        <v>24</v>
      </c>
      <c r="H250" s="5" t="s">
        <v>509</v>
      </c>
      <c r="I250" s="5" t="s">
        <v>24</v>
      </c>
      <c r="J250" s="5" t="s">
        <v>24</v>
      </c>
      <c r="K250" s="5" t="s">
        <v>24</v>
      </c>
      <c r="L250" s="5" t="s">
        <v>24</v>
      </c>
      <c r="M250" s="5" t="s">
        <v>1885</v>
      </c>
      <c r="N250" s="5" t="s">
        <v>24</v>
      </c>
      <c r="O250" s="5" t="s">
        <v>24</v>
      </c>
      <c r="P250" s="5" t="s">
        <v>24</v>
      </c>
      <c r="Q250" s="5" t="s">
        <v>24</v>
      </c>
      <c r="R250" s="5" t="s">
        <v>24</v>
      </c>
      <c r="S250" s="5" t="s">
        <v>1852</v>
      </c>
      <c r="T250" s="5" t="s">
        <v>3485</v>
      </c>
      <c r="U250" s="5" t="s">
        <v>3485</v>
      </c>
      <c r="V250" s="5" t="s">
        <v>1854</v>
      </c>
      <c r="W250" s="5" t="s">
        <v>24</v>
      </c>
      <c r="X250" s="5" t="s">
        <v>24</v>
      </c>
      <c r="Y250" s="5" t="s">
        <v>3486</v>
      </c>
      <c r="Z250" s="5" t="s">
        <v>3487</v>
      </c>
      <c r="AA250" s="5" t="s">
        <v>3487</v>
      </c>
      <c r="AB250" s="5" t="s">
        <v>3487</v>
      </c>
      <c r="AC250" s="5" t="s">
        <v>3488</v>
      </c>
      <c r="AD250" s="5" t="s">
        <v>3489</v>
      </c>
      <c r="AE250" s="5" t="s">
        <v>3490</v>
      </c>
      <c r="AF250" s="5" t="s">
        <v>3491</v>
      </c>
      <c r="AG250" s="5" t="s">
        <v>24</v>
      </c>
      <c r="AH250" s="5" t="s">
        <v>24</v>
      </c>
      <c r="AI250" s="5" t="s">
        <v>24</v>
      </c>
      <c r="AJ250" s="5" t="s">
        <v>24</v>
      </c>
      <c r="AK250" s="5" t="s">
        <v>24</v>
      </c>
      <c r="AL250" s="5" t="str">
        <f>VLOOKUP(mambo!$H250,Sheet1!B:C,2,FALSE)</f>
        <v>1369674</v>
      </c>
    </row>
    <row r="251" ht="15.75" customHeight="1">
      <c r="A251" s="5" t="s">
        <v>3492</v>
      </c>
      <c r="B251" s="5" t="s">
        <v>3493</v>
      </c>
      <c r="C251" s="5" t="s">
        <v>227</v>
      </c>
      <c r="D251" s="5" t="s">
        <v>24</v>
      </c>
      <c r="E251" s="5" t="s">
        <v>1848</v>
      </c>
      <c r="F251" s="5" t="s">
        <v>1849</v>
      </c>
      <c r="G251" s="5" t="s">
        <v>24</v>
      </c>
      <c r="H251" s="5" t="s">
        <v>519</v>
      </c>
      <c r="I251" s="5" t="s">
        <v>24</v>
      </c>
      <c r="J251" s="5" t="s">
        <v>24</v>
      </c>
      <c r="K251" s="5" t="s">
        <v>24</v>
      </c>
      <c r="L251" s="5" t="s">
        <v>24</v>
      </c>
      <c r="M251" s="5" t="s">
        <v>1885</v>
      </c>
      <c r="N251" s="5" t="s">
        <v>24</v>
      </c>
      <c r="O251" s="5" t="s">
        <v>24</v>
      </c>
      <c r="P251" s="5" t="s">
        <v>24</v>
      </c>
      <c r="Q251" s="5" t="s">
        <v>24</v>
      </c>
      <c r="R251" s="5" t="s">
        <v>24</v>
      </c>
      <c r="S251" s="5" t="s">
        <v>1852</v>
      </c>
      <c r="T251" s="5" t="s">
        <v>3485</v>
      </c>
      <c r="U251" s="5" t="s">
        <v>3485</v>
      </c>
      <c r="V251" s="5" t="s">
        <v>1854</v>
      </c>
      <c r="W251" s="5" t="s">
        <v>24</v>
      </c>
      <c r="X251" s="5" t="s">
        <v>24</v>
      </c>
      <c r="Y251" s="5" t="s">
        <v>3494</v>
      </c>
      <c r="Z251" s="5" t="s">
        <v>3495</v>
      </c>
      <c r="AA251" s="5" t="s">
        <v>3495</v>
      </c>
      <c r="AB251" s="5" t="s">
        <v>3495</v>
      </c>
      <c r="AC251" s="5" t="s">
        <v>3496</v>
      </c>
      <c r="AD251" s="5" t="s">
        <v>3497</v>
      </c>
      <c r="AE251" s="5" t="s">
        <v>3498</v>
      </c>
      <c r="AF251" s="5" t="s">
        <v>3499</v>
      </c>
      <c r="AG251" s="5" t="s">
        <v>24</v>
      </c>
      <c r="AH251" s="5" t="s">
        <v>24</v>
      </c>
      <c r="AI251" s="5" t="s">
        <v>24</v>
      </c>
      <c r="AJ251" s="5" t="s">
        <v>24</v>
      </c>
      <c r="AK251" s="5" t="s">
        <v>24</v>
      </c>
      <c r="AL251" s="5" t="str">
        <f>VLOOKUP(mambo!$H251,Sheet1!B:C,2,FALSE)</f>
        <v>1369672</v>
      </c>
    </row>
    <row r="252" ht="15.75" customHeight="1">
      <c r="A252" s="5" t="s">
        <v>3500</v>
      </c>
      <c r="B252" s="5" t="s">
        <v>3501</v>
      </c>
      <c r="C252" s="5" t="s">
        <v>227</v>
      </c>
      <c r="D252" s="5" t="s">
        <v>24</v>
      </c>
      <c r="E252" s="5" t="s">
        <v>1848</v>
      </c>
      <c r="F252" s="5" t="s">
        <v>1849</v>
      </c>
      <c r="G252" s="5" t="s">
        <v>24</v>
      </c>
      <c r="H252" s="5" t="s">
        <v>616</v>
      </c>
      <c r="I252" s="5" t="s">
        <v>24</v>
      </c>
      <c r="J252" s="5" t="s">
        <v>24</v>
      </c>
      <c r="K252" s="5" t="s">
        <v>24</v>
      </c>
      <c r="L252" s="5" t="s">
        <v>24</v>
      </c>
      <c r="M252" s="5" t="s">
        <v>1885</v>
      </c>
      <c r="N252" s="5" t="s">
        <v>24</v>
      </c>
      <c r="O252" s="5" t="s">
        <v>24</v>
      </c>
      <c r="P252" s="5" t="s">
        <v>24</v>
      </c>
      <c r="Q252" s="5" t="s">
        <v>24</v>
      </c>
      <c r="R252" s="5" t="s">
        <v>24</v>
      </c>
      <c r="S252" s="5" t="s">
        <v>2020</v>
      </c>
      <c r="T252" s="5" t="s">
        <v>2021</v>
      </c>
      <c r="U252" s="5" t="s">
        <v>2021</v>
      </c>
      <c r="V252" s="5" t="s">
        <v>24</v>
      </c>
      <c r="W252" s="5" t="s">
        <v>24</v>
      </c>
      <c r="X252" s="5" t="s">
        <v>24</v>
      </c>
      <c r="Y252" s="5" t="s">
        <v>3502</v>
      </c>
      <c r="Z252" s="5" t="s">
        <v>3503</v>
      </c>
      <c r="AA252" s="5" t="s">
        <v>3503</v>
      </c>
      <c r="AB252" s="5" t="s">
        <v>3503</v>
      </c>
      <c r="AC252" s="5" t="s">
        <v>3504</v>
      </c>
      <c r="AD252" s="5" t="s">
        <v>3505</v>
      </c>
      <c r="AE252" s="5" t="s">
        <v>3506</v>
      </c>
      <c r="AF252" s="5" t="s">
        <v>3507</v>
      </c>
      <c r="AG252" s="5" t="s">
        <v>24</v>
      </c>
      <c r="AH252" s="5" t="s">
        <v>24</v>
      </c>
      <c r="AI252" s="5" t="s">
        <v>24</v>
      </c>
      <c r="AJ252" s="5" t="s">
        <v>24</v>
      </c>
      <c r="AK252" s="5" t="s">
        <v>24</v>
      </c>
      <c r="AL252" s="5" t="str">
        <f>VLOOKUP(mambo!$H252,Sheet1!B:C,2,FALSE)</f>
        <v>1369673</v>
      </c>
    </row>
    <row r="253" ht="15.75" customHeight="1">
      <c r="A253" s="5" t="s">
        <v>3508</v>
      </c>
      <c r="B253" s="5" t="s">
        <v>3509</v>
      </c>
      <c r="C253" s="5" t="s">
        <v>227</v>
      </c>
      <c r="D253" s="5" t="s">
        <v>24</v>
      </c>
      <c r="E253" s="5" t="s">
        <v>1848</v>
      </c>
      <c r="F253" s="5" t="s">
        <v>1849</v>
      </c>
      <c r="G253" s="5" t="s">
        <v>24</v>
      </c>
      <c r="H253" s="5" t="s">
        <v>586</v>
      </c>
      <c r="I253" s="5" t="s">
        <v>24</v>
      </c>
      <c r="J253" s="5" t="s">
        <v>24</v>
      </c>
      <c r="K253" s="5" t="s">
        <v>24</v>
      </c>
      <c r="L253" s="5" t="s">
        <v>24</v>
      </c>
      <c r="M253" s="5" t="s">
        <v>1885</v>
      </c>
      <c r="N253" s="5" t="s">
        <v>24</v>
      </c>
      <c r="O253" s="5" t="s">
        <v>24</v>
      </c>
      <c r="P253" s="5" t="s">
        <v>24</v>
      </c>
      <c r="Q253" s="5" t="s">
        <v>24</v>
      </c>
      <c r="R253" s="5" t="s">
        <v>24</v>
      </c>
      <c r="S253" s="5" t="s">
        <v>2020</v>
      </c>
      <c r="T253" s="5" t="s">
        <v>2021</v>
      </c>
      <c r="U253" s="5" t="s">
        <v>2021</v>
      </c>
      <c r="V253" s="5" t="s">
        <v>24</v>
      </c>
      <c r="W253" s="5" t="s">
        <v>24</v>
      </c>
      <c r="X253" s="5" t="s">
        <v>24</v>
      </c>
      <c r="Y253" s="5" t="s">
        <v>3510</v>
      </c>
      <c r="Z253" s="5" t="s">
        <v>3511</v>
      </c>
      <c r="AA253" s="5" t="s">
        <v>3511</v>
      </c>
      <c r="AB253" s="5" t="s">
        <v>3511</v>
      </c>
      <c r="AC253" s="5" t="s">
        <v>3512</v>
      </c>
      <c r="AD253" s="5" t="s">
        <v>3513</v>
      </c>
      <c r="AE253" s="5" t="s">
        <v>3514</v>
      </c>
      <c r="AF253" s="5" t="s">
        <v>3515</v>
      </c>
      <c r="AG253" s="5" t="s">
        <v>24</v>
      </c>
      <c r="AH253" s="5" t="s">
        <v>24</v>
      </c>
      <c r="AI253" s="5" t="s">
        <v>24</v>
      </c>
      <c r="AJ253" s="5" t="s">
        <v>24</v>
      </c>
      <c r="AK253" s="5" t="s">
        <v>24</v>
      </c>
      <c r="AL253" s="5" t="str">
        <f>VLOOKUP(mambo!$H253,Sheet1!B:C,2,FALSE)</f>
        <v>1369671</v>
      </c>
    </row>
    <row r="254" ht="15.75" hidden="1" customHeight="1">
      <c r="A254" s="5" t="s">
        <v>3516</v>
      </c>
      <c r="B254" s="5" t="s">
        <v>3517</v>
      </c>
      <c r="C254" s="5" t="s">
        <v>1240</v>
      </c>
      <c r="D254" s="5" t="s">
        <v>24</v>
      </c>
      <c r="E254" s="5" t="s">
        <v>1848</v>
      </c>
      <c r="F254" s="5" t="s">
        <v>1849</v>
      </c>
      <c r="G254" s="5" t="s">
        <v>24</v>
      </c>
      <c r="H254" s="5" t="s">
        <v>3518</v>
      </c>
      <c r="I254" s="5" t="s">
        <v>24</v>
      </c>
      <c r="J254" s="5" t="s">
        <v>24</v>
      </c>
      <c r="K254" s="5" t="s">
        <v>24</v>
      </c>
      <c r="L254" s="5" t="s">
        <v>24</v>
      </c>
      <c r="M254" s="5" t="s">
        <v>24</v>
      </c>
      <c r="N254" s="5" t="s">
        <v>24</v>
      </c>
      <c r="O254" s="5" t="s">
        <v>1933</v>
      </c>
      <c r="P254" s="5" t="s">
        <v>24</v>
      </c>
      <c r="Q254" s="5" t="s">
        <v>24</v>
      </c>
      <c r="R254" s="5" t="s">
        <v>24</v>
      </c>
      <c r="S254" s="5" t="s">
        <v>1852</v>
      </c>
      <c r="T254" s="5" t="s">
        <v>3519</v>
      </c>
      <c r="U254" s="5" t="s">
        <v>3519</v>
      </c>
      <c r="V254" s="5" t="s">
        <v>1854</v>
      </c>
      <c r="W254" s="5" t="s">
        <v>24</v>
      </c>
      <c r="X254" s="5" t="s">
        <v>24</v>
      </c>
      <c r="Y254" s="5" t="s">
        <v>3520</v>
      </c>
      <c r="Z254" s="5" t="s">
        <v>3521</v>
      </c>
      <c r="AA254" s="5" t="s">
        <v>3521</v>
      </c>
      <c r="AB254" s="5" t="s">
        <v>3521</v>
      </c>
      <c r="AC254" s="5" t="s">
        <v>24</v>
      </c>
      <c r="AD254" s="5" t="s">
        <v>24</v>
      </c>
      <c r="AE254" s="5" t="s">
        <v>24</v>
      </c>
      <c r="AF254" s="5" t="s">
        <v>24</v>
      </c>
      <c r="AG254" s="5" t="s">
        <v>24</v>
      </c>
      <c r="AH254" s="5" t="s">
        <v>24</v>
      </c>
      <c r="AI254" s="5" t="s">
        <v>24</v>
      </c>
      <c r="AJ254" s="5" t="s">
        <v>24</v>
      </c>
      <c r="AK254" s="5" t="s">
        <v>24</v>
      </c>
      <c r="AL254" s="5" t="str">
        <f>VLOOKUP(mambo!$H254,Sheet1!B:C,2,FALSE)</f>
        <v>#N/A</v>
      </c>
    </row>
    <row r="255" ht="15.75" customHeight="1">
      <c r="A255" s="5" t="s">
        <v>3522</v>
      </c>
      <c r="B255" s="5" t="s">
        <v>3523</v>
      </c>
      <c r="C255" s="5" t="s">
        <v>1240</v>
      </c>
      <c r="D255" s="5" t="s">
        <v>24</v>
      </c>
      <c r="E255" s="5" t="s">
        <v>1848</v>
      </c>
      <c r="F255" s="5" t="s">
        <v>1849</v>
      </c>
      <c r="G255" s="5" t="s">
        <v>24</v>
      </c>
      <c r="H255" s="5" t="s">
        <v>1241</v>
      </c>
      <c r="I255" s="5" t="s">
        <v>24</v>
      </c>
      <c r="J255" s="5" t="s">
        <v>24</v>
      </c>
      <c r="K255" s="5" t="s">
        <v>24</v>
      </c>
      <c r="L255" s="5" t="s">
        <v>24</v>
      </c>
      <c r="M255" s="5" t="s">
        <v>24</v>
      </c>
      <c r="N255" s="5" t="s">
        <v>24</v>
      </c>
      <c r="O255" s="5" t="s">
        <v>3524</v>
      </c>
      <c r="P255" s="5" t="s">
        <v>24</v>
      </c>
      <c r="Q255" s="5" t="s">
        <v>24</v>
      </c>
      <c r="R255" s="5" t="s">
        <v>24</v>
      </c>
      <c r="S255" s="5" t="s">
        <v>1852</v>
      </c>
      <c r="T255" s="5" t="s">
        <v>3525</v>
      </c>
      <c r="U255" s="5" t="s">
        <v>3525</v>
      </c>
      <c r="V255" s="5" t="s">
        <v>1854</v>
      </c>
      <c r="W255" s="5" t="s">
        <v>24</v>
      </c>
      <c r="X255" s="5" t="s">
        <v>24</v>
      </c>
      <c r="Y255" s="5" t="s">
        <v>3526</v>
      </c>
      <c r="Z255" s="5" t="s">
        <v>3527</v>
      </c>
      <c r="AA255" s="5" t="s">
        <v>3527</v>
      </c>
      <c r="AB255" s="5" t="s">
        <v>3527</v>
      </c>
      <c r="AC255" s="5" t="s">
        <v>24</v>
      </c>
      <c r="AD255" s="5" t="s">
        <v>24</v>
      </c>
      <c r="AE255" s="5" t="s">
        <v>24</v>
      </c>
      <c r="AF255" s="5" t="s">
        <v>24</v>
      </c>
      <c r="AG255" s="5" t="s">
        <v>24</v>
      </c>
      <c r="AH255" s="5" t="s">
        <v>24</v>
      </c>
      <c r="AI255" s="5" t="s">
        <v>24</v>
      </c>
      <c r="AJ255" s="5" t="s">
        <v>24</v>
      </c>
      <c r="AK255" s="5" t="s">
        <v>24</v>
      </c>
      <c r="AL255" s="5" t="str">
        <f>VLOOKUP(mambo!$H255,Sheet1!B:C,2,FALSE)</f>
        <v>1410982</v>
      </c>
    </row>
    <row r="256" ht="15.75" customHeight="1">
      <c r="A256" s="5" t="s">
        <v>3528</v>
      </c>
      <c r="B256" s="5" t="s">
        <v>3529</v>
      </c>
      <c r="C256" s="5" t="s">
        <v>1240</v>
      </c>
      <c r="D256" s="5" t="s">
        <v>24</v>
      </c>
      <c r="E256" s="5" t="s">
        <v>1848</v>
      </c>
      <c r="F256" s="5" t="s">
        <v>1849</v>
      </c>
      <c r="G256" s="5" t="s">
        <v>24</v>
      </c>
      <c r="H256" s="5" t="s">
        <v>1732</v>
      </c>
      <c r="I256" s="5" t="s">
        <v>24</v>
      </c>
      <c r="J256" s="5" t="s">
        <v>24</v>
      </c>
      <c r="K256" s="5" t="s">
        <v>24</v>
      </c>
      <c r="L256" s="5" t="s">
        <v>24</v>
      </c>
      <c r="M256" s="5" t="s">
        <v>24</v>
      </c>
      <c r="N256" s="5" t="s">
        <v>24</v>
      </c>
      <c r="O256" s="5" t="s">
        <v>3524</v>
      </c>
      <c r="P256" s="5" t="s">
        <v>24</v>
      </c>
      <c r="Q256" s="5" t="s">
        <v>24</v>
      </c>
      <c r="R256" s="5" t="s">
        <v>24</v>
      </c>
      <c r="S256" s="5" t="s">
        <v>1852</v>
      </c>
      <c r="T256" s="5" t="s">
        <v>3530</v>
      </c>
      <c r="U256" s="5" t="s">
        <v>3530</v>
      </c>
      <c r="V256" s="5" t="s">
        <v>1854</v>
      </c>
      <c r="W256" s="5" t="s">
        <v>24</v>
      </c>
      <c r="X256" s="5" t="s">
        <v>24</v>
      </c>
      <c r="Y256" s="5" t="s">
        <v>3531</v>
      </c>
      <c r="Z256" s="5" t="s">
        <v>3532</v>
      </c>
      <c r="AA256" s="5" t="s">
        <v>3532</v>
      </c>
      <c r="AB256" s="5" t="s">
        <v>3532</v>
      </c>
      <c r="AC256" s="5" t="s">
        <v>24</v>
      </c>
      <c r="AD256" s="5" t="s">
        <v>24</v>
      </c>
      <c r="AE256" s="5" t="s">
        <v>24</v>
      </c>
      <c r="AF256" s="5" t="s">
        <v>24</v>
      </c>
      <c r="AG256" s="5" t="s">
        <v>24</v>
      </c>
      <c r="AH256" s="5" t="s">
        <v>24</v>
      </c>
      <c r="AI256" s="5" t="s">
        <v>24</v>
      </c>
      <c r="AJ256" s="5" t="s">
        <v>24</v>
      </c>
      <c r="AK256" s="5" t="s">
        <v>24</v>
      </c>
      <c r="AL256" s="5" t="str">
        <f>VLOOKUP(mambo!$H256,Sheet1!B:C,2,FALSE)</f>
        <v>1410981</v>
      </c>
    </row>
    <row r="257" ht="15.75" customHeight="1">
      <c r="A257" s="5" t="s">
        <v>3533</v>
      </c>
      <c r="B257" s="5" t="s">
        <v>3534</v>
      </c>
      <c r="C257" s="5" t="s">
        <v>1240</v>
      </c>
      <c r="D257" s="5" t="s">
        <v>24</v>
      </c>
      <c r="E257" s="5" t="s">
        <v>1848</v>
      </c>
      <c r="F257" s="5" t="s">
        <v>1849</v>
      </c>
      <c r="G257" s="5" t="s">
        <v>24</v>
      </c>
      <c r="H257" s="5" t="s">
        <v>1417</v>
      </c>
      <c r="I257" s="5" t="s">
        <v>24</v>
      </c>
      <c r="J257" s="5" t="s">
        <v>24</v>
      </c>
      <c r="K257" s="5" t="s">
        <v>24</v>
      </c>
      <c r="L257" s="5" t="s">
        <v>24</v>
      </c>
      <c r="M257" s="5" t="s">
        <v>24</v>
      </c>
      <c r="N257" s="5" t="s">
        <v>24</v>
      </c>
      <c r="O257" s="5" t="s">
        <v>3524</v>
      </c>
      <c r="P257" s="5" t="s">
        <v>24</v>
      </c>
      <c r="Q257" s="5" t="s">
        <v>24</v>
      </c>
      <c r="R257" s="5" t="s">
        <v>24</v>
      </c>
      <c r="S257" s="5" t="s">
        <v>1852</v>
      </c>
      <c r="T257" s="5" t="s">
        <v>3535</v>
      </c>
      <c r="U257" s="5" t="s">
        <v>3535</v>
      </c>
      <c r="V257" s="5" t="s">
        <v>1854</v>
      </c>
      <c r="W257" s="5" t="s">
        <v>24</v>
      </c>
      <c r="X257" s="5" t="s">
        <v>24</v>
      </c>
      <c r="Y257" s="5" t="s">
        <v>3536</v>
      </c>
      <c r="Z257" s="5" t="s">
        <v>3537</v>
      </c>
      <c r="AA257" s="5" t="s">
        <v>3537</v>
      </c>
      <c r="AB257" s="5" t="s">
        <v>3537</v>
      </c>
      <c r="AC257" s="5" t="s">
        <v>24</v>
      </c>
      <c r="AD257" s="5" t="s">
        <v>24</v>
      </c>
      <c r="AE257" s="5" t="s">
        <v>24</v>
      </c>
      <c r="AF257" s="5" t="s">
        <v>24</v>
      </c>
      <c r="AG257" s="5" t="s">
        <v>24</v>
      </c>
      <c r="AH257" s="5" t="s">
        <v>24</v>
      </c>
      <c r="AI257" s="5" t="s">
        <v>24</v>
      </c>
      <c r="AJ257" s="5" t="s">
        <v>24</v>
      </c>
      <c r="AK257" s="5" t="s">
        <v>24</v>
      </c>
      <c r="AL257" s="5" t="str">
        <f>VLOOKUP(mambo!$H257,Sheet1!B:C,2,FALSE)</f>
        <v>1238014</v>
      </c>
    </row>
    <row r="258" ht="15.75" hidden="1" customHeight="1">
      <c r="A258" s="5" t="s">
        <v>3538</v>
      </c>
      <c r="B258" s="5" t="s">
        <v>3539</v>
      </c>
      <c r="C258" s="5" t="s">
        <v>1240</v>
      </c>
      <c r="D258" s="5" t="s">
        <v>24</v>
      </c>
      <c r="E258" s="5" t="s">
        <v>1848</v>
      </c>
      <c r="F258" s="5" t="s">
        <v>1849</v>
      </c>
      <c r="G258" s="5" t="s">
        <v>24</v>
      </c>
      <c r="H258" s="5" t="s">
        <v>3540</v>
      </c>
      <c r="I258" s="5" t="s">
        <v>24</v>
      </c>
      <c r="J258" s="5" t="s">
        <v>24</v>
      </c>
      <c r="K258" s="5" t="s">
        <v>24</v>
      </c>
      <c r="L258" s="5" t="s">
        <v>24</v>
      </c>
      <c r="M258" s="5" t="s">
        <v>24</v>
      </c>
      <c r="N258" s="5" t="s">
        <v>24</v>
      </c>
      <c r="O258" s="5" t="s">
        <v>3524</v>
      </c>
      <c r="P258" s="5" t="s">
        <v>24</v>
      </c>
      <c r="Q258" s="5" t="s">
        <v>24</v>
      </c>
      <c r="R258" s="5" t="s">
        <v>24</v>
      </c>
      <c r="S258" s="5" t="s">
        <v>1852</v>
      </c>
      <c r="T258" s="5" t="s">
        <v>3530</v>
      </c>
      <c r="U258" s="5" t="s">
        <v>3530</v>
      </c>
      <c r="V258" s="5" t="s">
        <v>1854</v>
      </c>
      <c r="W258" s="5" t="s">
        <v>24</v>
      </c>
      <c r="X258" s="5" t="s">
        <v>24</v>
      </c>
      <c r="Y258" s="5" t="s">
        <v>3541</v>
      </c>
      <c r="Z258" s="5" t="s">
        <v>3542</v>
      </c>
      <c r="AA258" s="5" t="s">
        <v>3542</v>
      </c>
      <c r="AB258" s="5" t="s">
        <v>3542</v>
      </c>
      <c r="AC258" s="5" t="s">
        <v>24</v>
      </c>
      <c r="AD258" s="5" t="s">
        <v>24</v>
      </c>
      <c r="AE258" s="5" t="s">
        <v>24</v>
      </c>
      <c r="AF258" s="5" t="s">
        <v>24</v>
      </c>
      <c r="AG258" s="5" t="s">
        <v>24</v>
      </c>
      <c r="AH258" s="5" t="s">
        <v>24</v>
      </c>
      <c r="AI258" s="5" t="s">
        <v>24</v>
      </c>
      <c r="AJ258" s="5" t="s">
        <v>24</v>
      </c>
      <c r="AK258" s="5" t="s">
        <v>24</v>
      </c>
      <c r="AL258" s="5" t="str">
        <f>VLOOKUP(mambo!$H258,Sheet1!B:C,2,FALSE)</f>
        <v>#N/A</v>
      </c>
    </row>
    <row r="259" ht="15.75" hidden="1" customHeight="1">
      <c r="A259" s="5" t="s">
        <v>3543</v>
      </c>
      <c r="B259" s="5" t="s">
        <v>3544</v>
      </c>
      <c r="C259" s="5" t="s">
        <v>294</v>
      </c>
      <c r="D259" s="5" t="s">
        <v>24</v>
      </c>
      <c r="E259" s="5" t="s">
        <v>1848</v>
      </c>
      <c r="F259" s="5" t="s">
        <v>1849</v>
      </c>
      <c r="G259" s="5" t="s">
        <v>24</v>
      </c>
      <c r="H259" s="5" t="s">
        <v>3545</v>
      </c>
      <c r="I259" s="5" t="s">
        <v>24</v>
      </c>
      <c r="J259" s="5" t="s">
        <v>24</v>
      </c>
      <c r="K259" s="5" t="s">
        <v>24</v>
      </c>
      <c r="L259" s="5" t="s">
        <v>24</v>
      </c>
      <c r="M259" s="5" t="s">
        <v>1885</v>
      </c>
      <c r="N259" s="5" t="s">
        <v>24</v>
      </c>
      <c r="O259" s="5" t="s">
        <v>3546</v>
      </c>
      <c r="P259" s="5" t="s">
        <v>24</v>
      </c>
      <c r="Q259" s="5" t="s">
        <v>24</v>
      </c>
      <c r="R259" s="5" t="s">
        <v>24</v>
      </c>
      <c r="S259" s="5" t="s">
        <v>2020</v>
      </c>
      <c r="T259" s="5" t="s">
        <v>2021</v>
      </c>
      <c r="U259" s="5" t="s">
        <v>2021</v>
      </c>
      <c r="V259" s="5" t="s">
        <v>24</v>
      </c>
      <c r="W259" s="5" t="s">
        <v>24</v>
      </c>
      <c r="X259" s="5" t="s">
        <v>24</v>
      </c>
      <c r="Y259" s="5" t="s">
        <v>3547</v>
      </c>
      <c r="Z259" s="5" t="s">
        <v>3548</v>
      </c>
      <c r="AA259" s="5" t="s">
        <v>3548</v>
      </c>
      <c r="AB259" s="5" t="s">
        <v>3548</v>
      </c>
      <c r="AC259" s="5" t="s">
        <v>24</v>
      </c>
      <c r="AD259" s="5" t="s">
        <v>24</v>
      </c>
      <c r="AE259" s="5" t="s">
        <v>24</v>
      </c>
      <c r="AF259" s="5" t="s">
        <v>24</v>
      </c>
      <c r="AG259" s="5" t="s">
        <v>24</v>
      </c>
      <c r="AH259" s="5" t="s">
        <v>24</v>
      </c>
      <c r="AI259" s="5" t="s">
        <v>24</v>
      </c>
      <c r="AJ259" s="5" t="s">
        <v>24</v>
      </c>
      <c r="AK259" s="5" t="s">
        <v>24</v>
      </c>
      <c r="AL259" s="5" t="str">
        <f>VLOOKUP(mambo!$H259,Sheet1!B:C,2,FALSE)</f>
        <v>#N/A</v>
      </c>
    </row>
    <row r="260" ht="15.75" hidden="1" customHeight="1">
      <c r="A260" s="5" t="s">
        <v>3549</v>
      </c>
      <c r="B260" s="5" t="s">
        <v>3550</v>
      </c>
      <c r="C260" s="5" t="s">
        <v>503</v>
      </c>
      <c r="D260" s="5" t="s">
        <v>24</v>
      </c>
      <c r="E260" s="5" t="s">
        <v>1848</v>
      </c>
      <c r="F260" s="5" t="s">
        <v>1849</v>
      </c>
      <c r="G260" s="5" t="s">
        <v>24</v>
      </c>
      <c r="H260" s="5" t="s">
        <v>3551</v>
      </c>
      <c r="I260" s="5" t="s">
        <v>24</v>
      </c>
      <c r="J260" s="5" t="s">
        <v>24</v>
      </c>
      <c r="K260" s="5" t="s">
        <v>24</v>
      </c>
      <c r="L260" s="5" t="s">
        <v>24</v>
      </c>
      <c r="M260" s="5" t="s">
        <v>1885</v>
      </c>
      <c r="N260" s="5" t="s">
        <v>24</v>
      </c>
      <c r="O260" s="5" t="s">
        <v>3552</v>
      </c>
      <c r="P260" s="5" t="s">
        <v>24</v>
      </c>
      <c r="Q260" s="5" t="s">
        <v>24</v>
      </c>
      <c r="R260" s="5" t="s">
        <v>24</v>
      </c>
      <c r="S260" s="5" t="s">
        <v>1852</v>
      </c>
      <c r="T260" s="5" t="s">
        <v>2636</v>
      </c>
      <c r="U260" s="5" t="s">
        <v>2636</v>
      </c>
      <c r="V260" s="5" t="s">
        <v>1854</v>
      </c>
      <c r="W260" s="5" t="s">
        <v>24</v>
      </c>
      <c r="X260" s="5" t="s">
        <v>24</v>
      </c>
      <c r="Y260" s="5" t="s">
        <v>3553</v>
      </c>
      <c r="Z260" s="5" t="s">
        <v>3554</v>
      </c>
      <c r="AA260" s="5" t="s">
        <v>3554</v>
      </c>
      <c r="AB260" s="5" t="s">
        <v>3554</v>
      </c>
      <c r="AC260" s="5" t="s">
        <v>3555</v>
      </c>
      <c r="AD260" s="5" t="s">
        <v>3556</v>
      </c>
      <c r="AE260" s="5" t="s">
        <v>3557</v>
      </c>
      <c r="AF260" s="5" t="s">
        <v>3558</v>
      </c>
      <c r="AG260" s="5" t="s">
        <v>3559</v>
      </c>
      <c r="AH260" s="5" t="s">
        <v>24</v>
      </c>
      <c r="AI260" s="5" t="s">
        <v>24</v>
      </c>
      <c r="AJ260" s="5" t="s">
        <v>24</v>
      </c>
      <c r="AK260" s="5" t="s">
        <v>24</v>
      </c>
      <c r="AL260" s="5" t="str">
        <f>VLOOKUP(mambo!$H260,Sheet1!B:C,2,FALSE)</f>
        <v>#N/A</v>
      </c>
    </row>
    <row r="261" ht="15.75" hidden="1" customHeight="1">
      <c r="A261" s="5" t="s">
        <v>3560</v>
      </c>
      <c r="B261" s="5" t="s">
        <v>3561</v>
      </c>
      <c r="C261" s="5" t="s">
        <v>503</v>
      </c>
      <c r="D261" s="5" t="s">
        <v>24</v>
      </c>
      <c r="E261" s="5" t="s">
        <v>1848</v>
      </c>
      <c r="F261" s="5" t="s">
        <v>1849</v>
      </c>
      <c r="G261" s="5" t="s">
        <v>24</v>
      </c>
      <c r="H261" s="5" t="s">
        <v>3562</v>
      </c>
      <c r="I261" s="5" t="s">
        <v>24</v>
      </c>
      <c r="J261" s="5" t="s">
        <v>24</v>
      </c>
      <c r="K261" s="5" t="s">
        <v>24</v>
      </c>
      <c r="L261" s="5" t="s">
        <v>24</v>
      </c>
      <c r="M261" s="5" t="s">
        <v>1885</v>
      </c>
      <c r="N261" s="5" t="s">
        <v>24</v>
      </c>
      <c r="O261" s="5" t="s">
        <v>3563</v>
      </c>
      <c r="P261" s="5" t="s">
        <v>24</v>
      </c>
      <c r="Q261" s="5" t="s">
        <v>24</v>
      </c>
      <c r="R261" s="5" t="s">
        <v>24</v>
      </c>
      <c r="S261" s="5" t="s">
        <v>1852</v>
      </c>
      <c r="T261" s="5" t="s">
        <v>3403</v>
      </c>
      <c r="U261" s="5" t="s">
        <v>3403</v>
      </c>
      <c r="V261" s="5" t="s">
        <v>1854</v>
      </c>
      <c r="W261" s="5" t="s">
        <v>24</v>
      </c>
      <c r="X261" s="5" t="s">
        <v>24</v>
      </c>
      <c r="Y261" s="5" t="s">
        <v>3564</v>
      </c>
      <c r="Z261" s="5" t="s">
        <v>3565</v>
      </c>
      <c r="AA261" s="5" t="s">
        <v>3565</v>
      </c>
      <c r="AB261" s="5" t="s">
        <v>3565</v>
      </c>
      <c r="AC261" s="5" t="s">
        <v>3566</v>
      </c>
      <c r="AD261" s="5" t="s">
        <v>3567</v>
      </c>
      <c r="AE261" s="5" t="s">
        <v>3568</v>
      </c>
      <c r="AF261" s="5" t="s">
        <v>3569</v>
      </c>
      <c r="AG261" s="5" t="s">
        <v>3570</v>
      </c>
      <c r="AH261" s="5" t="s">
        <v>24</v>
      </c>
      <c r="AI261" s="5" t="s">
        <v>24</v>
      </c>
      <c r="AJ261" s="5" t="s">
        <v>24</v>
      </c>
      <c r="AK261" s="5" t="s">
        <v>24</v>
      </c>
      <c r="AL261" s="5" t="str">
        <f>VLOOKUP(mambo!$H261,Sheet1!B:C,2,FALSE)</f>
        <v>#N/A</v>
      </c>
    </row>
    <row r="262" ht="15.75" hidden="1" customHeight="1">
      <c r="A262" s="5" t="s">
        <v>3571</v>
      </c>
      <c r="B262" s="5" t="s">
        <v>3572</v>
      </c>
      <c r="C262" s="5" t="s">
        <v>503</v>
      </c>
      <c r="D262" s="5" t="s">
        <v>24</v>
      </c>
      <c r="E262" s="5" t="s">
        <v>1848</v>
      </c>
      <c r="F262" s="5" t="s">
        <v>1849</v>
      </c>
      <c r="G262" s="5" t="s">
        <v>24</v>
      </c>
      <c r="H262" s="5" t="s">
        <v>3573</v>
      </c>
      <c r="I262" s="5" t="s">
        <v>24</v>
      </c>
      <c r="J262" s="5" t="s">
        <v>24</v>
      </c>
      <c r="K262" s="5" t="s">
        <v>24</v>
      </c>
      <c r="L262" s="5" t="s">
        <v>24</v>
      </c>
      <c r="M262" s="5" t="s">
        <v>1885</v>
      </c>
      <c r="N262" s="5" t="s">
        <v>24</v>
      </c>
      <c r="O262" s="5" t="s">
        <v>3574</v>
      </c>
      <c r="P262" s="5" t="s">
        <v>24</v>
      </c>
      <c r="Q262" s="5" t="s">
        <v>24</v>
      </c>
      <c r="R262" s="5" t="s">
        <v>24</v>
      </c>
      <c r="S262" s="5" t="s">
        <v>1852</v>
      </c>
      <c r="T262" s="5" t="s">
        <v>3384</v>
      </c>
      <c r="U262" s="5" t="s">
        <v>3384</v>
      </c>
      <c r="V262" s="5" t="s">
        <v>1854</v>
      </c>
      <c r="W262" s="5" t="s">
        <v>24</v>
      </c>
      <c r="X262" s="5" t="s">
        <v>24</v>
      </c>
      <c r="Y262" s="5" t="s">
        <v>3575</v>
      </c>
      <c r="Z262" s="5" t="s">
        <v>3576</v>
      </c>
      <c r="AA262" s="5" t="s">
        <v>3576</v>
      </c>
      <c r="AB262" s="5" t="s">
        <v>3576</v>
      </c>
      <c r="AC262" s="5" t="s">
        <v>3577</v>
      </c>
      <c r="AD262" s="5" t="s">
        <v>3578</v>
      </c>
      <c r="AE262" s="5" t="s">
        <v>3579</v>
      </c>
      <c r="AF262" s="5" t="s">
        <v>3580</v>
      </c>
      <c r="AG262" s="5" t="s">
        <v>3581</v>
      </c>
      <c r="AH262" s="5" t="s">
        <v>3582</v>
      </c>
      <c r="AI262" s="5" t="s">
        <v>3583</v>
      </c>
      <c r="AJ262" s="5" t="s">
        <v>3584</v>
      </c>
      <c r="AK262" s="5" t="s">
        <v>3585</v>
      </c>
      <c r="AL262" s="5" t="str">
        <f>VLOOKUP(mambo!$H262,Sheet1!B:C,2,FALSE)</f>
        <v>#N/A</v>
      </c>
    </row>
    <row r="263" ht="15.75" customHeight="1">
      <c r="A263" s="5" t="s">
        <v>3586</v>
      </c>
      <c r="B263" s="5" t="s">
        <v>3587</v>
      </c>
      <c r="C263" s="5" t="s">
        <v>2635</v>
      </c>
      <c r="D263" s="5" t="s">
        <v>24</v>
      </c>
      <c r="E263" s="5" t="s">
        <v>1848</v>
      </c>
      <c r="F263" s="5" t="s">
        <v>1849</v>
      </c>
      <c r="G263" s="5" t="s">
        <v>24</v>
      </c>
      <c r="H263" s="5" t="s">
        <v>379</v>
      </c>
      <c r="I263" s="5" t="s">
        <v>24</v>
      </c>
      <c r="J263" s="5" t="s">
        <v>24</v>
      </c>
      <c r="K263" s="5" t="s">
        <v>24</v>
      </c>
      <c r="L263" s="5" t="s">
        <v>24</v>
      </c>
      <c r="M263" s="5" t="s">
        <v>1885</v>
      </c>
      <c r="N263" s="5" t="s">
        <v>24</v>
      </c>
      <c r="O263" s="5" t="s">
        <v>1978</v>
      </c>
      <c r="P263" s="5" t="s">
        <v>24</v>
      </c>
      <c r="Q263" s="5" t="s">
        <v>24</v>
      </c>
      <c r="R263" s="5" t="s">
        <v>24</v>
      </c>
      <c r="S263" s="5" t="s">
        <v>1852</v>
      </c>
      <c r="T263" s="5" t="s">
        <v>3384</v>
      </c>
      <c r="U263" s="5" t="s">
        <v>3384</v>
      </c>
      <c r="V263" s="5" t="s">
        <v>1854</v>
      </c>
      <c r="W263" s="5" t="s">
        <v>24</v>
      </c>
      <c r="X263" s="5" t="s">
        <v>24</v>
      </c>
      <c r="Y263" s="5" t="s">
        <v>3588</v>
      </c>
      <c r="Z263" s="5" t="s">
        <v>3589</v>
      </c>
      <c r="AA263" s="5" t="s">
        <v>3589</v>
      </c>
      <c r="AB263" s="5" t="s">
        <v>3589</v>
      </c>
      <c r="AC263" s="5" t="s">
        <v>3590</v>
      </c>
      <c r="AD263" s="5" t="s">
        <v>3591</v>
      </c>
      <c r="AE263" s="5" t="s">
        <v>3592</v>
      </c>
      <c r="AF263" s="5" t="s">
        <v>3593</v>
      </c>
      <c r="AG263" s="5" t="s">
        <v>3594</v>
      </c>
      <c r="AH263" s="5" t="s">
        <v>24</v>
      </c>
      <c r="AI263" s="5" t="s">
        <v>24</v>
      </c>
      <c r="AJ263" s="5" t="s">
        <v>24</v>
      </c>
      <c r="AK263" s="5" t="s">
        <v>24</v>
      </c>
      <c r="AL263" s="5" t="str">
        <f>VLOOKUP(mambo!$H263,Sheet1!B:C,2,FALSE)</f>
        <v>1367245</v>
      </c>
    </row>
    <row r="264" ht="15.75" hidden="1" customHeight="1">
      <c r="A264" s="5" t="s">
        <v>3595</v>
      </c>
      <c r="B264" s="5" t="s">
        <v>3596</v>
      </c>
      <c r="C264" s="5" t="s">
        <v>503</v>
      </c>
      <c r="D264" s="5" t="s">
        <v>24</v>
      </c>
      <c r="E264" s="5" t="s">
        <v>1848</v>
      </c>
      <c r="F264" s="5" t="s">
        <v>1849</v>
      </c>
      <c r="G264" s="5" t="s">
        <v>24</v>
      </c>
      <c r="H264" s="5" t="s">
        <v>3597</v>
      </c>
      <c r="I264" s="5" t="s">
        <v>24</v>
      </c>
      <c r="J264" s="5" t="s">
        <v>24</v>
      </c>
      <c r="K264" s="5" t="s">
        <v>24</v>
      </c>
      <c r="L264" s="5" t="s">
        <v>24</v>
      </c>
      <c r="M264" s="5" t="s">
        <v>1885</v>
      </c>
      <c r="N264" s="5" t="s">
        <v>24</v>
      </c>
      <c r="O264" s="5" t="s">
        <v>3598</v>
      </c>
      <c r="P264" s="5" t="s">
        <v>24</v>
      </c>
      <c r="Q264" s="5" t="s">
        <v>24</v>
      </c>
      <c r="R264" s="5" t="s">
        <v>24</v>
      </c>
      <c r="S264" s="5" t="s">
        <v>2020</v>
      </c>
      <c r="T264" s="5" t="s">
        <v>2021</v>
      </c>
      <c r="U264" s="5" t="s">
        <v>2021</v>
      </c>
      <c r="V264" s="5" t="s">
        <v>24</v>
      </c>
      <c r="W264" s="5" t="s">
        <v>24</v>
      </c>
      <c r="X264" s="5" t="s">
        <v>24</v>
      </c>
      <c r="Y264" s="5" t="s">
        <v>3599</v>
      </c>
      <c r="Z264" s="5" t="s">
        <v>3600</v>
      </c>
      <c r="AA264" s="5" t="s">
        <v>3600</v>
      </c>
      <c r="AB264" s="5" t="s">
        <v>3600</v>
      </c>
      <c r="AC264" s="5" t="s">
        <v>3601</v>
      </c>
      <c r="AD264" s="5" t="s">
        <v>3602</v>
      </c>
      <c r="AE264" s="5" t="s">
        <v>3603</v>
      </c>
      <c r="AF264" s="5" t="s">
        <v>3604</v>
      </c>
      <c r="AG264" s="5" t="s">
        <v>3605</v>
      </c>
      <c r="AH264" s="5" t="s">
        <v>24</v>
      </c>
      <c r="AI264" s="5" t="s">
        <v>24</v>
      </c>
      <c r="AJ264" s="5" t="s">
        <v>24</v>
      </c>
      <c r="AK264" s="5" t="s">
        <v>24</v>
      </c>
      <c r="AL264" s="5" t="str">
        <f>VLOOKUP(mambo!$H264,Sheet1!B:C,2,FALSE)</f>
        <v>#N/A</v>
      </c>
    </row>
    <row r="265" ht="15.75" customHeight="1">
      <c r="A265" s="5" t="s">
        <v>3606</v>
      </c>
      <c r="B265" s="5" t="s">
        <v>3607</v>
      </c>
      <c r="C265" s="5" t="s">
        <v>2635</v>
      </c>
      <c r="D265" s="5" t="s">
        <v>24</v>
      </c>
      <c r="E265" s="5" t="s">
        <v>1848</v>
      </c>
      <c r="F265" s="5" t="s">
        <v>1849</v>
      </c>
      <c r="G265" s="5" t="s">
        <v>24</v>
      </c>
      <c r="H265" s="5" t="s">
        <v>472</v>
      </c>
      <c r="I265" s="5" t="s">
        <v>24</v>
      </c>
      <c r="J265" s="5" t="s">
        <v>24</v>
      </c>
      <c r="K265" s="5" t="s">
        <v>24</v>
      </c>
      <c r="L265" s="5" t="s">
        <v>24</v>
      </c>
      <c r="M265" s="5" t="s">
        <v>1885</v>
      </c>
      <c r="N265" s="5" t="s">
        <v>24</v>
      </c>
      <c r="O265" s="5" t="s">
        <v>3608</v>
      </c>
      <c r="P265" s="5" t="s">
        <v>24</v>
      </c>
      <c r="Q265" s="5" t="s">
        <v>24</v>
      </c>
      <c r="R265" s="5" t="s">
        <v>24</v>
      </c>
      <c r="S265" s="5" t="s">
        <v>1852</v>
      </c>
      <c r="T265" s="5" t="s">
        <v>3384</v>
      </c>
      <c r="U265" s="5" t="s">
        <v>3384</v>
      </c>
      <c r="V265" s="5" t="s">
        <v>1854</v>
      </c>
      <c r="W265" s="5" t="s">
        <v>24</v>
      </c>
      <c r="X265" s="5" t="s">
        <v>24</v>
      </c>
      <c r="Y265" s="5" t="s">
        <v>3609</v>
      </c>
      <c r="Z265" s="5" t="s">
        <v>3610</v>
      </c>
      <c r="AA265" s="5" t="s">
        <v>3610</v>
      </c>
      <c r="AB265" s="5" t="s">
        <v>3610</v>
      </c>
      <c r="AC265" s="5" t="s">
        <v>3611</v>
      </c>
      <c r="AD265" s="5" t="s">
        <v>3612</v>
      </c>
      <c r="AE265" s="5" t="s">
        <v>3613</v>
      </c>
      <c r="AF265" s="5" t="s">
        <v>3614</v>
      </c>
      <c r="AG265" s="5" t="s">
        <v>3615</v>
      </c>
      <c r="AH265" s="5" t="s">
        <v>24</v>
      </c>
      <c r="AI265" s="5" t="s">
        <v>24</v>
      </c>
      <c r="AJ265" s="5" t="s">
        <v>24</v>
      </c>
      <c r="AK265" s="5" t="s">
        <v>24</v>
      </c>
      <c r="AL265" s="5" t="str">
        <f>VLOOKUP(mambo!$H265,Sheet1!B:C,2,FALSE)</f>
        <v>1342755</v>
      </c>
    </row>
    <row r="266" ht="15.75" hidden="1" customHeight="1">
      <c r="A266" s="5" t="s">
        <v>3616</v>
      </c>
      <c r="B266" s="5" t="s">
        <v>3617</v>
      </c>
      <c r="C266" s="5" t="s">
        <v>503</v>
      </c>
      <c r="D266" s="5" t="s">
        <v>24</v>
      </c>
      <c r="E266" s="5" t="s">
        <v>1848</v>
      </c>
      <c r="F266" s="5" t="s">
        <v>1849</v>
      </c>
      <c r="G266" s="5" t="s">
        <v>24</v>
      </c>
      <c r="H266" s="5" t="s">
        <v>3618</v>
      </c>
      <c r="I266" s="5" t="s">
        <v>24</v>
      </c>
      <c r="J266" s="5" t="s">
        <v>24</v>
      </c>
      <c r="K266" s="5" t="s">
        <v>24</v>
      </c>
      <c r="L266" s="5" t="s">
        <v>24</v>
      </c>
      <c r="M266" s="5" t="s">
        <v>1885</v>
      </c>
      <c r="N266" s="5" t="s">
        <v>24</v>
      </c>
      <c r="O266" s="5" t="s">
        <v>2984</v>
      </c>
      <c r="P266" s="5" t="s">
        <v>24</v>
      </c>
      <c r="Q266" s="5" t="s">
        <v>24</v>
      </c>
      <c r="R266" s="5" t="s">
        <v>24</v>
      </c>
      <c r="S266" s="5" t="s">
        <v>2020</v>
      </c>
      <c r="T266" s="5" t="s">
        <v>2021</v>
      </c>
      <c r="U266" s="5" t="s">
        <v>2021</v>
      </c>
      <c r="V266" s="5" t="s">
        <v>24</v>
      </c>
      <c r="W266" s="5" t="s">
        <v>24</v>
      </c>
      <c r="X266" s="5" t="s">
        <v>24</v>
      </c>
      <c r="Y266" s="5" t="s">
        <v>3619</v>
      </c>
      <c r="Z266" s="5" t="s">
        <v>3620</v>
      </c>
      <c r="AA266" s="5" t="s">
        <v>3620</v>
      </c>
      <c r="AB266" s="5" t="s">
        <v>3620</v>
      </c>
      <c r="AC266" s="5" t="s">
        <v>3621</v>
      </c>
      <c r="AD266" s="5" t="s">
        <v>3622</v>
      </c>
      <c r="AE266" s="5" t="s">
        <v>3623</v>
      </c>
      <c r="AF266" s="5" t="s">
        <v>3624</v>
      </c>
      <c r="AG266" s="5" t="s">
        <v>3625</v>
      </c>
      <c r="AH266" s="5" t="s">
        <v>24</v>
      </c>
      <c r="AI266" s="5" t="s">
        <v>24</v>
      </c>
      <c r="AJ266" s="5" t="s">
        <v>24</v>
      </c>
      <c r="AK266" s="5" t="s">
        <v>24</v>
      </c>
      <c r="AL266" s="5" t="str">
        <f>VLOOKUP(mambo!$H266,Sheet1!B:C,2,FALSE)</f>
        <v>#N/A</v>
      </c>
    </row>
    <row r="267" ht="15.75" customHeight="1">
      <c r="A267" s="5" t="s">
        <v>3626</v>
      </c>
      <c r="B267" s="5" t="s">
        <v>3627</v>
      </c>
      <c r="C267" s="5" t="s">
        <v>503</v>
      </c>
      <c r="D267" s="5" t="s">
        <v>24</v>
      </c>
      <c r="E267" s="5" t="s">
        <v>1848</v>
      </c>
      <c r="F267" s="5" t="s">
        <v>1849</v>
      </c>
      <c r="G267" s="5" t="s">
        <v>24</v>
      </c>
      <c r="H267" s="5" t="s">
        <v>838</v>
      </c>
      <c r="I267" s="5" t="s">
        <v>24</v>
      </c>
      <c r="J267" s="5" t="s">
        <v>24</v>
      </c>
      <c r="K267" s="5" t="s">
        <v>24</v>
      </c>
      <c r="L267" s="5" t="s">
        <v>24</v>
      </c>
      <c r="M267" s="5" t="s">
        <v>24</v>
      </c>
      <c r="N267" s="5" t="s">
        <v>24</v>
      </c>
      <c r="O267" s="5" t="s">
        <v>3136</v>
      </c>
      <c r="P267" s="5" t="s">
        <v>24</v>
      </c>
      <c r="Q267" s="5" t="s">
        <v>24</v>
      </c>
      <c r="R267" s="5" t="s">
        <v>24</v>
      </c>
      <c r="S267" s="5" t="s">
        <v>1852</v>
      </c>
      <c r="T267" s="5" t="s">
        <v>3628</v>
      </c>
      <c r="U267" s="5" t="s">
        <v>3628</v>
      </c>
      <c r="V267" s="5" t="s">
        <v>1854</v>
      </c>
      <c r="W267" s="5" t="s">
        <v>24</v>
      </c>
      <c r="X267" s="5" t="s">
        <v>24</v>
      </c>
      <c r="Y267" s="5" t="s">
        <v>3629</v>
      </c>
      <c r="Z267" s="5" t="s">
        <v>3630</v>
      </c>
      <c r="AA267" s="5" t="s">
        <v>3630</v>
      </c>
      <c r="AB267" s="5" t="s">
        <v>3630</v>
      </c>
      <c r="AC267" s="5" t="s">
        <v>3631</v>
      </c>
      <c r="AD267" s="5" t="s">
        <v>24</v>
      </c>
      <c r="AE267" s="5" t="s">
        <v>24</v>
      </c>
      <c r="AF267" s="5" t="s">
        <v>24</v>
      </c>
      <c r="AG267" s="5" t="s">
        <v>24</v>
      </c>
      <c r="AH267" s="5" t="s">
        <v>24</v>
      </c>
      <c r="AI267" s="5" t="s">
        <v>24</v>
      </c>
      <c r="AJ267" s="5" t="s">
        <v>24</v>
      </c>
      <c r="AK267" s="5" t="s">
        <v>24</v>
      </c>
      <c r="AL267" s="5" t="str">
        <f>VLOOKUP(mambo!$H267,Sheet1!B:C,2,FALSE)</f>
        <v>1370160</v>
      </c>
    </row>
    <row r="268" ht="15.75" customHeight="1">
      <c r="A268" s="5" t="s">
        <v>3632</v>
      </c>
      <c r="B268" s="5" t="s">
        <v>3633</v>
      </c>
      <c r="C268" s="5" t="s">
        <v>503</v>
      </c>
      <c r="D268" s="5" t="s">
        <v>24</v>
      </c>
      <c r="E268" s="5" t="s">
        <v>1848</v>
      </c>
      <c r="F268" s="5" t="s">
        <v>1849</v>
      </c>
      <c r="G268" s="5" t="s">
        <v>24</v>
      </c>
      <c r="H268" s="5" t="s">
        <v>672</v>
      </c>
      <c r="I268" s="5" t="s">
        <v>24</v>
      </c>
      <c r="J268" s="5" t="s">
        <v>24</v>
      </c>
      <c r="K268" s="5" t="s">
        <v>24</v>
      </c>
      <c r="L268" s="5" t="s">
        <v>24</v>
      </c>
      <c r="M268" s="5" t="s">
        <v>24</v>
      </c>
      <c r="N268" s="5" t="s">
        <v>24</v>
      </c>
      <c r="O268" s="5" t="s">
        <v>3136</v>
      </c>
      <c r="P268" s="5" t="s">
        <v>24</v>
      </c>
      <c r="Q268" s="5" t="s">
        <v>24</v>
      </c>
      <c r="R268" s="5" t="s">
        <v>24</v>
      </c>
      <c r="S268" s="5" t="s">
        <v>1852</v>
      </c>
      <c r="T268" s="5" t="s">
        <v>3628</v>
      </c>
      <c r="U268" s="5" t="s">
        <v>3628</v>
      </c>
      <c r="V268" s="5" t="s">
        <v>1854</v>
      </c>
      <c r="W268" s="5" t="s">
        <v>24</v>
      </c>
      <c r="X268" s="5" t="s">
        <v>24</v>
      </c>
      <c r="Y268" s="5" t="s">
        <v>3634</v>
      </c>
      <c r="Z268" s="5" t="s">
        <v>3635</v>
      </c>
      <c r="AA268" s="5" t="s">
        <v>3635</v>
      </c>
      <c r="AB268" s="5" t="s">
        <v>3635</v>
      </c>
      <c r="AC268" s="5" t="s">
        <v>3636</v>
      </c>
      <c r="AD268" s="5" t="s">
        <v>24</v>
      </c>
      <c r="AE268" s="5" t="s">
        <v>24</v>
      </c>
      <c r="AF268" s="5" t="s">
        <v>24</v>
      </c>
      <c r="AG268" s="5" t="s">
        <v>24</v>
      </c>
      <c r="AH268" s="5" t="s">
        <v>24</v>
      </c>
      <c r="AI268" s="5" t="s">
        <v>24</v>
      </c>
      <c r="AJ268" s="5" t="s">
        <v>24</v>
      </c>
      <c r="AK268" s="5" t="s">
        <v>24</v>
      </c>
      <c r="AL268" s="5" t="str">
        <f>VLOOKUP(mambo!$H268,Sheet1!B:C,2,FALSE)</f>
        <v>1370149</v>
      </c>
    </row>
    <row r="269" ht="15.75" customHeight="1">
      <c r="A269" s="5" t="s">
        <v>3637</v>
      </c>
      <c r="B269" s="5" t="s">
        <v>3638</v>
      </c>
      <c r="C269" s="5" t="s">
        <v>106</v>
      </c>
      <c r="D269" s="5" t="s">
        <v>24</v>
      </c>
      <c r="E269" s="5" t="s">
        <v>1848</v>
      </c>
      <c r="F269" s="5" t="s">
        <v>1849</v>
      </c>
      <c r="G269" s="5" t="s">
        <v>24</v>
      </c>
      <c r="H269" s="5" t="s">
        <v>1271</v>
      </c>
      <c r="I269" s="5" t="s">
        <v>24</v>
      </c>
      <c r="J269" s="5" t="s">
        <v>24</v>
      </c>
      <c r="K269" s="5" t="s">
        <v>24</v>
      </c>
      <c r="L269" s="5" t="s">
        <v>24</v>
      </c>
      <c r="M269" s="5" t="s">
        <v>24</v>
      </c>
      <c r="N269" s="5" t="s">
        <v>24</v>
      </c>
      <c r="O269" s="5" t="s">
        <v>3136</v>
      </c>
      <c r="P269" s="5" t="s">
        <v>24</v>
      </c>
      <c r="Q269" s="5" t="s">
        <v>24</v>
      </c>
      <c r="R269" s="5" t="s">
        <v>24</v>
      </c>
      <c r="S269" s="5" t="s">
        <v>1852</v>
      </c>
      <c r="T269" s="5" t="s">
        <v>3639</v>
      </c>
      <c r="U269" s="5" t="s">
        <v>3639</v>
      </c>
      <c r="V269" s="5" t="s">
        <v>1854</v>
      </c>
      <c r="W269" s="5" t="s">
        <v>24</v>
      </c>
      <c r="X269" s="5" t="s">
        <v>24</v>
      </c>
      <c r="Y269" s="5" t="s">
        <v>3640</v>
      </c>
      <c r="Z269" s="5" t="s">
        <v>3641</v>
      </c>
      <c r="AA269" s="5" t="s">
        <v>3641</v>
      </c>
      <c r="AB269" s="5" t="s">
        <v>3641</v>
      </c>
      <c r="AC269" s="5" t="s">
        <v>24</v>
      </c>
      <c r="AD269" s="5" t="s">
        <v>24</v>
      </c>
      <c r="AE269" s="5" t="s">
        <v>24</v>
      </c>
      <c r="AF269" s="5" t="s">
        <v>24</v>
      </c>
      <c r="AG269" s="5" t="s">
        <v>24</v>
      </c>
      <c r="AH269" s="5" t="s">
        <v>24</v>
      </c>
      <c r="AI269" s="5" t="s">
        <v>24</v>
      </c>
      <c r="AJ269" s="5" t="s">
        <v>24</v>
      </c>
      <c r="AK269" s="5" t="s">
        <v>24</v>
      </c>
      <c r="AL269" s="5" t="str">
        <f>VLOOKUP(mambo!$H269,Sheet1!B:C,2,FALSE)</f>
        <v>1363097</v>
      </c>
    </row>
    <row r="270" ht="15.75" hidden="1" customHeight="1">
      <c r="A270" s="5" t="s">
        <v>3642</v>
      </c>
      <c r="B270" s="5" t="s">
        <v>3643</v>
      </c>
      <c r="C270" s="5" t="s">
        <v>2126</v>
      </c>
      <c r="D270" s="5" t="s">
        <v>24</v>
      </c>
      <c r="E270" s="5" t="s">
        <v>1848</v>
      </c>
      <c r="F270" s="5" t="s">
        <v>1849</v>
      </c>
      <c r="G270" s="5" t="s">
        <v>24</v>
      </c>
      <c r="H270" s="5" t="s">
        <v>3644</v>
      </c>
      <c r="I270" s="5" t="s">
        <v>24</v>
      </c>
      <c r="J270" s="5" t="s">
        <v>24</v>
      </c>
      <c r="K270" s="5" t="s">
        <v>24</v>
      </c>
      <c r="L270" s="5" t="s">
        <v>24</v>
      </c>
      <c r="M270" s="5" t="s">
        <v>24</v>
      </c>
      <c r="N270" s="5" t="s">
        <v>24</v>
      </c>
      <c r="O270" s="5" t="s">
        <v>3136</v>
      </c>
      <c r="P270" s="5" t="s">
        <v>24</v>
      </c>
      <c r="Q270" s="5" t="s">
        <v>24</v>
      </c>
      <c r="R270" s="5" t="s">
        <v>24</v>
      </c>
      <c r="S270" s="5" t="s">
        <v>1852</v>
      </c>
      <c r="T270" s="5" t="s">
        <v>3137</v>
      </c>
      <c r="U270" s="5" t="s">
        <v>3137</v>
      </c>
      <c r="V270" s="5" t="s">
        <v>1854</v>
      </c>
      <c r="W270" s="5" t="s">
        <v>24</v>
      </c>
      <c r="X270" s="5" t="s">
        <v>24</v>
      </c>
      <c r="Y270" s="5" t="s">
        <v>3645</v>
      </c>
      <c r="Z270" s="5" t="s">
        <v>3646</v>
      </c>
      <c r="AA270" s="5" t="s">
        <v>3646</v>
      </c>
      <c r="AB270" s="5" t="s">
        <v>3646</v>
      </c>
      <c r="AC270" s="5" t="s">
        <v>24</v>
      </c>
      <c r="AD270" s="5" t="s">
        <v>24</v>
      </c>
      <c r="AE270" s="5" t="s">
        <v>24</v>
      </c>
      <c r="AF270" s="5" t="s">
        <v>24</v>
      </c>
      <c r="AG270" s="5" t="s">
        <v>24</v>
      </c>
      <c r="AH270" s="5" t="s">
        <v>24</v>
      </c>
      <c r="AI270" s="5" t="s">
        <v>24</v>
      </c>
      <c r="AJ270" s="5" t="s">
        <v>24</v>
      </c>
      <c r="AK270" s="5" t="s">
        <v>24</v>
      </c>
      <c r="AL270" s="5" t="str">
        <f>VLOOKUP(mambo!$H270,Sheet1!B:C,2,FALSE)</f>
        <v>#N/A</v>
      </c>
    </row>
    <row r="271" ht="15.75" customHeight="1">
      <c r="A271" s="5" t="s">
        <v>3647</v>
      </c>
      <c r="B271" s="5" t="s">
        <v>3648</v>
      </c>
      <c r="C271" s="5" t="s">
        <v>2126</v>
      </c>
      <c r="D271" s="5" t="s">
        <v>24</v>
      </c>
      <c r="E271" s="5" t="s">
        <v>1848</v>
      </c>
      <c r="F271" s="5" t="s">
        <v>1849</v>
      </c>
      <c r="G271" s="5" t="s">
        <v>24</v>
      </c>
      <c r="H271" s="5" t="s">
        <v>1118</v>
      </c>
      <c r="I271" s="5" t="s">
        <v>24</v>
      </c>
      <c r="J271" s="5" t="s">
        <v>24</v>
      </c>
      <c r="K271" s="5" t="s">
        <v>24</v>
      </c>
      <c r="L271" s="5" t="s">
        <v>24</v>
      </c>
      <c r="M271" s="5" t="s">
        <v>24</v>
      </c>
      <c r="N271" s="5" t="s">
        <v>24</v>
      </c>
      <c r="O271" s="5" t="s">
        <v>3136</v>
      </c>
      <c r="P271" s="5" t="s">
        <v>24</v>
      </c>
      <c r="Q271" s="5" t="s">
        <v>24</v>
      </c>
      <c r="R271" s="5" t="s">
        <v>24</v>
      </c>
      <c r="S271" s="5" t="s">
        <v>1852</v>
      </c>
      <c r="T271" s="5" t="s">
        <v>3137</v>
      </c>
      <c r="U271" s="5" t="s">
        <v>3137</v>
      </c>
      <c r="V271" s="5" t="s">
        <v>1854</v>
      </c>
      <c r="W271" s="5" t="s">
        <v>24</v>
      </c>
      <c r="X271" s="5" t="s">
        <v>24</v>
      </c>
      <c r="Y271" s="5" t="s">
        <v>3649</v>
      </c>
      <c r="Z271" s="5" t="s">
        <v>3650</v>
      </c>
      <c r="AA271" s="5" t="s">
        <v>3650</v>
      </c>
      <c r="AB271" s="5" t="s">
        <v>3650</v>
      </c>
      <c r="AC271" s="5" t="s">
        <v>24</v>
      </c>
      <c r="AD271" s="5" t="s">
        <v>24</v>
      </c>
      <c r="AE271" s="5" t="s">
        <v>24</v>
      </c>
      <c r="AF271" s="5" t="s">
        <v>24</v>
      </c>
      <c r="AG271" s="5" t="s">
        <v>24</v>
      </c>
      <c r="AH271" s="5" t="s">
        <v>24</v>
      </c>
      <c r="AI271" s="5" t="s">
        <v>24</v>
      </c>
      <c r="AJ271" s="5" t="s">
        <v>24</v>
      </c>
      <c r="AK271" s="5" t="s">
        <v>24</v>
      </c>
      <c r="AL271" s="5" t="str">
        <f>VLOOKUP(mambo!$H271,Sheet1!B:C,2,FALSE)</f>
        <v>1370060</v>
      </c>
    </row>
    <row r="272" ht="15.75" hidden="1" customHeight="1">
      <c r="A272" s="5" t="s">
        <v>3651</v>
      </c>
      <c r="B272" s="5" t="s">
        <v>3652</v>
      </c>
      <c r="C272" s="5" t="s">
        <v>2126</v>
      </c>
      <c r="D272" s="5" t="s">
        <v>24</v>
      </c>
      <c r="E272" s="5" t="s">
        <v>1848</v>
      </c>
      <c r="F272" s="5" t="s">
        <v>1849</v>
      </c>
      <c r="G272" s="5" t="s">
        <v>24</v>
      </c>
      <c r="H272" s="5" t="s">
        <v>3653</v>
      </c>
      <c r="I272" s="5" t="s">
        <v>24</v>
      </c>
      <c r="J272" s="5" t="s">
        <v>24</v>
      </c>
      <c r="K272" s="5" t="s">
        <v>24</v>
      </c>
      <c r="L272" s="5" t="s">
        <v>24</v>
      </c>
      <c r="M272" s="5" t="s">
        <v>24</v>
      </c>
      <c r="N272" s="5" t="s">
        <v>24</v>
      </c>
      <c r="O272" s="5" t="s">
        <v>3654</v>
      </c>
      <c r="P272" s="5" t="s">
        <v>24</v>
      </c>
      <c r="Q272" s="5" t="s">
        <v>24</v>
      </c>
      <c r="R272" s="5" t="s">
        <v>24</v>
      </c>
      <c r="S272" s="5" t="s">
        <v>1852</v>
      </c>
      <c r="T272" s="5" t="s">
        <v>3655</v>
      </c>
      <c r="U272" s="5" t="s">
        <v>3655</v>
      </c>
      <c r="V272" s="5" t="s">
        <v>1854</v>
      </c>
      <c r="W272" s="5" t="s">
        <v>24</v>
      </c>
      <c r="X272" s="5" t="s">
        <v>24</v>
      </c>
      <c r="Y272" s="5" t="s">
        <v>3656</v>
      </c>
      <c r="Z272" s="5" t="s">
        <v>3657</v>
      </c>
      <c r="AA272" s="5" t="s">
        <v>3657</v>
      </c>
      <c r="AB272" s="5" t="s">
        <v>3657</v>
      </c>
      <c r="AC272" s="5" t="s">
        <v>24</v>
      </c>
      <c r="AD272" s="5" t="s">
        <v>24</v>
      </c>
      <c r="AE272" s="5" t="s">
        <v>24</v>
      </c>
      <c r="AF272" s="5" t="s">
        <v>24</v>
      </c>
      <c r="AG272" s="5" t="s">
        <v>24</v>
      </c>
      <c r="AH272" s="5" t="s">
        <v>24</v>
      </c>
      <c r="AI272" s="5" t="s">
        <v>24</v>
      </c>
      <c r="AJ272" s="5" t="s">
        <v>24</v>
      </c>
      <c r="AK272" s="5" t="s">
        <v>24</v>
      </c>
      <c r="AL272" s="5" t="str">
        <f>VLOOKUP(mambo!$H272,Sheet1!B:C,2,FALSE)</f>
        <v>#N/A</v>
      </c>
    </row>
    <row r="273" ht="15.75" hidden="1" customHeight="1">
      <c r="A273" s="5" t="s">
        <v>3658</v>
      </c>
      <c r="B273" s="5" t="s">
        <v>3659</v>
      </c>
      <c r="C273" s="5" t="s">
        <v>3302</v>
      </c>
      <c r="D273" s="5" t="s">
        <v>24</v>
      </c>
      <c r="E273" s="5" t="s">
        <v>1848</v>
      </c>
      <c r="F273" s="5" t="s">
        <v>1849</v>
      </c>
      <c r="G273" s="5" t="s">
        <v>24</v>
      </c>
      <c r="H273" s="5" t="s">
        <v>3660</v>
      </c>
      <c r="I273" s="5" t="s">
        <v>24</v>
      </c>
      <c r="J273" s="5" t="s">
        <v>24</v>
      </c>
      <c r="K273" s="5" t="s">
        <v>24</v>
      </c>
      <c r="L273" s="5" t="s">
        <v>24</v>
      </c>
      <c r="M273" s="5" t="s">
        <v>24</v>
      </c>
      <c r="N273" s="5" t="s">
        <v>24</v>
      </c>
      <c r="O273" s="5" t="s">
        <v>2148</v>
      </c>
      <c r="P273" s="5" t="s">
        <v>24</v>
      </c>
      <c r="Q273" s="5" t="s">
        <v>24</v>
      </c>
      <c r="R273" s="5" t="s">
        <v>24</v>
      </c>
      <c r="S273" s="5" t="s">
        <v>1852</v>
      </c>
      <c r="T273" s="5" t="s">
        <v>3661</v>
      </c>
      <c r="U273" s="5" t="s">
        <v>3661</v>
      </c>
      <c r="V273" s="5" t="s">
        <v>1854</v>
      </c>
      <c r="W273" s="5" t="s">
        <v>24</v>
      </c>
      <c r="X273" s="5" t="s">
        <v>24</v>
      </c>
      <c r="Y273" s="5" t="s">
        <v>3662</v>
      </c>
      <c r="Z273" s="5" t="s">
        <v>3663</v>
      </c>
      <c r="AA273" s="5" t="s">
        <v>3663</v>
      </c>
      <c r="AB273" s="5" t="s">
        <v>3663</v>
      </c>
      <c r="AC273" s="5" t="s">
        <v>24</v>
      </c>
      <c r="AD273" s="5" t="s">
        <v>24</v>
      </c>
      <c r="AE273" s="5" t="s">
        <v>24</v>
      </c>
      <c r="AF273" s="5" t="s">
        <v>24</v>
      </c>
      <c r="AG273" s="5" t="s">
        <v>24</v>
      </c>
      <c r="AH273" s="5" t="s">
        <v>24</v>
      </c>
      <c r="AI273" s="5" t="s">
        <v>24</v>
      </c>
      <c r="AJ273" s="5" t="s">
        <v>24</v>
      </c>
      <c r="AK273" s="5" t="s">
        <v>24</v>
      </c>
      <c r="AL273" s="5" t="str">
        <f>VLOOKUP(mambo!$H273,Sheet1!B:C,2,FALSE)</f>
        <v>#N/A</v>
      </c>
    </row>
    <row r="274" ht="15.75" hidden="1" customHeight="1">
      <c r="A274" s="5" t="s">
        <v>3664</v>
      </c>
      <c r="B274" s="5" t="s">
        <v>3665</v>
      </c>
      <c r="C274" s="5" t="s">
        <v>3302</v>
      </c>
      <c r="D274" s="5" t="s">
        <v>24</v>
      </c>
      <c r="E274" s="5" t="s">
        <v>1848</v>
      </c>
      <c r="F274" s="5" t="s">
        <v>1849</v>
      </c>
      <c r="G274" s="5" t="s">
        <v>24</v>
      </c>
      <c r="H274" s="5" t="s">
        <v>3666</v>
      </c>
      <c r="I274" s="5" t="s">
        <v>24</v>
      </c>
      <c r="J274" s="5" t="s">
        <v>24</v>
      </c>
      <c r="K274" s="5" t="s">
        <v>24</v>
      </c>
      <c r="L274" s="5" t="s">
        <v>24</v>
      </c>
      <c r="M274" s="5" t="s">
        <v>1885</v>
      </c>
      <c r="N274" s="5" t="s">
        <v>24</v>
      </c>
      <c r="O274" s="5" t="s">
        <v>3432</v>
      </c>
      <c r="P274" s="5" t="s">
        <v>24</v>
      </c>
      <c r="Q274" s="5" t="s">
        <v>24</v>
      </c>
      <c r="R274" s="5" t="s">
        <v>24</v>
      </c>
      <c r="S274" s="5" t="s">
        <v>1852</v>
      </c>
      <c r="T274" s="5" t="s">
        <v>3319</v>
      </c>
      <c r="U274" s="5" t="s">
        <v>3319</v>
      </c>
      <c r="V274" s="5" t="s">
        <v>1854</v>
      </c>
      <c r="W274" s="5" t="s">
        <v>24</v>
      </c>
      <c r="X274" s="5" t="s">
        <v>24</v>
      </c>
      <c r="Y274" s="5" t="s">
        <v>3667</v>
      </c>
      <c r="Z274" s="5" t="s">
        <v>3668</v>
      </c>
      <c r="AA274" s="5" t="s">
        <v>3668</v>
      </c>
      <c r="AB274" s="5" t="s">
        <v>3668</v>
      </c>
      <c r="AC274" s="5" t="s">
        <v>24</v>
      </c>
      <c r="AD274" s="5" t="s">
        <v>24</v>
      </c>
      <c r="AE274" s="5" t="s">
        <v>24</v>
      </c>
      <c r="AF274" s="5" t="s">
        <v>24</v>
      </c>
      <c r="AG274" s="5" t="s">
        <v>24</v>
      </c>
      <c r="AH274" s="5" t="s">
        <v>24</v>
      </c>
      <c r="AI274" s="5" t="s">
        <v>24</v>
      </c>
      <c r="AJ274" s="5" t="s">
        <v>24</v>
      </c>
      <c r="AK274" s="5" t="s">
        <v>24</v>
      </c>
      <c r="AL274" s="5" t="str">
        <f>VLOOKUP(mambo!$H274,Sheet1!B:C,2,FALSE)</f>
        <v>#N/A</v>
      </c>
    </row>
    <row r="275" ht="15.75" hidden="1" customHeight="1">
      <c r="A275" s="5" t="s">
        <v>3669</v>
      </c>
      <c r="B275" s="5" t="s">
        <v>3670</v>
      </c>
      <c r="C275" s="5" t="s">
        <v>3302</v>
      </c>
      <c r="D275" s="5" t="s">
        <v>24</v>
      </c>
      <c r="E275" s="5" t="s">
        <v>1848</v>
      </c>
      <c r="F275" s="5" t="s">
        <v>1849</v>
      </c>
      <c r="G275" s="5" t="s">
        <v>24</v>
      </c>
      <c r="H275" s="5" t="s">
        <v>3671</v>
      </c>
      <c r="I275" s="5" t="s">
        <v>24</v>
      </c>
      <c r="J275" s="5" t="s">
        <v>24</v>
      </c>
      <c r="K275" s="5" t="s">
        <v>24</v>
      </c>
      <c r="L275" s="5" t="s">
        <v>24</v>
      </c>
      <c r="M275" s="5" t="s">
        <v>24</v>
      </c>
      <c r="N275" s="5" t="s">
        <v>24</v>
      </c>
      <c r="O275" s="5" t="s">
        <v>1933</v>
      </c>
      <c r="P275" s="5" t="s">
        <v>24</v>
      </c>
      <c r="Q275" s="5" t="s">
        <v>24</v>
      </c>
      <c r="R275" s="5" t="s">
        <v>24</v>
      </c>
      <c r="S275" s="5" t="s">
        <v>1852</v>
      </c>
      <c r="T275" s="5" t="s">
        <v>3089</v>
      </c>
      <c r="U275" s="5" t="s">
        <v>3089</v>
      </c>
      <c r="V275" s="5" t="s">
        <v>1854</v>
      </c>
      <c r="W275" s="5" t="s">
        <v>24</v>
      </c>
      <c r="X275" s="5" t="s">
        <v>24</v>
      </c>
      <c r="Y275" s="5" t="s">
        <v>3672</v>
      </c>
      <c r="Z275" s="5" t="s">
        <v>3673</v>
      </c>
      <c r="AA275" s="5" t="s">
        <v>3673</v>
      </c>
      <c r="AB275" s="5" t="s">
        <v>3673</v>
      </c>
      <c r="AC275" s="5" t="s">
        <v>24</v>
      </c>
      <c r="AD275" s="5" t="s">
        <v>24</v>
      </c>
      <c r="AE275" s="5" t="s">
        <v>24</v>
      </c>
      <c r="AF275" s="5" t="s">
        <v>24</v>
      </c>
      <c r="AG275" s="5" t="s">
        <v>24</v>
      </c>
      <c r="AH275" s="5" t="s">
        <v>24</v>
      </c>
      <c r="AI275" s="5" t="s">
        <v>24</v>
      </c>
      <c r="AJ275" s="5" t="s">
        <v>24</v>
      </c>
      <c r="AK275" s="5" t="s">
        <v>24</v>
      </c>
      <c r="AL275" s="5" t="str">
        <f>VLOOKUP(mambo!$H275,Sheet1!B:C,2,FALSE)</f>
        <v>#N/A</v>
      </c>
    </row>
    <row r="276" ht="15.75" customHeight="1">
      <c r="A276" s="5" t="s">
        <v>3674</v>
      </c>
      <c r="B276" s="5" t="s">
        <v>3675</v>
      </c>
      <c r="C276" s="5" t="s">
        <v>503</v>
      </c>
      <c r="D276" s="5" t="s">
        <v>24</v>
      </c>
      <c r="E276" s="5" t="s">
        <v>1848</v>
      </c>
      <c r="F276" s="5" t="s">
        <v>1849</v>
      </c>
      <c r="G276" s="5" t="s">
        <v>24</v>
      </c>
      <c r="H276" s="5" t="s">
        <v>504</v>
      </c>
      <c r="I276" s="5" t="s">
        <v>24</v>
      </c>
      <c r="J276" s="5" t="s">
        <v>24</v>
      </c>
      <c r="K276" s="5" t="s">
        <v>24</v>
      </c>
      <c r="L276" s="5" t="s">
        <v>24</v>
      </c>
      <c r="M276" s="5" t="s">
        <v>24</v>
      </c>
      <c r="N276" s="5" t="s">
        <v>24</v>
      </c>
      <c r="O276" s="5" t="s">
        <v>3136</v>
      </c>
      <c r="P276" s="5" t="s">
        <v>24</v>
      </c>
      <c r="Q276" s="5" t="s">
        <v>24</v>
      </c>
      <c r="R276" s="5" t="s">
        <v>24</v>
      </c>
      <c r="S276" s="5" t="s">
        <v>1852</v>
      </c>
      <c r="T276" s="5" t="s">
        <v>3628</v>
      </c>
      <c r="U276" s="5" t="s">
        <v>3628</v>
      </c>
      <c r="V276" s="5" t="s">
        <v>1854</v>
      </c>
      <c r="W276" s="5" t="s">
        <v>24</v>
      </c>
      <c r="X276" s="5" t="s">
        <v>24</v>
      </c>
      <c r="Y276" s="5" t="s">
        <v>3676</v>
      </c>
      <c r="Z276" s="5" t="s">
        <v>3677</v>
      </c>
      <c r="AA276" s="5" t="s">
        <v>3677</v>
      </c>
      <c r="AB276" s="5" t="s">
        <v>3677</v>
      </c>
      <c r="AC276" s="5" t="s">
        <v>3678</v>
      </c>
      <c r="AD276" s="5" t="s">
        <v>24</v>
      </c>
      <c r="AE276" s="5" t="s">
        <v>24</v>
      </c>
      <c r="AF276" s="5" t="s">
        <v>24</v>
      </c>
      <c r="AG276" s="5" t="s">
        <v>24</v>
      </c>
      <c r="AH276" s="5" t="s">
        <v>24</v>
      </c>
      <c r="AI276" s="5" t="s">
        <v>24</v>
      </c>
      <c r="AJ276" s="5" t="s">
        <v>24</v>
      </c>
      <c r="AK276" s="5" t="s">
        <v>24</v>
      </c>
      <c r="AL276" s="5" t="str">
        <f>VLOOKUP(mambo!$H276,Sheet1!B:C,2,FALSE)</f>
        <v>1371760</v>
      </c>
    </row>
    <row r="277" ht="15.75" hidden="1" customHeight="1">
      <c r="A277" s="5" t="s">
        <v>3679</v>
      </c>
      <c r="B277" s="5" t="s">
        <v>3680</v>
      </c>
      <c r="C277" s="5" t="s">
        <v>503</v>
      </c>
      <c r="D277" s="5" t="s">
        <v>24</v>
      </c>
      <c r="E277" s="5" t="s">
        <v>1848</v>
      </c>
      <c r="F277" s="5" t="s">
        <v>1849</v>
      </c>
      <c r="G277" s="5" t="s">
        <v>24</v>
      </c>
      <c r="H277" s="5" t="s">
        <v>3681</v>
      </c>
      <c r="I277" s="5" t="s">
        <v>24</v>
      </c>
      <c r="J277" s="5" t="s">
        <v>24</v>
      </c>
      <c r="K277" s="5" t="s">
        <v>24</v>
      </c>
      <c r="L277" s="5" t="s">
        <v>24</v>
      </c>
      <c r="M277" s="5" t="s">
        <v>1885</v>
      </c>
      <c r="N277" s="5" t="s">
        <v>24</v>
      </c>
      <c r="O277" s="5" t="s">
        <v>3552</v>
      </c>
      <c r="P277" s="5" t="s">
        <v>24</v>
      </c>
      <c r="Q277" s="5" t="s">
        <v>24</v>
      </c>
      <c r="R277" s="5" t="s">
        <v>24</v>
      </c>
      <c r="S277" s="5" t="s">
        <v>1852</v>
      </c>
      <c r="T277" s="5" t="s">
        <v>3384</v>
      </c>
      <c r="U277" s="5" t="s">
        <v>3384</v>
      </c>
      <c r="V277" s="5" t="s">
        <v>1854</v>
      </c>
      <c r="W277" s="5" t="s">
        <v>24</v>
      </c>
      <c r="X277" s="5" t="s">
        <v>24</v>
      </c>
      <c r="Y277" s="5" t="s">
        <v>3682</v>
      </c>
      <c r="Z277" s="5" t="s">
        <v>3683</v>
      </c>
      <c r="AA277" s="5" t="s">
        <v>3683</v>
      </c>
      <c r="AB277" s="5" t="s">
        <v>3683</v>
      </c>
      <c r="AC277" s="5" t="s">
        <v>3684</v>
      </c>
      <c r="AD277" s="5" t="s">
        <v>3685</v>
      </c>
      <c r="AE277" s="5" t="s">
        <v>3686</v>
      </c>
      <c r="AF277" s="5" t="s">
        <v>3687</v>
      </c>
      <c r="AG277" s="5" t="s">
        <v>24</v>
      </c>
      <c r="AH277" s="5" t="s">
        <v>24</v>
      </c>
      <c r="AI277" s="5" t="s">
        <v>24</v>
      </c>
      <c r="AJ277" s="5" t="s">
        <v>24</v>
      </c>
      <c r="AK277" s="5" t="s">
        <v>24</v>
      </c>
      <c r="AL277" s="5" t="str">
        <f>VLOOKUP(mambo!$H277,Sheet1!B:C,2,FALSE)</f>
        <v>#N/A</v>
      </c>
    </row>
    <row r="278" ht="15.75" hidden="1" customHeight="1">
      <c r="A278" s="5" t="s">
        <v>3688</v>
      </c>
      <c r="B278" s="5" t="s">
        <v>3689</v>
      </c>
      <c r="C278" s="5" t="s">
        <v>106</v>
      </c>
      <c r="D278" s="5" t="s">
        <v>24</v>
      </c>
      <c r="E278" s="5" t="s">
        <v>1848</v>
      </c>
      <c r="F278" s="5" t="s">
        <v>1849</v>
      </c>
      <c r="G278" s="5" t="s">
        <v>24</v>
      </c>
      <c r="H278" s="5" t="s">
        <v>3690</v>
      </c>
      <c r="I278" s="5" t="s">
        <v>24</v>
      </c>
      <c r="J278" s="5" t="s">
        <v>24</v>
      </c>
      <c r="K278" s="5" t="s">
        <v>24</v>
      </c>
      <c r="L278" s="5" t="s">
        <v>24</v>
      </c>
      <c r="M278" s="5" t="s">
        <v>24</v>
      </c>
      <c r="N278" s="5" t="s">
        <v>24</v>
      </c>
      <c r="O278" s="5" t="s">
        <v>1851</v>
      </c>
      <c r="P278" s="5" t="s">
        <v>24</v>
      </c>
      <c r="Q278" s="5" t="s">
        <v>24</v>
      </c>
      <c r="R278" s="5" t="s">
        <v>24</v>
      </c>
      <c r="S278" s="5" t="s">
        <v>1852</v>
      </c>
      <c r="T278" s="5" t="s">
        <v>3691</v>
      </c>
      <c r="U278" s="5" t="s">
        <v>3691</v>
      </c>
      <c r="V278" s="5" t="s">
        <v>1854</v>
      </c>
      <c r="W278" s="5" t="s">
        <v>24</v>
      </c>
      <c r="X278" s="5" t="s">
        <v>24</v>
      </c>
      <c r="Y278" s="5" t="s">
        <v>3692</v>
      </c>
      <c r="Z278" s="5" t="s">
        <v>3693</v>
      </c>
      <c r="AA278" s="5" t="s">
        <v>3693</v>
      </c>
      <c r="AB278" s="5" t="s">
        <v>3693</v>
      </c>
      <c r="AC278" s="5" t="s">
        <v>24</v>
      </c>
      <c r="AD278" s="5" t="s">
        <v>24</v>
      </c>
      <c r="AE278" s="5" t="s">
        <v>24</v>
      </c>
      <c r="AF278" s="5" t="s">
        <v>24</v>
      </c>
      <c r="AG278" s="5" t="s">
        <v>24</v>
      </c>
      <c r="AH278" s="5" t="s">
        <v>24</v>
      </c>
      <c r="AI278" s="5" t="s">
        <v>24</v>
      </c>
      <c r="AJ278" s="5" t="s">
        <v>24</v>
      </c>
      <c r="AK278" s="5" t="s">
        <v>24</v>
      </c>
      <c r="AL278" s="5" t="str">
        <f>VLOOKUP(mambo!$H278,Sheet1!B:C,2,FALSE)</f>
        <v>#N/A</v>
      </c>
    </row>
    <row r="279" ht="15.75" hidden="1" customHeight="1">
      <c r="A279" s="5" t="s">
        <v>3694</v>
      </c>
      <c r="B279" s="5" t="s">
        <v>3695</v>
      </c>
      <c r="C279" s="5" t="s">
        <v>227</v>
      </c>
      <c r="D279" s="5" t="s">
        <v>24</v>
      </c>
      <c r="E279" s="5" t="s">
        <v>1848</v>
      </c>
      <c r="F279" s="5" t="s">
        <v>1849</v>
      </c>
      <c r="G279" s="5" t="s">
        <v>24</v>
      </c>
      <c r="H279" s="5" t="s">
        <v>3696</v>
      </c>
      <c r="I279" s="5" t="s">
        <v>24</v>
      </c>
      <c r="J279" s="5" t="s">
        <v>24</v>
      </c>
      <c r="K279" s="5" t="s">
        <v>24</v>
      </c>
      <c r="L279" s="5" t="s">
        <v>24</v>
      </c>
      <c r="M279" s="5" t="s">
        <v>24</v>
      </c>
      <c r="N279" s="5" t="s">
        <v>24</v>
      </c>
      <c r="O279" s="5" t="s">
        <v>1885</v>
      </c>
      <c r="P279" s="5" t="s">
        <v>24</v>
      </c>
      <c r="Q279" s="5" t="s">
        <v>24</v>
      </c>
      <c r="R279" s="5" t="s">
        <v>24</v>
      </c>
      <c r="S279" s="5" t="s">
        <v>1852</v>
      </c>
      <c r="T279" s="5" t="s">
        <v>3049</v>
      </c>
      <c r="U279" s="5" t="s">
        <v>3049</v>
      </c>
      <c r="V279" s="5" t="s">
        <v>1854</v>
      </c>
      <c r="W279" s="5" t="s">
        <v>24</v>
      </c>
      <c r="X279" s="5" t="s">
        <v>24</v>
      </c>
      <c r="Y279" s="5" t="s">
        <v>3697</v>
      </c>
      <c r="Z279" s="5" t="s">
        <v>3698</v>
      </c>
      <c r="AA279" s="5" t="s">
        <v>3698</v>
      </c>
      <c r="AB279" s="5" t="s">
        <v>3698</v>
      </c>
      <c r="AC279" s="5" t="s">
        <v>3699</v>
      </c>
      <c r="AD279" s="5" t="s">
        <v>24</v>
      </c>
      <c r="AE279" s="5" t="s">
        <v>24</v>
      </c>
      <c r="AF279" s="5" t="s">
        <v>24</v>
      </c>
      <c r="AG279" s="5" t="s">
        <v>24</v>
      </c>
      <c r="AH279" s="5" t="s">
        <v>24</v>
      </c>
      <c r="AI279" s="5" t="s">
        <v>24</v>
      </c>
      <c r="AJ279" s="5" t="s">
        <v>24</v>
      </c>
      <c r="AK279" s="5" t="s">
        <v>24</v>
      </c>
      <c r="AL279" s="5" t="str">
        <f>VLOOKUP(mambo!$H279,Sheet1!B:C,2,FALSE)</f>
        <v>#N/A</v>
      </c>
    </row>
    <row r="280" ht="15.75" hidden="1" customHeight="1">
      <c r="A280" s="5" t="s">
        <v>3700</v>
      </c>
      <c r="B280" s="5" t="s">
        <v>3701</v>
      </c>
      <c r="C280" s="5" t="s">
        <v>227</v>
      </c>
      <c r="D280" s="5" t="s">
        <v>24</v>
      </c>
      <c r="E280" s="5" t="s">
        <v>1848</v>
      </c>
      <c r="F280" s="5" t="s">
        <v>1849</v>
      </c>
      <c r="G280" s="5" t="s">
        <v>24</v>
      </c>
      <c r="H280" s="5" t="s">
        <v>3702</v>
      </c>
      <c r="I280" s="5" t="s">
        <v>24</v>
      </c>
      <c r="J280" s="5" t="s">
        <v>24</v>
      </c>
      <c r="K280" s="5" t="s">
        <v>24</v>
      </c>
      <c r="L280" s="5" t="s">
        <v>24</v>
      </c>
      <c r="M280" s="5" t="s">
        <v>1885</v>
      </c>
      <c r="N280" s="5" t="s">
        <v>24</v>
      </c>
      <c r="O280" s="5" t="s">
        <v>24</v>
      </c>
      <c r="P280" s="5" t="s">
        <v>24</v>
      </c>
      <c r="Q280" s="5" t="s">
        <v>24</v>
      </c>
      <c r="R280" s="5" t="s">
        <v>24</v>
      </c>
      <c r="S280" s="5" t="s">
        <v>1852</v>
      </c>
      <c r="T280" s="5" t="s">
        <v>1970</v>
      </c>
      <c r="U280" s="5" t="s">
        <v>1970</v>
      </c>
      <c r="V280" s="5" t="s">
        <v>1854</v>
      </c>
      <c r="W280" s="5" t="s">
        <v>24</v>
      </c>
      <c r="X280" s="5" t="s">
        <v>24</v>
      </c>
      <c r="Y280" s="5" t="s">
        <v>3703</v>
      </c>
      <c r="Z280" s="5" t="s">
        <v>3704</v>
      </c>
      <c r="AA280" s="5" t="s">
        <v>3704</v>
      </c>
      <c r="AB280" s="5" t="s">
        <v>3704</v>
      </c>
      <c r="AC280" s="5" t="s">
        <v>24</v>
      </c>
      <c r="AD280" s="5" t="s">
        <v>24</v>
      </c>
      <c r="AE280" s="5" t="s">
        <v>24</v>
      </c>
      <c r="AF280" s="5" t="s">
        <v>24</v>
      </c>
      <c r="AG280" s="5" t="s">
        <v>24</v>
      </c>
      <c r="AH280" s="5" t="s">
        <v>24</v>
      </c>
      <c r="AI280" s="5" t="s">
        <v>24</v>
      </c>
      <c r="AJ280" s="5" t="s">
        <v>24</v>
      </c>
      <c r="AK280" s="5" t="s">
        <v>24</v>
      </c>
      <c r="AL280" s="5" t="str">
        <f>VLOOKUP(mambo!$H280,Sheet1!B:C,2,FALSE)</f>
        <v>#N/A</v>
      </c>
    </row>
    <row r="281" ht="15.75" hidden="1" customHeight="1">
      <c r="A281" s="5" t="s">
        <v>3705</v>
      </c>
      <c r="B281" s="5" t="s">
        <v>3706</v>
      </c>
      <c r="C281" s="5" t="s">
        <v>227</v>
      </c>
      <c r="D281" s="5" t="s">
        <v>24</v>
      </c>
      <c r="E281" s="5" t="s">
        <v>1848</v>
      </c>
      <c r="F281" s="5" t="s">
        <v>1849</v>
      </c>
      <c r="G281" s="5" t="s">
        <v>24</v>
      </c>
      <c r="H281" s="5" t="s">
        <v>3707</v>
      </c>
      <c r="I281" s="5" t="s">
        <v>24</v>
      </c>
      <c r="J281" s="5" t="s">
        <v>24</v>
      </c>
      <c r="K281" s="5" t="s">
        <v>24</v>
      </c>
      <c r="L281" s="5" t="s">
        <v>24</v>
      </c>
      <c r="M281" s="5" t="s">
        <v>24</v>
      </c>
      <c r="N281" s="5" t="s">
        <v>24</v>
      </c>
      <c r="O281" s="5" t="s">
        <v>1894</v>
      </c>
      <c r="P281" s="5" t="s">
        <v>24</v>
      </c>
      <c r="Q281" s="5" t="s">
        <v>24</v>
      </c>
      <c r="R281" s="5" t="s">
        <v>24</v>
      </c>
      <c r="S281" s="5" t="s">
        <v>1852</v>
      </c>
      <c r="T281" s="5" t="s">
        <v>1872</v>
      </c>
      <c r="U281" s="5" t="s">
        <v>1872</v>
      </c>
      <c r="V281" s="5" t="s">
        <v>1854</v>
      </c>
      <c r="W281" s="5" t="s">
        <v>24</v>
      </c>
      <c r="X281" s="5" t="s">
        <v>24</v>
      </c>
      <c r="Y281" s="5" t="s">
        <v>3708</v>
      </c>
      <c r="Z281" s="5" t="s">
        <v>3709</v>
      </c>
      <c r="AA281" s="5" t="s">
        <v>3709</v>
      </c>
      <c r="AB281" s="5" t="s">
        <v>3709</v>
      </c>
      <c r="AC281" s="5" t="s">
        <v>24</v>
      </c>
      <c r="AD281" s="5" t="s">
        <v>24</v>
      </c>
      <c r="AE281" s="5" t="s">
        <v>24</v>
      </c>
      <c r="AF281" s="5" t="s">
        <v>24</v>
      </c>
      <c r="AG281" s="5" t="s">
        <v>24</v>
      </c>
      <c r="AH281" s="5" t="s">
        <v>24</v>
      </c>
      <c r="AI281" s="5" t="s">
        <v>24</v>
      </c>
      <c r="AJ281" s="5" t="s">
        <v>24</v>
      </c>
      <c r="AK281" s="5" t="s">
        <v>24</v>
      </c>
      <c r="AL281" s="5" t="str">
        <f>VLOOKUP(mambo!$H281,Sheet1!B:C,2,FALSE)</f>
        <v>#N/A</v>
      </c>
    </row>
    <row r="282" ht="15.75" hidden="1" customHeight="1">
      <c r="A282" s="5" t="s">
        <v>3710</v>
      </c>
      <c r="B282" s="5" t="s">
        <v>3711</v>
      </c>
      <c r="C282" s="5" t="s">
        <v>227</v>
      </c>
      <c r="D282" s="5" t="s">
        <v>24</v>
      </c>
      <c r="E282" s="5" t="s">
        <v>1848</v>
      </c>
      <c r="F282" s="5" t="s">
        <v>1849</v>
      </c>
      <c r="G282" s="5" t="s">
        <v>24</v>
      </c>
      <c r="H282" s="5" t="s">
        <v>3712</v>
      </c>
      <c r="I282" s="5" t="s">
        <v>24</v>
      </c>
      <c r="J282" s="5" t="s">
        <v>24</v>
      </c>
      <c r="K282" s="5" t="s">
        <v>24</v>
      </c>
      <c r="L282" s="5" t="s">
        <v>24</v>
      </c>
      <c r="M282" s="5" t="s">
        <v>24</v>
      </c>
      <c r="N282" s="5" t="s">
        <v>24</v>
      </c>
      <c r="O282" s="5" t="s">
        <v>3048</v>
      </c>
      <c r="P282" s="5" t="s">
        <v>24</v>
      </c>
      <c r="Q282" s="5" t="s">
        <v>24</v>
      </c>
      <c r="R282" s="5" t="s">
        <v>24</v>
      </c>
      <c r="S282" s="5" t="s">
        <v>1852</v>
      </c>
      <c r="T282" s="5" t="s">
        <v>3049</v>
      </c>
      <c r="U282" s="5" t="s">
        <v>3049</v>
      </c>
      <c r="V282" s="5" t="s">
        <v>1854</v>
      </c>
      <c r="W282" s="5" t="s">
        <v>24</v>
      </c>
      <c r="X282" s="5" t="s">
        <v>24</v>
      </c>
      <c r="Y282" s="5" t="s">
        <v>3713</v>
      </c>
      <c r="Z282" s="5" t="s">
        <v>3714</v>
      </c>
      <c r="AA282" s="5" t="s">
        <v>3714</v>
      </c>
      <c r="AB282" s="5" t="s">
        <v>3714</v>
      </c>
      <c r="AC282" s="5" t="s">
        <v>24</v>
      </c>
      <c r="AD282" s="5" t="s">
        <v>24</v>
      </c>
      <c r="AE282" s="5" t="s">
        <v>24</v>
      </c>
      <c r="AF282" s="5" t="s">
        <v>24</v>
      </c>
      <c r="AG282" s="5" t="s">
        <v>24</v>
      </c>
      <c r="AH282" s="5" t="s">
        <v>24</v>
      </c>
      <c r="AI282" s="5" t="s">
        <v>24</v>
      </c>
      <c r="AJ282" s="5" t="s">
        <v>24</v>
      </c>
      <c r="AK282" s="5" t="s">
        <v>24</v>
      </c>
      <c r="AL282" s="5" t="str">
        <f>VLOOKUP(mambo!$H282,Sheet1!B:C,2,FALSE)</f>
        <v>#N/A</v>
      </c>
    </row>
    <row r="283" ht="15.75" hidden="1" customHeight="1">
      <c r="A283" s="5" t="s">
        <v>3715</v>
      </c>
      <c r="B283" s="5" t="s">
        <v>3716</v>
      </c>
      <c r="C283" s="5" t="s">
        <v>227</v>
      </c>
      <c r="D283" s="5" t="s">
        <v>24</v>
      </c>
      <c r="E283" s="5" t="s">
        <v>1848</v>
      </c>
      <c r="F283" s="5" t="s">
        <v>1849</v>
      </c>
      <c r="G283" s="5" t="s">
        <v>24</v>
      </c>
      <c r="H283" s="5" t="s">
        <v>3717</v>
      </c>
      <c r="I283" s="5" t="s">
        <v>24</v>
      </c>
      <c r="J283" s="5" t="s">
        <v>24</v>
      </c>
      <c r="K283" s="5" t="s">
        <v>24</v>
      </c>
      <c r="L283" s="5" t="s">
        <v>24</v>
      </c>
      <c r="M283" s="5" t="s">
        <v>24</v>
      </c>
      <c r="N283" s="5" t="s">
        <v>24</v>
      </c>
      <c r="O283" s="5" t="s">
        <v>3048</v>
      </c>
      <c r="P283" s="5" t="s">
        <v>24</v>
      </c>
      <c r="Q283" s="5" t="s">
        <v>24</v>
      </c>
      <c r="R283" s="5" t="s">
        <v>24</v>
      </c>
      <c r="S283" s="5" t="s">
        <v>1852</v>
      </c>
      <c r="T283" s="5" t="s">
        <v>3049</v>
      </c>
      <c r="U283" s="5" t="s">
        <v>3049</v>
      </c>
      <c r="V283" s="5" t="s">
        <v>1854</v>
      </c>
      <c r="W283" s="5" t="s">
        <v>24</v>
      </c>
      <c r="X283" s="5" t="s">
        <v>24</v>
      </c>
      <c r="Y283" s="5" t="s">
        <v>3718</v>
      </c>
      <c r="Z283" s="5" t="s">
        <v>3719</v>
      </c>
      <c r="AA283" s="5" t="s">
        <v>3719</v>
      </c>
      <c r="AB283" s="5" t="s">
        <v>3719</v>
      </c>
      <c r="AC283" s="5" t="s">
        <v>24</v>
      </c>
      <c r="AD283" s="5" t="s">
        <v>24</v>
      </c>
      <c r="AE283" s="5" t="s">
        <v>24</v>
      </c>
      <c r="AF283" s="5" t="s">
        <v>24</v>
      </c>
      <c r="AG283" s="5" t="s">
        <v>24</v>
      </c>
      <c r="AH283" s="5" t="s">
        <v>24</v>
      </c>
      <c r="AI283" s="5" t="s">
        <v>24</v>
      </c>
      <c r="AJ283" s="5" t="s">
        <v>24</v>
      </c>
      <c r="AK283" s="5" t="s">
        <v>24</v>
      </c>
      <c r="AL283" s="5" t="str">
        <f>VLOOKUP(mambo!$H283,Sheet1!B:C,2,FALSE)</f>
        <v>#N/A</v>
      </c>
    </row>
    <row r="284" ht="15.75" hidden="1" customHeight="1">
      <c r="A284" s="5" t="s">
        <v>3720</v>
      </c>
      <c r="B284" s="5" t="s">
        <v>3721</v>
      </c>
      <c r="C284" s="5" t="s">
        <v>227</v>
      </c>
      <c r="D284" s="5" t="s">
        <v>24</v>
      </c>
      <c r="E284" s="5" t="s">
        <v>1848</v>
      </c>
      <c r="F284" s="5" t="s">
        <v>1849</v>
      </c>
      <c r="G284" s="5" t="s">
        <v>24</v>
      </c>
      <c r="H284" s="5" t="s">
        <v>3722</v>
      </c>
      <c r="I284" s="5" t="s">
        <v>24</v>
      </c>
      <c r="J284" s="5" t="s">
        <v>24</v>
      </c>
      <c r="K284" s="5" t="s">
        <v>24</v>
      </c>
      <c r="L284" s="5" t="s">
        <v>24</v>
      </c>
      <c r="M284" s="5" t="s">
        <v>24</v>
      </c>
      <c r="N284" s="5" t="s">
        <v>24</v>
      </c>
      <c r="O284" s="5" t="s">
        <v>3048</v>
      </c>
      <c r="P284" s="5" t="s">
        <v>24</v>
      </c>
      <c r="Q284" s="5" t="s">
        <v>24</v>
      </c>
      <c r="R284" s="5" t="s">
        <v>24</v>
      </c>
      <c r="S284" s="5" t="s">
        <v>1852</v>
      </c>
      <c r="T284" s="5" t="s">
        <v>3723</v>
      </c>
      <c r="U284" s="5" t="s">
        <v>3723</v>
      </c>
      <c r="V284" s="5" t="s">
        <v>1854</v>
      </c>
      <c r="W284" s="5" t="s">
        <v>24</v>
      </c>
      <c r="X284" s="5" t="s">
        <v>24</v>
      </c>
      <c r="Y284" s="5" t="s">
        <v>3724</v>
      </c>
      <c r="Z284" s="5" t="s">
        <v>3725</v>
      </c>
      <c r="AA284" s="5" t="s">
        <v>3725</v>
      </c>
      <c r="AB284" s="5" t="s">
        <v>3725</v>
      </c>
      <c r="AC284" s="5" t="s">
        <v>3726</v>
      </c>
      <c r="AD284" s="5" t="s">
        <v>3727</v>
      </c>
      <c r="AE284" s="5" t="s">
        <v>3728</v>
      </c>
      <c r="AF284" s="5" t="s">
        <v>24</v>
      </c>
      <c r="AG284" s="5" t="s">
        <v>24</v>
      </c>
      <c r="AH284" s="5" t="s">
        <v>24</v>
      </c>
      <c r="AI284" s="5" t="s">
        <v>24</v>
      </c>
      <c r="AJ284" s="5" t="s">
        <v>24</v>
      </c>
      <c r="AK284" s="5" t="s">
        <v>24</v>
      </c>
      <c r="AL284" s="5" t="str">
        <f>VLOOKUP(mambo!$H284,Sheet1!B:C,2,FALSE)</f>
        <v>#N/A</v>
      </c>
    </row>
    <row r="285" ht="15.75" hidden="1" customHeight="1">
      <c r="A285" s="5" t="s">
        <v>3729</v>
      </c>
      <c r="B285" s="5" t="s">
        <v>3730</v>
      </c>
      <c r="C285" s="5" t="s">
        <v>227</v>
      </c>
      <c r="D285" s="5" t="s">
        <v>24</v>
      </c>
      <c r="E285" s="5" t="s">
        <v>1848</v>
      </c>
      <c r="F285" s="5" t="s">
        <v>1849</v>
      </c>
      <c r="G285" s="5" t="s">
        <v>24</v>
      </c>
      <c r="H285" s="5" t="s">
        <v>3731</v>
      </c>
      <c r="I285" s="5" t="s">
        <v>24</v>
      </c>
      <c r="J285" s="5" t="s">
        <v>24</v>
      </c>
      <c r="K285" s="5" t="s">
        <v>24</v>
      </c>
      <c r="L285" s="5" t="s">
        <v>24</v>
      </c>
      <c r="M285" s="5" t="s">
        <v>24</v>
      </c>
      <c r="N285" s="5" t="s">
        <v>24</v>
      </c>
      <c r="O285" s="5" t="s">
        <v>3048</v>
      </c>
      <c r="P285" s="5" t="s">
        <v>24</v>
      </c>
      <c r="Q285" s="5" t="s">
        <v>24</v>
      </c>
      <c r="R285" s="5" t="s">
        <v>24</v>
      </c>
      <c r="S285" s="5" t="s">
        <v>1852</v>
      </c>
      <c r="T285" s="5" t="s">
        <v>3723</v>
      </c>
      <c r="U285" s="5" t="s">
        <v>3723</v>
      </c>
      <c r="V285" s="5" t="s">
        <v>1854</v>
      </c>
      <c r="W285" s="5" t="s">
        <v>24</v>
      </c>
      <c r="X285" s="5" t="s">
        <v>24</v>
      </c>
      <c r="Y285" s="5" t="s">
        <v>3732</v>
      </c>
      <c r="Z285" s="5" t="s">
        <v>3733</v>
      </c>
      <c r="AA285" s="5" t="s">
        <v>3733</v>
      </c>
      <c r="AB285" s="5" t="s">
        <v>3733</v>
      </c>
      <c r="AC285" s="5" t="s">
        <v>24</v>
      </c>
      <c r="AD285" s="5" t="s">
        <v>24</v>
      </c>
      <c r="AE285" s="5" t="s">
        <v>24</v>
      </c>
      <c r="AF285" s="5" t="s">
        <v>24</v>
      </c>
      <c r="AG285" s="5" t="s">
        <v>24</v>
      </c>
      <c r="AH285" s="5" t="s">
        <v>24</v>
      </c>
      <c r="AI285" s="5" t="s">
        <v>24</v>
      </c>
      <c r="AJ285" s="5" t="s">
        <v>24</v>
      </c>
      <c r="AK285" s="5" t="s">
        <v>24</v>
      </c>
      <c r="AL285" s="5" t="str">
        <f>VLOOKUP(mambo!$H285,Sheet1!B:C,2,FALSE)</f>
        <v>#N/A</v>
      </c>
    </row>
    <row r="286" ht="15.75" customHeight="1">
      <c r="A286" s="5" t="s">
        <v>3734</v>
      </c>
      <c r="B286" s="5" t="s">
        <v>3735</v>
      </c>
      <c r="C286" s="5" t="s">
        <v>106</v>
      </c>
      <c r="D286" s="5" t="s">
        <v>24</v>
      </c>
      <c r="E286" s="5" t="s">
        <v>1848</v>
      </c>
      <c r="F286" s="5" t="s">
        <v>1849</v>
      </c>
      <c r="G286" s="5" t="s">
        <v>24</v>
      </c>
      <c r="H286" s="5" t="s">
        <v>799</v>
      </c>
      <c r="I286" s="5" t="s">
        <v>24</v>
      </c>
      <c r="J286" s="5" t="s">
        <v>24</v>
      </c>
      <c r="K286" s="5" t="s">
        <v>24</v>
      </c>
      <c r="L286" s="5" t="s">
        <v>24</v>
      </c>
      <c r="M286" s="5" t="s">
        <v>1885</v>
      </c>
      <c r="N286" s="5" t="s">
        <v>24</v>
      </c>
      <c r="O286" s="5" t="s">
        <v>2085</v>
      </c>
      <c r="P286" s="5" t="s">
        <v>24</v>
      </c>
      <c r="Q286" s="5" t="s">
        <v>24</v>
      </c>
      <c r="R286" s="5" t="s">
        <v>24</v>
      </c>
      <c r="S286" s="5" t="s">
        <v>1852</v>
      </c>
      <c r="T286" s="5" t="s">
        <v>2086</v>
      </c>
      <c r="U286" s="5" t="s">
        <v>2086</v>
      </c>
      <c r="V286" s="5" t="s">
        <v>1854</v>
      </c>
      <c r="W286" s="5" t="s">
        <v>24</v>
      </c>
      <c r="X286" s="5" t="s">
        <v>24</v>
      </c>
      <c r="Y286" s="5" t="s">
        <v>3736</v>
      </c>
      <c r="Z286" s="5" t="s">
        <v>3737</v>
      </c>
      <c r="AA286" s="5" t="s">
        <v>3737</v>
      </c>
      <c r="AB286" s="5" t="s">
        <v>3737</v>
      </c>
      <c r="AC286" s="5" t="s">
        <v>24</v>
      </c>
      <c r="AD286" s="5" t="s">
        <v>24</v>
      </c>
      <c r="AE286" s="5" t="s">
        <v>24</v>
      </c>
      <c r="AF286" s="5" t="s">
        <v>24</v>
      </c>
      <c r="AG286" s="5" t="s">
        <v>24</v>
      </c>
      <c r="AH286" s="5" t="s">
        <v>24</v>
      </c>
      <c r="AI286" s="5" t="s">
        <v>24</v>
      </c>
      <c r="AJ286" s="5" t="s">
        <v>24</v>
      </c>
      <c r="AK286" s="5" t="s">
        <v>24</v>
      </c>
      <c r="AL286" s="5" t="str">
        <f>VLOOKUP(mambo!$H286,Sheet1!B:C,2,FALSE)</f>
        <v>1370086</v>
      </c>
    </row>
    <row r="287" ht="15.75" hidden="1" customHeight="1">
      <c r="A287" s="5" t="s">
        <v>3738</v>
      </c>
      <c r="B287" s="5" t="s">
        <v>3739</v>
      </c>
      <c r="C287" s="5" t="s">
        <v>2126</v>
      </c>
      <c r="D287" s="5" t="s">
        <v>24</v>
      </c>
      <c r="E287" s="5" t="s">
        <v>1848</v>
      </c>
      <c r="F287" s="5" t="s">
        <v>1849</v>
      </c>
      <c r="G287" s="5" t="s">
        <v>24</v>
      </c>
      <c r="H287" s="5" t="s">
        <v>3740</v>
      </c>
      <c r="I287" s="5" t="s">
        <v>24</v>
      </c>
      <c r="J287" s="5" t="s">
        <v>24</v>
      </c>
      <c r="K287" s="5" t="s">
        <v>24</v>
      </c>
      <c r="L287" s="5" t="s">
        <v>24</v>
      </c>
      <c r="M287" s="5" t="s">
        <v>24</v>
      </c>
      <c r="N287" s="5" t="s">
        <v>24</v>
      </c>
      <c r="O287" s="5" t="s">
        <v>3654</v>
      </c>
      <c r="P287" s="5" t="s">
        <v>24</v>
      </c>
      <c r="Q287" s="5" t="s">
        <v>24</v>
      </c>
      <c r="R287" s="5" t="s">
        <v>24</v>
      </c>
      <c r="S287" s="5" t="s">
        <v>1852</v>
      </c>
      <c r="T287" s="5" t="s">
        <v>1887</v>
      </c>
      <c r="U287" s="5" t="s">
        <v>1887</v>
      </c>
      <c r="V287" s="5" t="s">
        <v>1854</v>
      </c>
      <c r="W287" s="5" t="s">
        <v>24</v>
      </c>
      <c r="X287" s="5" t="s">
        <v>24</v>
      </c>
      <c r="Y287" s="5" t="s">
        <v>3741</v>
      </c>
      <c r="Z287" s="5" t="s">
        <v>3742</v>
      </c>
      <c r="AA287" s="5" t="s">
        <v>3742</v>
      </c>
      <c r="AB287" s="5" t="s">
        <v>3742</v>
      </c>
      <c r="AC287" s="5" t="s">
        <v>24</v>
      </c>
      <c r="AD287" s="5" t="s">
        <v>24</v>
      </c>
      <c r="AE287" s="5" t="s">
        <v>24</v>
      </c>
      <c r="AF287" s="5" t="s">
        <v>24</v>
      </c>
      <c r="AG287" s="5" t="s">
        <v>24</v>
      </c>
      <c r="AH287" s="5" t="s">
        <v>24</v>
      </c>
      <c r="AI287" s="5" t="s">
        <v>24</v>
      </c>
      <c r="AJ287" s="5" t="s">
        <v>24</v>
      </c>
      <c r="AK287" s="5" t="s">
        <v>24</v>
      </c>
      <c r="AL287" s="5" t="str">
        <f>VLOOKUP(mambo!$H287,Sheet1!B:C,2,FALSE)</f>
        <v>#N/A</v>
      </c>
    </row>
    <row r="288" ht="15.75" customHeight="1">
      <c r="A288" s="5" t="s">
        <v>3743</v>
      </c>
      <c r="B288" s="5" t="s">
        <v>3744</v>
      </c>
      <c r="C288" s="5" t="s">
        <v>106</v>
      </c>
      <c r="D288" s="5" t="s">
        <v>24</v>
      </c>
      <c r="E288" s="5" t="s">
        <v>1848</v>
      </c>
      <c r="F288" s="5" t="s">
        <v>1849</v>
      </c>
      <c r="G288" s="5" t="s">
        <v>24</v>
      </c>
      <c r="H288" s="5" t="s">
        <v>1123</v>
      </c>
      <c r="I288" s="5" t="s">
        <v>24</v>
      </c>
      <c r="J288" s="5" t="s">
        <v>24</v>
      </c>
      <c r="K288" s="5" t="s">
        <v>24</v>
      </c>
      <c r="L288" s="5" t="s">
        <v>24</v>
      </c>
      <c r="M288" s="5" t="s">
        <v>24</v>
      </c>
      <c r="N288" s="5" t="s">
        <v>24</v>
      </c>
      <c r="O288" s="5" t="s">
        <v>3745</v>
      </c>
      <c r="P288" s="5" t="s">
        <v>24</v>
      </c>
      <c r="Q288" s="5" t="s">
        <v>24</v>
      </c>
      <c r="R288" s="5" t="s">
        <v>24</v>
      </c>
      <c r="S288" s="5" t="s">
        <v>1852</v>
      </c>
      <c r="T288" s="5" t="s">
        <v>2127</v>
      </c>
      <c r="U288" s="5" t="s">
        <v>2127</v>
      </c>
      <c r="V288" s="5" t="s">
        <v>1854</v>
      </c>
      <c r="W288" s="5" t="s">
        <v>24</v>
      </c>
      <c r="X288" s="5" t="s">
        <v>24</v>
      </c>
      <c r="Y288" s="5" t="s">
        <v>3746</v>
      </c>
      <c r="Z288" s="5" t="s">
        <v>3747</v>
      </c>
      <c r="AA288" s="5" t="s">
        <v>3747</v>
      </c>
      <c r="AB288" s="5" t="s">
        <v>3747</v>
      </c>
      <c r="AC288" s="5" t="s">
        <v>24</v>
      </c>
      <c r="AD288" s="5" t="s">
        <v>24</v>
      </c>
      <c r="AE288" s="5" t="s">
        <v>24</v>
      </c>
      <c r="AF288" s="5" t="s">
        <v>24</v>
      </c>
      <c r="AG288" s="5" t="s">
        <v>24</v>
      </c>
      <c r="AH288" s="5" t="s">
        <v>24</v>
      </c>
      <c r="AI288" s="5" t="s">
        <v>24</v>
      </c>
      <c r="AJ288" s="5" t="s">
        <v>24</v>
      </c>
      <c r="AK288" s="5" t="s">
        <v>24</v>
      </c>
      <c r="AL288" s="5" t="str">
        <f>VLOOKUP(mambo!$H288,Sheet1!B:C,2,FALSE)</f>
        <v>1363096</v>
      </c>
    </row>
    <row r="289" ht="15.75" customHeight="1">
      <c r="A289" s="5" t="s">
        <v>3748</v>
      </c>
      <c r="B289" s="5" t="s">
        <v>3749</v>
      </c>
      <c r="C289" s="5" t="s">
        <v>2126</v>
      </c>
      <c r="D289" s="5" t="s">
        <v>24</v>
      </c>
      <c r="E289" s="5" t="s">
        <v>1848</v>
      </c>
      <c r="F289" s="5" t="s">
        <v>1849</v>
      </c>
      <c r="G289" s="5" t="s">
        <v>24</v>
      </c>
      <c r="H289" s="5" t="s">
        <v>636</v>
      </c>
      <c r="I289" s="5" t="s">
        <v>24</v>
      </c>
      <c r="J289" s="5" t="s">
        <v>24</v>
      </c>
      <c r="K289" s="5" t="s">
        <v>24</v>
      </c>
      <c r="L289" s="5" t="s">
        <v>24</v>
      </c>
      <c r="M289" s="5" t="s">
        <v>24</v>
      </c>
      <c r="N289" s="5" t="s">
        <v>24</v>
      </c>
      <c r="O289" s="5" t="s">
        <v>3654</v>
      </c>
      <c r="P289" s="5" t="s">
        <v>24</v>
      </c>
      <c r="Q289" s="5" t="s">
        <v>24</v>
      </c>
      <c r="R289" s="5" t="s">
        <v>24</v>
      </c>
      <c r="S289" s="5" t="s">
        <v>1852</v>
      </c>
      <c r="T289" s="5" t="s">
        <v>1887</v>
      </c>
      <c r="U289" s="5" t="s">
        <v>1887</v>
      </c>
      <c r="V289" s="5" t="s">
        <v>1854</v>
      </c>
      <c r="W289" s="5" t="s">
        <v>24</v>
      </c>
      <c r="X289" s="5" t="s">
        <v>24</v>
      </c>
      <c r="Y289" s="5" t="s">
        <v>3750</v>
      </c>
      <c r="Z289" s="5" t="s">
        <v>3751</v>
      </c>
      <c r="AA289" s="5" t="s">
        <v>3751</v>
      </c>
      <c r="AB289" s="5" t="s">
        <v>3751</v>
      </c>
      <c r="AC289" s="5" t="s">
        <v>24</v>
      </c>
      <c r="AD289" s="5" t="s">
        <v>24</v>
      </c>
      <c r="AE289" s="5" t="s">
        <v>24</v>
      </c>
      <c r="AF289" s="5" t="s">
        <v>24</v>
      </c>
      <c r="AG289" s="5" t="s">
        <v>24</v>
      </c>
      <c r="AH289" s="5" t="s">
        <v>24</v>
      </c>
      <c r="AI289" s="5" t="s">
        <v>24</v>
      </c>
      <c r="AJ289" s="5" t="s">
        <v>24</v>
      </c>
      <c r="AK289" s="5" t="s">
        <v>24</v>
      </c>
      <c r="AL289" s="5" t="str">
        <f>VLOOKUP(mambo!$H289,Sheet1!B:C,2,FALSE)</f>
        <v>1363093</v>
      </c>
    </row>
    <row r="290" ht="15.75" hidden="1" customHeight="1">
      <c r="A290" s="5" t="s">
        <v>3752</v>
      </c>
      <c r="B290" s="5" t="s">
        <v>3753</v>
      </c>
      <c r="C290" s="5" t="s">
        <v>2126</v>
      </c>
      <c r="D290" s="5" t="s">
        <v>24</v>
      </c>
      <c r="E290" s="5" t="s">
        <v>1848</v>
      </c>
      <c r="F290" s="5" t="s">
        <v>1849</v>
      </c>
      <c r="G290" s="5" t="s">
        <v>24</v>
      </c>
      <c r="H290" s="5" t="s">
        <v>3754</v>
      </c>
      <c r="I290" s="5" t="s">
        <v>24</v>
      </c>
      <c r="J290" s="5" t="s">
        <v>24</v>
      </c>
      <c r="K290" s="5" t="s">
        <v>24</v>
      </c>
      <c r="L290" s="5" t="s">
        <v>24</v>
      </c>
      <c r="M290" s="5" t="s">
        <v>24</v>
      </c>
      <c r="N290" s="5" t="s">
        <v>24</v>
      </c>
      <c r="O290" s="5" t="s">
        <v>3654</v>
      </c>
      <c r="P290" s="5" t="s">
        <v>24</v>
      </c>
      <c r="Q290" s="5" t="s">
        <v>24</v>
      </c>
      <c r="R290" s="5" t="s">
        <v>24</v>
      </c>
      <c r="S290" s="5" t="s">
        <v>1852</v>
      </c>
      <c r="T290" s="5" t="s">
        <v>3655</v>
      </c>
      <c r="U290" s="5" t="s">
        <v>3655</v>
      </c>
      <c r="V290" s="5" t="s">
        <v>1854</v>
      </c>
      <c r="W290" s="5" t="s">
        <v>24</v>
      </c>
      <c r="X290" s="5" t="s">
        <v>24</v>
      </c>
      <c r="Y290" s="5" t="s">
        <v>3755</v>
      </c>
      <c r="Z290" s="5" t="s">
        <v>3756</v>
      </c>
      <c r="AA290" s="5" t="s">
        <v>3756</v>
      </c>
      <c r="AB290" s="5" t="s">
        <v>3756</v>
      </c>
      <c r="AC290" s="5" t="s">
        <v>24</v>
      </c>
      <c r="AD290" s="5" t="s">
        <v>24</v>
      </c>
      <c r="AE290" s="5" t="s">
        <v>24</v>
      </c>
      <c r="AF290" s="5" t="s">
        <v>24</v>
      </c>
      <c r="AG290" s="5" t="s">
        <v>24</v>
      </c>
      <c r="AH290" s="5" t="s">
        <v>24</v>
      </c>
      <c r="AI290" s="5" t="s">
        <v>24</v>
      </c>
      <c r="AJ290" s="5" t="s">
        <v>24</v>
      </c>
      <c r="AK290" s="5" t="s">
        <v>24</v>
      </c>
      <c r="AL290" s="5" t="str">
        <f>VLOOKUP(mambo!$H290,Sheet1!B:C,2,FALSE)</f>
        <v>#N/A</v>
      </c>
    </row>
    <row r="291" ht="15.75" hidden="1" customHeight="1">
      <c r="A291" s="5" t="s">
        <v>3757</v>
      </c>
      <c r="B291" s="5" t="s">
        <v>3758</v>
      </c>
      <c r="C291" s="5" t="s">
        <v>106</v>
      </c>
      <c r="D291" s="5" t="s">
        <v>24</v>
      </c>
      <c r="E291" s="5" t="s">
        <v>1848</v>
      </c>
      <c r="F291" s="5" t="s">
        <v>1849</v>
      </c>
      <c r="G291" s="5" t="s">
        <v>24</v>
      </c>
      <c r="H291" s="5" t="s">
        <v>3759</v>
      </c>
      <c r="I291" s="5" t="s">
        <v>24</v>
      </c>
      <c r="J291" s="5" t="s">
        <v>24</v>
      </c>
      <c r="K291" s="5" t="s">
        <v>24</v>
      </c>
      <c r="L291" s="5" t="s">
        <v>24</v>
      </c>
      <c r="M291" s="5" t="s">
        <v>24</v>
      </c>
      <c r="N291" s="5" t="s">
        <v>24</v>
      </c>
      <c r="O291" s="5" t="s">
        <v>3136</v>
      </c>
      <c r="P291" s="5" t="s">
        <v>24</v>
      </c>
      <c r="Q291" s="5" t="s">
        <v>24</v>
      </c>
      <c r="R291" s="5" t="s">
        <v>24</v>
      </c>
      <c r="S291" s="5" t="s">
        <v>1852</v>
      </c>
      <c r="T291" s="5" t="s">
        <v>3760</v>
      </c>
      <c r="U291" s="5" t="s">
        <v>3760</v>
      </c>
      <c r="V291" s="5" t="s">
        <v>1854</v>
      </c>
      <c r="W291" s="5" t="s">
        <v>24</v>
      </c>
      <c r="X291" s="5" t="s">
        <v>24</v>
      </c>
      <c r="Y291" s="5" t="s">
        <v>3761</v>
      </c>
      <c r="Z291" s="5" t="s">
        <v>3762</v>
      </c>
      <c r="AA291" s="5" t="s">
        <v>3762</v>
      </c>
      <c r="AB291" s="5" t="s">
        <v>3762</v>
      </c>
      <c r="AC291" s="5" t="s">
        <v>24</v>
      </c>
      <c r="AD291" s="5" t="s">
        <v>24</v>
      </c>
      <c r="AE291" s="5" t="s">
        <v>24</v>
      </c>
      <c r="AF291" s="5" t="s">
        <v>24</v>
      </c>
      <c r="AG291" s="5" t="s">
        <v>24</v>
      </c>
      <c r="AH291" s="5" t="s">
        <v>24</v>
      </c>
      <c r="AI291" s="5" t="s">
        <v>24</v>
      </c>
      <c r="AJ291" s="5" t="s">
        <v>24</v>
      </c>
      <c r="AK291" s="5" t="s">
        <v>24</v>
      </c>
      <c r="AL291" s="5" t="str">
        <f>VLOOKUP(mambo!$H291,Sheet1!B:C,2,FALSE)</f>
        <v>#N/A</v>
      </c>
    </row>
    <row r="292" ht="15.75" hidden="1" customHeight="1">
      <c r="A292" s="5" t="s">
        <v>3763</v>
      </c>
      <c r="B292" s="5" t="s">
        <v>3764</v>
      </c>
      <c r="C292" s="5" t="s">
        <v>503</v>
      </c>
      <c r="D292" s="5" t="s">
        <v>24</v>
      </c>
      <c r="E292" s="5" t="s">
        <v>1848</v>
      </c>
      <c r="F292" s="5" t="s">
        <v>1849</v>
      </c>
      <c r="G292" s="5" t="s">
        <v>24</v>
      </c>
      <c r="H292" s="5" t="s">
        <v>3765</v>
      </c>
      <c r="I292" s="5" t="s">
        <v>24</v>
      </c>
      <c r="J292" s="5" t="s">
        <v>24</v>
      </c>
      <c r="K292" s="5" t="s">
        <v>24</v>
      </c>
      <c r="L292" s="5" t="s">
        <v>24</v>
      </c>
      <c r="M292" s="5" t="s">
        <v>24</v>
      </c>
      <c r="N292" s="5" t="s">
        <v>24</v>
      </c>
      <c r="O292" s="5" t="s">
        <v>3136</v>
      </c>
      <c r="P292" s="5" t="s">
        <v>24</v>
      </c>
      <c r="Q292" s="5" t="s">
        <v>24</v>
      </c>
      <c r="R292" s="5" t="s">
        <v>24</v>
      </c>
      <c r="S292" s="5" t="s">
        <v>2020</v>
      </c>
      <c r="T292" s="5" t="s">
        <v>2021</v>
      </c>
      <c r="U292" s="5" t="s">
        <v>2021</v>
      </c>
      <c r="V292" s="5" t="s">
        <v>24</v>
      </c>
      <c r="W292" s="5" t="s">
        <v>24</v>
      </c>
      <c r="X292" s="5" t="s">
        <v>24</v>
      </c>
      <c r="Y292" s="5" t="s">
        <v>3766</v>
      </c>
      <c r="Z292" s="5" t="s">
        <v>3767</v>
      </c>
      <c r="AA292" s="5" t="s">
        <v>3767</v>
      </c>
      <c r="AB292" s="5" t="s">
        <v>3767</v>
      </c>
      <c r="AC292" s="5" t="s">
        <v>3768</v>
      </c>
      <c r="AD292" s="5" t="s">
        <v>3769</v>
      </c>
      <c r="AE292" s="5" t="s">
        <v>3770</v>
      </c>
      <c r="AF292" s="5" t="s">
        <v>24</v>
      </c>
      <c r="AG292" s="5" t="s">
        <v>24</v>
      </c>
      <c r="AH292" s="5" t="s">
        <v>24</v>
      </c>
      <c r="AI292" s="5" t="s">
        <v>24</v>
      </c>
      <c r="AJ292" s="5" t="s">
        <v>24</v>
      </c>
      <c r="AK292" s="5" t="s">
        <v>24</v>
      </c>
      <c r="AL292" s="5" t="str">
        <f>VLOOKUP(mambo!$H292,Sheet1!B:C,2,FALSE)</f>
        <v>#N/A</v>
      </c>
    </row>
    <row r="293" ht="15.75" customHeight="1">
      <c r="A293" s="5" t="s">
        <v>3771</v>
      </c>
      <c r="B293" s="5" t="s">
        <v>3772</v>
      </c>
      <c r="C293" s="5" t="s">
        <v>503</v>
      </c>
      <c r="D293" s="5" t="s">
        <v>24</v>
      </c>
      <c r="E293" s="5" t="s">
        <v>1848</v>
      </c>
      <c r="F293" s="5" t="s">
        <v>1849</v>
      </c>
      <c r="G293" s="5" t="s">
        <v>24</v>
      </c>
      <c r="H293" s="5" t="s">
        <v>961</v>
      </c>
      <c r="I293" s="5" t="s">
        <v>24</v>
      </c>
      <c r="J293" s="5" t="s">
        <v>24</v>
      </c>
      <c r="K293" s="5" t="s">
        <v>24</v>
      </c>
      <c r="L293" s="5" t="s">
        <v>24</v>
      </c>
      <c r="M293" s="5" t="s">
        <v>24</v>
      </c>
      <c r="N293" s="5" t="s">
        <v>24</v>
      </c>
      <c r="O293" s="5" t="s">
        <v>3136</v>
      </c>
      <c r="P293" s="5" t="s">
        <v>24</v>
      </c>
      <c r="Q293" s="5" t="s">
        <v>24</v>
      </c>
      <c r="R293" s="5" t="s">
        <v>24</v>
      </c>
      <c r="S293" s="5" t="s">
        <v>1852</v>
      </c>
      <c r="T293" s="5" t="s">
        <v>3773</v>
      </c>
      <c r="U293" s="5" t="s">
        <v>3773</v>
      </c>
      <c r="V293" s="5" t="s">
        <v>1854</v>
      </c>
      <c r="W293" s="5" t="s">
        <v>24</v>
      </c>
      <c r="X293" s="5" t="s">
        <v>24</v>
      </c>
      <c r="Y293" s="5" t="s">
        <v>3774</v>
      </c>
      <c r="Z293" s="5" t="s">
        <v>3775</v>
      </c>
      <c r="AA293" s="5" t="s">
        <v>3775</v>
      </c>
      <c r="AB293" s="5" t="s">
        <v>3775</v>
      </c>
      <c r="AC293" s="5" t="s">
        <v>3776</v>
      </c>
      <c r="AD293" s="5" t="s">
        <v>3777</v>
      </c>
      <c r="AE293" s="5" t="s">
        <v>3778</v>
      </c>
      <c r="AF293" s="5" t="s">
        <v>24</v>
      </c>
      <c r="AG293" s="5" t="s">
        <v>24</v>
      </c>
      <c r="AH293" s="5" t="s">
        <v>24</v>
      </c>
      <c r="AI293" s="5" t="s">
        <v>24</v>
      </c>
      <c r="AJ293" s="5" t="s">
        <v>24</v>
      </c>
      <c r="AK293" s="5" t="s">
        <v>24</v>
      </c>
      <c r="AL293" s="5" t="str">
        <f>VLOOKUP(mambo!$H293,Sheet1!B:C,2,FALSE)</f>
        <v>1377055</v>
      </c>
    </row>
    <row r="294" ht="15.75" customHeight="1">
      <c r="A294" s="5" t="s">
        <v>3779</v>
      </c>
      <c r="B294" s="5" t="s">
        <v>3780</v>
      </c>
      <c r="C294" s="5" t="s">
        <v>503</v>
      </c>
      <c r="D294" s="5" t="s">
        <v>24</v>
      </c>
      <c r="E294" s="5" t="s">
        <v>1848</v>
      </c>
      <c r="F294" s="5" t="s">
        <v>1849</v>
      </c>
      <c r="G294" s="5" t="s">
        <v>24</v>
      </c>
      <c r="H294" s="5" t="s">
        <v>970</v>
      </c>
      <c r="I294" s="5" t="s">
        <v>24</v>
      </c>
      <c r="J294" s="5" t="s">
        <v>24</v>
      </c>
      <c r="K294" s="5" t="s">
        <v>24</v>
      </c>
      <c r="L294" s="5" t="s">
        <v>24</v>
      </c>
      <c r="M294" s="5" t="s">
        <v>24</v>
      </c>
      <c r="N294" s="5" t="s">
        <v>24</v>
      </c>
      <c r="O294" s="5" t="s">
        <v>3136</v>
      </c>
      <c r="P294" s="5" t="s">
        <v>24</v>
      </c>
      <c r="Q294" s="5" t="s">
        <v>24</v>
      </c>
      <c r="R294" s="5" t="s">
        <v>24</v>
      </c>
      <c r="S294" s="5" t="s">
        <v>1852</v>
      </c>
      <c r="T294" s="5" t="s">
        <v>3773</v>
      </c>
      <c r="U294" s="5" t="s">
        <v>3773</v>
      </c>
      <c r="V294" s="5" t="s">
        <v>1854</v>
      </c>
      <c r="W294" s="5" t="s">
        <v>24</v>
      </c>
      <c r="X294" s="5" t="s">
        <v>24</v>
      </c>
      <c r="Y294" s="5" t="s">
        <v>3781</v>
      </c>
      <c r="Z294" s="5" t="s">
        <v>3782</v>
      </c>
      <c r="AA294" s="5" t="s">
        <v>3782</v>
      </c>
      <c r="AB294" s="5" t="s">
        <v>3782</v>
      </c>
      <c r="AC294" s="5" t="s">
        <v>3783</v>
      </c>
      <c r="AD294" s="5" t="s">
        <v>3784</v>
      </c>
      <c r="AE294" s="5" t="s">
        <v>24</v>
      </c>
      <c r="AF294" s="5" t="s">
        <v>24</v>
      </c>
      <c r="AG294" s="5" t="s">
        <v>24</v>
      </c>
      <c r="AH294" s="5" t="s">
        <v>24</v>
      </c>
      <c r="AI294" s="5" t="s">
        <v>24</v>
      </c>
      <c r="AJ294" s="5" t="s">
        <v>24</v>
      </c>
      <c r="AK294" s="5" t="s">
        <v>24</v>
      </c>
      <c r="AL294" s="5" t="str">
        <f>VLOOKUP(mambo!$H294,Sheet1!B:C,2,FALSE)</f>
        <v>1376983</v>
      </c>
    </row>
    <row r="295" ht="15.75" hidden="1" customHeight="1">
      <c r="A295" s="5" t="s">
        <v>3785</v>
      </c>
      <c r="B295" s="5" t="s">
        <v>3786</v>
      </c>
      <c r="C295" s="5" t="s">
        <v>503</v>
      </c>
      <c r="D295" s="5" t="s">
        <v>24</v>
      </c>
      <c r="E295" s="5" t="s">
        <v>1848</v>
      </c>
      <c r="F295" s="5" t="s">
        <v>1849</v>
      </c>
      <c r="G295" s="5" t="s">
        <v>24</v>
      </c>
      <c r="H295" s="5" t="s">
        <v>3787</v>
      </c>
      <c r="I295" s="5" t="s">
        <v>24</v>
      </c>
      <c r="J295" s="5" t="s">
        <v>24</v>
      </c>
      <c r="K295" s="5" t="s">
        <v>24</v>
      </c>
      <c r="L295" s="5" t="s">
        <v>24</v>
      </c>
      <c r="M295" s="5" t="s">
        <v>1885</v>
      </c>
      <c r="N295" s="5" t="s">
        <v>24</v>
      </c>
      <c r="O295" s="5" t="s">
        <v>24</v>
      </c>
      <c r="P295" s="5" t="s">
        <v>24</v>
      </c>
      <c r="Q295" s="5" t="s">
        <v>24</v>
      </c>
      <c r="R295" s="5" t="s">
        <v>24</v>
      </c>
      <c r="S295" s="5" t="s">
        <v>1852</v>
      </c>
      <c r="T295" s="5" t="s">
        <v>3403</v>
      </c>
      <c r="U295" s="5" t="s">
        <v>3403</v>
      </c>
      <c r="V295" s="5" t="s">
        <v>1854</v>
      </c>
      <c r="W295" s="5" t="s">
        <v>24</v>
      </c>
      <c r="X295" s="5" t="s">
        <v>24</v>
      </c>
      <c r="Y295" s="5" t="s">
        <v>3788</v>
      </c>
      <c r="Z295" s="5" t="s">
        <v>3789</v>
      </c>
      <c r="AA295" s="5" t="s">
        <v>3789</v>
      </c>
      <c r="AB295" s="5" t="s">
        <v>3789</v>
      </c>
      <c r="AC295" s="5" t="s">
        <v>3790</v>
      </c>
      <c r="AD295" s="5" t="s">
        <v>3791</v>
      </c>
      <c r="AE295" s="5" t="s">
        <v>3792</v>
      </c>
      <c r="AF295" s="5" t="s">
        <v>3793</v>
      </c>
      <c r="AG295" s="5" t="s">
        <v>3794</v>
      </c>
      <c r="AH295" s="5" t="s">
        <v>24</v>
      </c>
      <c r="AI295" s="5" t="s">
        <v>24</v>
      </c>
      <c r="AJ295" s="5" t="s">
        <v>24</v>
      </c>
      <c r="AK295" s="5" t="s">
        <v>24</v>
      </c>
      <c r="AL295" s="5" t="str">
        <f>VLOOKUP(mambo!$H295,Sheet1!B:C,2,FALSE)</f>
        <v>#N/A</v>
      </c>
    </row>
    <row r="296" ht="15.75" customHeight="1">
      <c r="A296" s="5" t="s">
        <v>3795</v>
      </c>
      <c r="B296" s="5" t="s">
        <v>3796</v>
      </c>
      <c r="C296" s="5" t="s">
        <v>503</v>
      </c>
      <c r="D296" s="5" t="s">
        <v>24</v>
      </c>
      <c r="E296" s="5" t="s">
        <v>1848</v>
      </c>
      <c r="F296" s="5" t="s">
        <v>1849</v>
      </c>
      <c r="G296" s="5" t="s">
        <v>24</v>
      </c>
      <c r="H296" s="5" t="s">
        <v>1148</v>
      </c>
      <c r="I296" s="5" t="s">
        <v>24</v>
      </c>
      <c r="J296" s="5" t="s">
        <v>24</v>
      </c>
      <c r="K296" s="5" t="s">
        <v>24</v>
      </c>
      <c r="L296" s="5" t="s">
        <v>24</v>
      </c>
      <c r="M296" s="5" t="s">
        <v>24</v>
      </c>
      <c r="N296" s="5" t="s">
        <v>24</v>
      </c>
      <c r="O296" s="5" t="s">
        <v>3136</v>
      </c>
      <c r="P296" s="5" t="s">
        <v>24</v>
      </c>
      <c r="Q296" s="5" t="s">
        <v>24</v>
      </c>
      <c r="R296" s="5" t="s">
        <v>24</v>
      </c>
      <c r="S296" s="5" t="s">
        <v>1852</v>
      </c>
      <c r="T296" s="5" t="s">
        <v>3797</v>
      </c>
      <c r="U296" s="5" t="s">
        <v>3797</v>
      </c>
      <c r="V296" s="5" t="s">
        <v>1854</v>
      </c>
      <c r="W296" s="5" t="s">
        <v>24</v>
      </c>
      <c r="X296" s="5" t="s">
        <v>24</v>
      </c>
      <c r="Y296" s="5" t="s">
        <v>3798</v>
      </c>
      <c r="Z296" s="5" t="s">
        <v>3799</v>
      </c>
      <c r="AA296" s="5" t="s">
        <v>3799</v>
      </c>
      <c r="AB296" s="5" t="s">
        <v>3799</v>
      </c>
      <c r="AC296" s="5" t="s">
        <v>24</v>
      </c>
      <c r="AD296" s="5" t="s">
        <v>24</v>
      </c>
      <c r="AE296" s="5" t="s">
        <v>24</v>
      </c>
      <c r="AF296" s="5" t="s">
        <v>24</v>
      </c>
      <c r="AG296" s="5" t="s">
        <v>24</v>
      </c>
      <c r="AH296" s="5" t="s">
        <v>24</v>
      </c>
      <c r="AI296" s="5" t="s">
        <v>24</v>
      </c>
      <c r="AJ296" s="5" t="s">
        <v>24</v>
      </c>
      <c r="AK296" s="5" t="s">
        <v>24</v>
      </c>
      <c r="AL296" s="5" t="str">
        <f>VLOOKUP(mambo!$H296,Sheet1!B:C,2,FALSE)</f>
        <v>1379140</v>
      </c>
    </row>
    <row r="297" ht="15.75" hidden="1" customHeight="1">
      <c r="A297" s="5" t="s">
        <v>3800</v>
      </c>
      <c r="B297" s="5" t="s">
        <v>3801</v>
      </c>
      <c r="C297" s="5" t="s">
        <v>3302</v>
      </c>
      <c r="D297" s="5" t="s">
        <v>24</v>
      </c>
      <c r="E297" s="5" t="s">
        <v>1848</v>
      </c>
      <c r="F297" s="5" t="s">
        <v>1849</v>
      </c>
      <c r="G297" s="5" t="s">
        <v>24</v>
      </c>
      <c r="H297" s="5" t="s">
        <v>3802</v>
      </c>
      <c r="I297" s="5" t="s">
        <v>24</v>
      </c>
      <c r="J297" s="5" t="s">
        <v>24</v>
      </c>
      <c r="K297" s="5" t="s">
        <v>24</v>
      </c>
      <c r="L297" s="5" t="s">
        <v>24</v>
      </c>
      <c r="M297" s="5" t="s">
        <v>24</v>
      </c>
      <c r="N297" s="5" t="s">
        <v>24</v>
      </c>
      <c r="O297" s="5" t="s">
        <v>1933</v>
      </c>
      <c r="P297" s="5" t="s">
        <v>24</v>
      </c>
      <c r="Q297" s="5" t="s">
        <v>24</v>
      </c>
      <c r="R297" s="5" t="s">
        <v>24</v>
      </c>
      <c r="S297" s="5" t="s">
        <v>1852</v>
      </c>
      <c r="T297" s="5" t="s">
        <v>3089</v>
      </c>
      <c r="U297" s="5" t="s">
        <v>3089</v>
      </c>
      <c r="V297" s="5" t="s">
        <v>1854</v>
      </c>
      <c r="W297" s="5" t="s">
        <v>24</v>
      </c>
      <c r="X297" s="5" t="s">
        <v>24</v>
      </c>
      <c r="Y297" s="5" t="s">
        <v>3803</v>
      </c>
      <c r="Z297" s="5" t="s">
        <v>3804</v>
      </c>
      <c r="AA297" s="5" t="s">
        <v>3804</v>
      </c>
      <c r="AB297" s="5" t="s">
        <v>3804</v>
      </c>
      <c r="AC297" s="5" t="s">
        <v>24</v>
      </c>
      <c r="AD297" s="5" t="s">
        <v>24</v>
      </c>
      <c r="AE297" s="5" t="s">
        <v>24</v>
      </c>
      <c r="AF297" s="5" t="s">
        <v>24</v>
      </c>
      <c r="AG297" s="5" t="s">
        <v>24</v>
      </c>
      <c r="AH297" s="5" t="s">
        <v>24</v>
      </c>
      <c r="AI297" s="5" t="s">
        <v>24</v>
      </c>
      <c r="AJ297" s="5" t="s">
        <v>24</v>
      </c>
      <c r="AK297" s="5" t="s">
        <v>24</v>
      </c>
      <c r="AL297" s="5" t="str">
        <f>VLOOKUP(mambo!$H297,Sheet1!B:C,2,FALSE)</f>
        <v>#N/A</v>
      </c>
    </row>
    <row r="298" ht="15.75" customHeight="1">
      <c r="A298" s="5" t="s">
        <v>3805</v>
      </c>
      <c r="B298" s="5" t="s">
        <v>3806</v>
      </c>
      <c r="C298" s="5" t="s">
        <v>227</v>
      </c>
      <c r="D298" s="5" t="s">
        <v>24</v>
      </c>
      <c r="E298" s="5" t="s">
        <v>1848</v>
      </c>
      <c r="F298" s="5" t="s">
        <v>1849</v>
      </c>
      <c r="G298" s="5" t="s">
        <v>24</v>
      </c>
      <c r="H298" s="5" t="s">
        <v>921</v>
      </c>
      <c r="I298" s="5" t="s">
        <v>24</v>
      </c>
      <c r="J298" s="5" t="s">
        <v>24</v>
      </c>
      <c r="K298" s="5" t="s">
        <v>24</v>
      </c>
      <c r="L298" s="5" t="s">
        <v>24</v>
      </c>
      <c r="M298" s="5" t="s">
        <v>24</v>
      </c>
      <c r="N298" s="5" t="s">
        <v>24</v>
      </c>
      <c r="O298" s="5" t="s">
        <v>1933</v>
      </c>
      <c r="P298" s="5" t="s">
        <v>24</v>
      </c>
      <c r="Q298" s="5" t="s">
        <v>24</v>
      </c>
      <c r="R298" s="5" t="s">
        <v>24</v>
      </c>
      <c r="S298" s="5" t="s">
        <v>1852</v>
      </c>
      <c r="T298" s="5" t="s">
        <v>2363</v>
      </c>
      <c r="U298" s="5" t="s">
        <v>2363</v>
      </c>
      <c r="V298" s="5" t="s">
        <v>1854</v>
      </c>
      <c r="W298" s="5" t="s">
        <v>24</v>
      </c>
      <c r="X298" s="5" t="s">
        <v>24</v>
      </c>
      <c r="Y298" s="5" t="s">
        <v>3807</v>
      </c>
      <c r="Z298" s="5" t="s">
        <v>3808</v>
      </c>
      <c r="AA298" s="5" t="s">
        <v>3808</v>
      </c>
      <c r="AB298" s="5" t="s">
        <v>3808</v>
      </c>
      <c r="AC298" s="5" t="s">
        <v>24</v>
      </c>
      <c r="AD298" s="5" t="s">
        <v>24</v>
      </c>
      <c r="AE298" s="5" t="s">
        <v>24</v>
      </c>
      <c r="AF298" s="5" t="s">
        <v>24</v>
      </c>
      <c r="AG298" s="5" t="s">
        <v>24</v>
      </c>
      <c r="AH298" s="5" t="s">
        <v>24</v>
      </c>
      <c r="AI298" s="5" t="s">
        <v>24</v>
      </c>
      <c r="AJ298" s="5" t="s">
        <v>24</v>
      </c>
      <c r="AK298" s="5" t="s">
        <v>24</v>
      </c>
      <c r="AL298" s="5" t="str">
        <f>VLOOKUP(mambo!$H298,Sheet1!B:C,2,FALSE)</f>
        <v>1386476</v>
      </c>
    </row>
    <row r="299" ht="15.75" hidden="1" customHeight="1">
      <c r="A299" s="5" t="s">
        <v>3809</v>
      </c>
      <c r="B299" s="5" t="s">
        <v>3810</v>
      </c>
      <c r="C299" s="5" t="s">
        <v>3302</v>
      </c>
      <c r="D299" s="5" t="s">
        <v>24</v>
      </c>
      <c r="E299" s="5" t="s">
        <v>1848</v>
      </c>
      <c r="F299" s="5" t="s">
        <v>1849</v>
      </c>
      <c r="G299" s="5" t="s">
        <v>24</v>
      </c>
      <c r="H299" s="5" t="s">
        <v>3811</v>
      </c>
      <c r="I299" s="5" t="s">
        <v>24</v>
      </c>
      <c r="J299" s="5" t="s">
        <v>24</v>
      </c>
      <c r="K299" s="5" t="s">
        <v>24</v>
      </c>
      <c r="L299" s="5" t="s">
        <v>24</v>
      </c>
      <c r="M299" s="5" t="s">
        <v>24</v>
      </c>
      <c r="N299" s="5" t="s">
        <v>24</v>
      </c>
      <c r="O299" s="5" t="s">
        <v>1933</v>
      </c>
      <c r="P299" s="5" t="s">
        <v>24</v>
      </c>
      <c r="Q299" s="5" t="s">
        <v>24</v>
      </c>
      <c r="R299" s="5" t="s">
        <v>24</v>
      </c>
      <c r="S299" s="5" t="s">
        <v>1852</v>
      </c>
      <c r="T299" s="5" t="s">
        <v>3089</v>
      </c>
      <c r="U299" s="5" t="s">
        <v>3089</v>
      </c>
      <c r="V299" s="5" t="s">
        <v>1854</v>
      </c>
      <c r="W299" s="5" t="s">
        <v>24</v>
      </c>
      <c r="X299" s="5" t="s">
        <v>24</v>
      </c>
      <c r="Y299" s="5" t="s">
        <v>3812</v>
      </c>
      <c r="Z299" s="5" t="s">
        <v>3813</v>
      </c>
      <c r="AA299" s="5" t="s">
        <v>3813</v>
      </c>
      <c r="AB299" s="5" t="s">
        <v>3813</v>
      </c>
      <c r="AC299" s="5" t="s">
        <v>24</v>
      </c>
      <c r="AD299" s="5" t="s">
        <v>24</v>
      </c>
      <c r="AE299" s="5" t="s">
        <v>24</v>
      </c>
      <c r="AF299" s="5" t="s">
        <v>24</v>
      </c>
      <c r="AG299" s="5" t="s">
        <v>24</v>
      </c>
      <c r="AH299" s="5" t="s">
        <v>24</v>
      </c>
      <c r="AI299" s="5" t="s">
        <v>24</v>
      </c>
      <c r="AJ299" s="5" t="s">
        <v>24</v>
      </c>
      <c r="AK299" s="5" t="s">
        <v>24</v>
      </c>
      <c r="AL299" s="5" t="str">
        <f>VLOOKUP(mambo!$H299,Sheet1!B:C,2,FALSE)</f>
        <v>#N/A</v>
      </c>
    </row>
    <row r="300" ht="15.75" hidden="1" customHeight="1">
      <c r="A300" s="5" t="s">
        <v>3814</v>
      </c>
      <c r="B300" s="5" t="s">
        <v>3815</v>
      </c>
      <c r="C300" s="5" t="s">
        <v>3302</v>
      </c>
      <c r="D300" s="5" t="s">
        <v>24</v>
      </c>
      <c r="E300" s="5" t="s">
        <v>1848</v>
      </c>
      <c r="F300" s="5" t="s">
        <v>1849</v>
      </c>
      <c r="G300" s="5" t="s">
        <v>24</v>
      </c>
      <c r="H300" s="5" t="s">
        <v>3816</v>
      </c>
      <c r="I300" s="5" t="s">
        <v>24</v>
      </c>
      <c r="J300" s="5" t="s">
        <v>24</v>
      </c>
      <c r="K300" s="5" t="s">
        <v>24</v>
      </c>
      <c r="L300" s="5" t="s">
        <v>24</v>
      </c>
      <c r="M300" s="5" t="s">
        <v>24</v>
      </c>
      <c r="N300" s="5" t="s">
        <v>24</v>
      </c>
      <c r="O300" s="5" t="s">
        <v>1933</v>
      </c>
      <c r="P300" s="5" t="s">
        <v>24</v>
      </c>
      <c r="Q300" s="5" t="s">
        <v>24</v>
      </c>
      <c r="R300" s="5" t="s">
        <v>24</v>
      </c>
      <c r="S300" s="5" t="s">
        <v>1852</v>
      </c>
      <c r="T300" s="5" t="s">
        <v>3089</v>
      </c>
      <c r="U300" s="5" t="s">
        <v>3089</v>
      </c>
      <c r="V300" s="5" t="s">
        <v>1854</v>
      </c>
      <c r="W300" s="5" t="s">
        <v>24</v>
      </c>
      <c r="X300" s="5" t="s">
        <v>24</v>
      </c>
      <c r="Y300" s="5" t="s">
        <v>3817</v>
      </c>
      <c r="Z300" s="5" t="s">
        <v>3818</v>
      </c>
      <c r="AA300" s="5" t="s">
        <v>3818</v>
      </c>
      <c r="AB300" s="5" t="s">
        <v>3818</v>
      </c>
      <c r="AC300" s="5" t="s">
        <v>24</v>
      </c>
      <c r="AD300" s="5" t="s">
        <v>24</v>
      </c>
      <c r="AE300" s="5" t="s">
        <v>24</v>
      </c>
      <c r="AF300" s="5" t="s">
        <v>24</v>
      </c>
      <c r="AG300" s="5" t="s">
        <v>24</v>
      </c>
      <c r="AH300" s="5" t="s">
        <v>24</v>
      </c>
      <c r="AI300" s="5" t="s">
        <v>24</v>
      </c>
      <c r="AJ300" s="5" t="s">
        <v>24</v>
      </c>
      <c r="AK300" s="5" t="s">
        <v>24</v>
      </c>
      <c r="AL300" s="5" t="str">
        <f>VLOOKUP(mambo!$H300,Sheet1!B:C,2,FALSE)</f>
        <v>#N/A</v>
      </c>
    </row>
    <row r="301" ht="15.75" hidden="1" customHeight="1">
      <c r="A301" s="5" t="s">
        <v>3819</v>
      </c>
      <c r="B301" s="5" t="s">
        <v>3820</v>
      </c>
      <c r="C301" s="5" t="s">
        <v>3302</v>
      </c>
      <c r="D301" s="5" t="s">
        <v>24</v>
      </c>
      <c r="E301" s="5" t="s">
        <v>1848</v>
      </c>
      <c r="F301" s="5" t="s">
        <v>1849</v>
      </c>
      <c r="G301" s="5" t="s">
        <v>24</v>
      </c>
      <c r="H301" s="5" t="s">
        <v>3821</v>
      </c>
      <c r="I301" s="5" t="s">
        <v>24</v>
      </c>
      <c r="J301" s="5" t="s">
        <v>24</v>
      </c>
      <c r="K301" s="5" t="s">
        <v>24</v>
      </c>
      <c r="L301" s="5" t="s">
        <v>24</v>
      </c>
      <c r="M301" s="5" t="s">
        <v>24</v>
      </c>
      <c r="N301" s="5" t="s">
        <v>24</v>
      </c>
      <c r="O301" s="5" t="s">
        <v>1933</v>
      </c>
      <c r="P301" s="5" t="s">
        <v>24</v>
      </c>
      <c r="Q301" s="5" t="s">
        <v>24</v>
      </c>
      <c r="R301" s="5" t="s">
        <v>24</v>
      </c>
      <c r="S301" s="5" t="s">
        <v>1852</v>
      </c>
      <c r="T301" s="5" t="s">
        <v>3089</v>
      </c>
      <c r="U301" s="5" t="s">
        <v>3089</v>
      </c>
      <c r="V301" s="5" t="s">
        <v>1854</v>
      </c>
      <c r="W301" s="5" t="s">
        <v>24</v>
      </c>
      <c r="X301" s="5" t="s">
        <v>24</v>
      </c>
      <c r="Y301" s="5" t="s">
        <v>3822</v>
      </c>
      <c r="Z301" s="5" t="s">
        <v>3823</v>
      </c>
      <c r="AA301" s="5" t="s">
        <v>3823</v>
      </c>
      <c r="AB301" s="5" t="s">
        <v>3823</v>
      </c>
      <c r="AC301" s="5" t="s">
        <v>24</v>
      </c>
      <c r="AD301" s="5" t="s">
        <v>24</v>
      </c>
      <c r="AE301" s="5" t="s">
        <v>24</v>
      </c>
      <c r="AF301" s="5" t="s">
        <v>24</v>
      </c>
      <c r="AG301" s="5" t="s">
        <v>24</v>
      </c>
      <c r="AH301" s="5" t="s">
        <v>24</v>
      </c>
      <c r="AI301" s="5" t="s">
        <v>24</v>
      </c>
      <c r="AJ301" s="5" t="s">
        <v>24</v>
      </c>
      <c r="AK301" s="5" t="s">
        <v>24</v>
      </c>
      <c r="AL301" s="5" t="str">
        <f>VLOOKUP(mambo!$H301,Sheet1!B:C,2,FALSE)</f>
        <v>#N/A</v>
      </c>
    </row>
    <row r="302" ht="15.75" hidden="1" customHeight="1">
      <c r="A302" s="5" t="s">
        <v>3824</v>
      </c>
      <c r="B302" s="5" t="s">
        <v>3825</v>
      </c>
      <c r="C302" s="5" t="s">
        <v>3302</v>
      </c>
      <c r="D302" s="5" t="s">
        <v>24</v>
      </c>
      <c r="E302" s="5" t="s">
        <v>1848</v>
      </c>
      <c r="F302" s="5" t="s">
        <v>1849</v>
      </c>
      <c r="G302" s="5" t="s">
        <v>24</v>
      </c>
      <c r="H302" s="5" t="s">
        <v>3826</v>
      </c>
      <c r="I302" s="5" t="s">
        <v>24</v>
      </c>
      <c r="J302" s="5" t="s">
        <v>24</v>
      </c>
      <c r="K302" s="5" t="s">
        <v>24</v>
      </c>
      <c r="L302" s="5" t="s">
        <v>24</v>
      </c>
      <c r="M302" s="5" t="s">
        <v>24</v>
      </c>
      <c r="N302" s="5" t="s">
        <v>24</v>
      </c>
      <c r="O302" s="5" t="s">
        <v>1933</v>
      </c>
      <c r="P302" s="5" t="s">
        <v>24</v>
      </c>
      <c r="Q302" s="5" t="s">
        <v>24</v>
      </c>
      <c r="R302" s="5" t="s">
        <v>24</v>
      </c>
      <c r="S302" s="5" t="s">
        <v>1852</v>
      </c>
      <c r="T302" s="5" t="s">
        <v>1861</v>
      </c>
      <c r="U302" s="5" t="s">
        <v>1861</v>
      </c>
      <c r="V302" s="5" t="s">
        <v>1854</v>
      </c>
      <c r="W302" s="5" t="s">
        <v>24</v>
      </c>
      <c r="X302" s="5" t="s">
        <v>24</v>
      </c>
      <c r="Y302" s="5" t="s">
        <v>3827</v>
      </c>
      <c r="Z302" s="5" t="s">
        <v>3828</v>
      </c>
      <c r="AA302" s="5" t="s">
        <v>3828</v>
      </c>
      <c r="AB302" s="5" t="s">
        <v>3828</v>
      </c>
      <c r="AC302" s="5" t="s">
        <v>24</v>
      </c>
      <c r="AD302" s="5" t="s">
        <v>24</v>
      </c>
      <c r="AE302" s="5" t="s">
        <v>24</v>
      </c>
      <c r="AF302" s="5" t="s">
        <v>24</v>
      </c>
      <c r="AG302" s="5" t="s">
        <v>24</v>
      </c>
      <c r="AH302" s="5" t="s">
        <v>24</v>
      </c>
      <c r="AI302" s="5" t="s">
        <v>24</v>
      </c>
      <c r="AJ302" s="5" t="s">
        <v>24</v>
      </c>
      <c r="AK302" s="5" t="s">
        <v>24</v>
      </c>
      <c r="AL302" s="5" t="str">
        <f>VLOOKUP(mambo!$H302,Sheet1!B:C,2,FALSE)</f>
        <v>#N/A</v>
      </c>
    </row>
    <row r="303" ht="15.75" customHeight="1">
      <c r="A303" s="5" t="s">
        <v>3829</v>
      </c>
      <c r="B303" s="5" t="s">
        <v>3830</v>
      </c>
      <c r="C303" s="5" t="s">
        <v>874</v>
      </c>
      <c r="D303" s="5" t="s">
        <v>24</v>
      </c>
      <c r="E303" s="5" t="s">
        <v>1848</v>
      </c>
      <c r="F303" s="5" t="s">
        <v>1849</v>
      </c>
      <c r="G303" s="5" t="s">
        <v>24</v>
      </c>
      <c r="H303" s="5" t="s">
        <v>880</v>
      </c>
      <c r="I303" s="5" t="s">
        <v>24</v>
      </c>
      <c r="J303" s="5" t="s">
        <v>24</v>
      </c>
      <c r="K303" s="5" t="s">
        <v>24</v>
      </c>
      <c r="L303" s="5" t="s">
        <v>24</v>
      </c>
      <c r="M303" s="5" t="s">
        <v>24</v>
      </c>
      <c r="N303" s="5" t="s">
        <v>24</v>
      </c>
      <c r="O303" s="5" t="s">
        <v>1851</v>
      </c>
      <c r="P303" s="5" t="s">
        <v>24</v>
      </c>
      <c r="Q303" s="5" t="s">
        <v>24</v>
      </c>
      <c r="R303" s="5" t="s">
        <v>24</v>
      </c>
      <c r="S303" s="5" t="s">
        <v>1852</v>
      </c>
      <c r="T303" s="5" t="s">
        <v>3831</v>
      </c>
      <c r="U303" s="5" t="s">
        <v>3831</v>
      </c>
      <c r="V303" s="5" t="s">
        <v>1854</v>
      </c>
      <c r="W303" s="5" t="s">
        <v>24</v>
      </c>
      <c r="X303" s="5" t="s">
        <v>24</v>
      </c>
      <c r="Y303" s="5" t="s">
        <v>3832</v>
      </c>
      <c r="Z303" s="5" t="s">
        <v>3833</v>
      </c>
      <c r="AA303" s="5" t="s">
        <v>3833</v>
      </c>
      <c r="AB303" s="5" t="s">
        <v>3833</v>
      </c>
      <c r="AC303" s="5" t="s">
        <v>24</v>
      </c>
      <c r="AD303" s="5" t="s">
        <v>24</v>
      </c>
      <c r="AE303" s="5" t="s">
        <v>24</v>
      </c>
      <c r="AF303" s="5" t="s">
        <v>24</v>
      </c>
      <c r="AG303" s="5" t="s">
        <v>24</v>
      </c>
      <c r="AH303" s="5" t="s">
        <v>24</v>
      </c>
      <c r="AI303" s="5" t="s">
        <v>24</v>
      </c>
      <c r="AJ303" s="5" t="s">
        <v>24</v>
      </c>
      <c r="AK303" s="5" t="s">
        <v>24</v>
      </c>
      <c r="AL303" s="5" t="str">
        <f>VLOOKUP(mambo!$H303,Sheet1!B:C,2,FALSE)</f>
        <v>1405619</v>
      </c>
    </row>
    <row r="304" ht="15.75" hidden="1" customHeight="1">
      <c r="A304" s="5" t="s">
        <v>3834</v>
      </c>
      <c r="B304" s="5" t="s">
        <v>3835</v>
      </c>
      <c r="C304" s="5" t="s">
        <v>874</v>
      </c>
      <c r="D304" s="5" t="s">
        <v>24</v>
      </c>
      <c r="E304" s="5" t="s">
        <v>1848</v>
      </c>
      <c r="F304" s="5" t="s">
        <v>1849</v>
      </c>
      <c r="G304" s="5" t="s">
        <v>24</v>
      </c>
      <c r="H304" s="5" t="s">
        <v>3836</v>
      </c>
      <c r="I304" s="5" t="s">
        <v>24</v>
      </c>
      <c r="J304" s="5" t="s">
        <v>24</v>
      </c>
      <c r="K304" s="5" t="s">
        <v>24</v>
      </c>
      <c r="L304" s="5" t="s">
        <v>24</v>
      </c>
      <c r="M304" s="5" t="s">
        <v>24</v>
      </c>
      <c r="N304" s="5" t="s">
        <v>24</v>
      </c>
      <c r="O304" s="5" t="s">
        <v>2626</v>
      </c>
      <c r="P304" s="5" t="s">
        <v>24</v>
      </c>
      <c r="Q304" s="5" t="s">
        <v>24</v>
      </c>
      <c r="R304" s="5" t="s">
        <v>24</v>
      </c>
      <c r="S304" s="5" t="s">
        <v>1852</v>
      </c>
      <c r="T304" s="5" t="s">
        <v>3837</v>
      </c>
      <c r="U304" s="5" t="s">
        <v>3837</v>
      </c>
      <c r="V304" s="5" t="s">
        <v>1854</v>
      </c>
      <c r="W304" s="5" t="s">
        <v>24</v>
      </c>
      <c r="X304" s="5" t="s">
        <v>24</v>
      </c>
      <c r="Y304" s="5" t="s">
        <v>3838</v>
      </c>
      <c r="Z304" s="5" t="s">
        <v>3839</v>
      </c>
      <c r="AA304" s="5" t="s">
        <v>3839</v>
      </c>
      <c r="AB304" s="5" t="s">
        <v>3839</v>
      </c>
      <c r="AC304" s="5" t="s">
        <v>24</v>
      </c>
      <c r="AD304" s="5" t="s">
        <v>24</v>
      </c>
      <c r="AE304" s="5" t="s">
        <v>24</v>
      </c>
      <c r="AF304" s="5" t="s">
        <v>24</v>
      </c>
      <c r="AG304" s="5" t="s">
        <v>24</v>
      </c>
      <c r="AH304" s="5" t="s">
        <v>24</v>
      </c>
      <c r="AI304" s="5" t="s">
        <v>24</v>
      </c>
      <c r="AJ304" s="5" t="s">
        <v>24</v>
      </c>
      <c r="AK304" s="5" t="s">
        <v>24</v>
      </c>
      <c r="AL304" s="5" t="str">
        <f>VLOOKUP(mambo!$H304,Sheet1!B:C,2,FALSE)</f>
        <v>#N/A</v>
      </c>
    </row>
    <row r="305" ht="15.75" hidden="1" customHeight="1">
      <c r="A305" s="5" t="s">
        <v>3840</v>
      </c>
      <c r="B305" s="5" t="s">
        <v>3841</v>
      </c>
      <c r="C305" s="5" t="s">
        <v>227</v>
      </c>
      <c r="D305" s="5" t="s">
        <v>24</v>
      </c>
      <c r="E305" s="5" t="s">
        <v>1848</v>
      </c>
      <c r="F305" s="5" t="s">
        <v>1849</v>
      </c>
      <c r="G305" s="5" t="s">
        <v>24</v>
      </c>
      <c r="H305" s="5" t="s">
        <v>3842</v>
      </c>
      <c r="I305" s="5" t="s">
        <v>24</v>
      </c>
      <c r="J305" s="5" t="s">
        <v>24</v>
      </c>
      <c r="K305" s="5" t="s">
        <v>24</v>
      </c>
      <c r="L305" s="5" t="s">
        <v>24</v>
      </c>
      <c r="M305" s="5" t="s">
        <v>24</v>
      </c>
      <c r="N305" s="5" t="s">
        <v>24</v>
      </c>
      <c r="O305" s="5" t="s">
        <v>2626</v>
      </c>
      <c r="P305" s="5" t="s">
        <v>24</v>
      </c>
      <c r="Q305" s="5" t="s">
        <v>24</v>
      </c>
      <c r="R305" s="5" t="s">
        <v>24</v>
      </c>
      <c r="S305" s="5" t="s">
        <v>1852</v>
      </c>
      <c r="T305" s="5" t="s">
        <v>1918</v>
      </c>
      <c r="U305" s="5" t="s">
        <v>1918</v>
      </c>
      <c r="V305" s="5" t="s">
        <v>1854</v>
      </c>
      <c r="W305" s="5" t="s">
        <v>24</v>
      </c>
      <c r="X305" s="5" t="s">
        <v>24</v>
      </c>
      <c r="Y305" s="5" t="s">
        <v>3843</v>
      </c>
      <c r="Z305" s="5" t="s">
        <v>3844</v>
      </c>
      <c r="AA305" s="5" t="s">
        <v>3844</v>
      </c>
      <c r="AB305" s="5" t="s">
        <v>3844</v>
      </c>
      <c r="AC305" s="5" t="s">
        <v>24</v>
      </c>
      <c r="AD305" s="5" t="s">
        <v>24</v>
      </c>
      <c r="AE305" s="5" t="s">
        <v>24</v>
      </c>
      <c r="AF305" s="5" t="s">
        <v>24</v>
      </c>
      <c r="AG305" s="5" t="s">
        <v>24</v>
      </c>
      <c r="AH305" s="5" t="s">
        <v>24</v>
      </c>
      <c r="AI305" s="5" t="s">
        <v>24</v>
      </c>
      <c r="AJ305" s="5" t="s">
        <v>24</v>
      </c>
      <c r="AK305" s="5" t="s">
        <v>24</v>
      </c>
      <c r="AL305" s="5" t="str">
        <f>VLOOKUP(mambo!$H305,Sheet1!B:C,2,FALSE)</f>
        <v>#N/A</v>
      </c>
    </row>
    <row r="306" ht="15.75" customHeight="1">
      <c r="A306" s="5" t="s">
        <v>3845</v>
      </c>
      <c r="B306" s="5" t="s">
        <v>3846</v>
      </c>
      <c r="C306" s="5" t="s">
        <v>106</v>
      </c>
      <c r="D306" s="5" t="s">
        <v>24</v>
      </c>
      <c r="E306" s="5" t="s">
        <v>1848</v>
      </c>
      <c r="F306" s="5" t="s">
        <v>1849</v>
      </c>
      <c r="G306" s="5" t="s">
        <v>24</v>
      </c>
      <c r="H306" s="5" t="s">
        <v>1430</v>
      </c>
      <c r="I306" s="5" t="s">
        <v>24</v>
      </c>
      <c r="J306" s="5" t="s">
        <v>24</v>
      </c>
      <c r="K306" s="5" t="s">
        <v>24</v>
      </c>
      <c r="L306" s="5" t="s">
        <v>24</v>
      </c>
      <c r="M306" s="5" t="s">
        <v>24</v>
      </c>
      <c r="N306" s="5" t="s">
        <v>24</v>
      </c>
      <c r="O306" s="5" t="s">
        <v>1851</v>
      </c>
      <c r="P306" s="5" t="s">
        <v>24</v>
      </c>
      <c r="Q306" s="5" t="s">
        <v>24</v>
      </c>
      <c r="R306" s="5" t="s">
        <v>24</v>
      </c>
      <c r="S306" s="5" t="s">
        <v>1852</v>
      </c>
      <c r="T306" s="5" t="s">
        <v>2487</v>
      </c>
      <c r="U306" s="5" t="s">
        <v>2487</v>
      </c>
      <c r="V306" s="5" t="s">
        <v>1854</v>
      </c>
      <c r="W306" s="5" t="s">
        <v>24</v>
      </c>
      <c r="X306" s="5" t="s">
        <v>24</v>
      </c>
      <c r="Y306" s="5" t="s">
        <v>3847</v>
      </c>
      <c r="Z306" s="5" t="s">
        <v>3848</v>
      </c>
      <c r="AA306" s="5" t="s">
        <v>3848</v>
      </c>
      <c r="AB306" s="5" t="s">
        <v>3848</v>
      </c>
      <c r="AC306" s="5" t="s">
        <v>3849</v>
      </c>
      <c r="AD306" s="5" t="s">
        <v>24</v>
      </c>
      <c r="AE306" s="5" t="s">
        <v>24</v>
      </c>
      <c r="AF306" s="5" t="s">
        <v>24</v>
      </c>
      <c r="AG306" s="5" t="s">
        <v>24</v>
      </c>
      <c r="AH306" s="5" t="s">
        <v>24</v>
      </c>
      <c r="AI306" s="5" t="s">
        <v>24</v>
      </c>
      <c r="AJ306" s="5" t="s">
        <v>24</v>
      </c>
      <c r="AK306" s="5" t="s">
        <v>24</v>
      </c>
      <c r="AL306" s="5" t="str">
        <f>VLOOKUP(mambo!$H306,Sheet1!B:C,2,FALSE)</f>
        <v>1275436</v>
      </c>
    </row>
    <row r="307" ht="15.75" hidden="1" customHeight="1">
      <c r="A307" s="5" t="s">
        <v>3850</v>
      </c>
      <c r="B307" s="5" t="s">
        <v>3851</v>
      </c>
      <c r="C307" s="5" t="s">
        <v>227</v>
      </c>
      <c r="D307" s="5" t="s">
        <v>24</v>
      </c>
      <c r="E307" s="5" t="s">
        <v>1848</v>
      </c>
      <c r="F307" s="5" t="s">
        <v>1849</v>
      </c>
      <c r="G307" s="5" t="s">
        <v>24</v>
      </c>
      <c r="H307" s="5" t="s">
        <v>3852</v>
      </c>
      <c r="I307" s="5" t="s">
        <v>24</v>
      </c>
      <c r="J307" s="5" t="s">
        <v>24</v>
      </c>
      <c r="K307" s="5" t="s">
        <v>24</v>
      </c>
      <c r="L307" s="5" t="s">
        <v>24</v>
      </c>
      <c r="M307" s="5" t="s">
        <v>24</v>
      </c>
      <c r="N307" s="5" t="s">
        <v>24</v>
      </c>
      <c r="O307" s="5" t="s">
        <v>2626</v>
      </c>
      <c r="P307" s="5" t="s">
        <v>24</v>
      </c>
      <c r="Q307" s="5" t="s">
        <v>24</v>
      </c>
      <c r="R307" s="5" t="s">
        <v>24</v>
      </c>
      <c r="S307" s="5" t="s">
        <v>1852</v>
      </c>
      <c r="T307" s="5" t="s">
        <v>1918</v>
      </c>
      <c r="U307" s="5" t="s">
        <v>1918</v>
      </c>
      <c r="V307" s="5" t="s">
        <v>1854</v>
      </c>
      <c r="W307" s="5" t="s">
        <v>24</v>
      </c>
      <c r="X307" s="5" t="s">
        <v>24</v>
      </c>
      <c r="Y307" s="5" t="s">
        <v>3853</v>
      </c>
      <c r="Z307" s="5" t="s">
        <v>3854</v>
      </c>
      <c r="AA307" s="5" t="s">
        <v>3854</v>
      </c>
      <c r="AB307" s="5" t="s">
        <v>3854</v>
      </c>
      <c r="AC307" s="5" t="s">
        <v>3855</v>
      </c>
      <c r="AD307" s="5" t="s">
        <v>24</v>
      </c>
      <c r="AE307" s="5" t="s">
        <v>24</v>
      </c>
      <c r="AF307" s="5" t="s">
        <v>24</v>
      </c>
      <c r="AG307" s="5" t="s">
        <v>24</v>
      </c>
      <c r="AH307" s="5" t="s">
        <v>24</v>
      </c>
      <c r="AI307" s="5" t="s">
        <v>24</v>
      </c>
      <c r="AJ307" s="5" t="s">
        <v>24</v>
      </c>
      <c r="AK307" s="5" t="s">
        <v>24</v>
      </c>
      <c r="AL307" s="5" t="str">
        <f>VLOOKUP(mambo!$H307,Sheet1!B:C,2,FALSE)</f>
        <v>#N/A</v>
      </c>
    </row>
    <row r="308" ht="15.75" customHeight="1">
      <c r="A308" s="5" t="s">
        <v>3856</v>
      </c>
      <c r="B308" s="5" t="s">
        <v>3857</v>
      </c>
      <c r="C308" s="5" t="s">
        <v>503</v>
      </c>
      <c r="D308" s="5" t="s">
        <v>24</v>
      </c>
      <c r="E308" s="5" t="s">
        <v>1848</v>
      </c>
      <c r="F308" s="5" t="s">
        <v>1849</v>
      </c>
      <c r="G308" s="5" t="s">
        <v>24</v>
      </c>
      <c r="H308" s="5" t="s">
        <v>656</v>
      </c>
      <c r="I308" s="5" t="s">
        <v>24</v>
      </c>
      <c r="J308" s="5" t="s">
        <v>24</v>
      </c>
      <c r="K308" s="5" t="s">
        <v>24</v>
      </c>
      <c r="L308" s="5" t="s">
        <v>24</v>
      </c>
      <c r="M308" s="5" t="s">
        <v>1885</v>
      </c>
      <c r="N308" s="5" t="s">
        <v>24</v>
      </c>
      <c r="O308" s="5" t="s">
        <v>1894</v>
      </c>
      <c r="P308" s="5" t="s">
        <v>24</v>
      </c>
      <c r="Q308" s="5" t="s">
        <v>24</v>
      </c>
      <c r="R308" s="5" t="s">
        <v>24</v>
      </c>
      <c r="S308" s="5" t="s">
        <v>2020</v>
      </c>
      <c r="T308" s="5" t="s">
        <v>2021</v>
      </c>
      <c r="U308" s="5" t="s">
        <v>2021</v>
      </c>
      <c r="V308" s="5" t="s">
        <v>24</v>
      </c>
      <c r="W308" s="5" t="s">
        <v>24</v>
      </c>
      <c r="X308" s="5" t="s">
        <v>24</v>
      </c>
      <c r="Y308" s="5" t="s">
        <v>3858</v>
      </c>
      <c r="Z308" s="5" t="s">
        <v>3859</v>
      </c>
      <c r="AA308" s="5" t="s">
        <v>3859</v>
      </c>
      <c r="AB308" s="5" t="s">
        <v>3859</v>
      </c>
      <c r="AC308" s="5" t="s">
        <v>3860</v>
      </c>
      <c r="AD308" s="5" t="s">
        <v>3861</v>
      </c>
      <c r="AE308" s="5" t="s">
        <v>3862</v>
      </c>
      <c r="AF308" s="5" t="s">
        <v>3863</v>
      </c>
      <c r="AG308" s="5" t="s">
        <v>3864</v>
      </c>
      <c r="AH308" s="5" t="s">
        <v>3865</v>
      </c>
      <c r="AI308" s="5" t="s">
        <v>3866</v>
      </c>
      <c r="AJ308" s="5" t="s">
        <v>3867</v>
      </c>
      <c r="AK308" s="5" t="s">
        <v>3868</v>
      </c>
      <c r="AL308" s="5" t="str">
        <f>VLOOKUP(mambo!$H308,Sheet1!B:C,2,FALSE)</f>
        <v>1367246</v>
      </c>
    </row>
    <row r="309" ht="15.75" customHeight="1">
      <c r="A309" s="5" t="s">
        <v>3869</v>
      </c>
      <c r="B309" s="5" t="s">
        <v>3870</v>
      </c>
      <c r="C309" s="5" t="s">
        <v>145</v>
      </c>
      <c r="D309" s="5" t="s">
        <v>24</v>
      </c>
      <c r="E309" s="5" t="s">
        <v>1848</v>
      </c>
      <c r="F309" s="5" t="s">
        <v>1849</v>
      </c>
      <c r="G309" s="5" t="s">
        <v>24</v>
      </c>
      <c r="H309" s="5" t="s">
        <v>279</v>
      </c>
      <c r="I309" s="5" t="s">
        <v>24</v>
      </c>
      <c r="J309" s="5" t="s">
        <v>24</v>
      </c>
      <c r="K309" s="5" t="s">
        <v>24</v>
      </c>
      <c r="L309" s="5" t="s">
        <v>24</v>
      </c>
      <c r="M309" s="5" t="s">
        <v>24</v>
      </c>
      <c r="N309" s="5" t="s">
        <v>24</v>
      </c>
      <c r="O309" s="5" t="s">
        <v>1933</v>
      </c>
      <c r="P309" s="5" t="s">
        <v>24</v>
      </c>
      <c r="Q309" s="5" t="s">
        <v>24</v>
      </c>
      <c r="R309" s="5" t="s">
        <v>24</v>
      </c>
      <c r="S309" s="5" t="s">
        <v>1852</v>
      </c>
      <c r="T309" s="5" t="s">
        <v>1934</v>
      </c>
      <c r="U309" s="5" t="s">
        <v>1934</v>
      </c>
      <c r="V309" s="5" t="s">
        <v>1854</v>
      </c>
      <c r="W309" s="5" t="s">
        <v>24</v>
      </c>
      <c r="X309" s="5" t="s">
        <v>24</v>
      </c>
      <c r="Y309" s="5" t="s">
        <v>3871</v>
      </c>
      <c r="Z309" s="5" t="s">
        <v>3872</v>
      </c>
      <c r="AA309" s="5" t="s">
        <v>3872</v>
      </c>
      <c r="AB309" s="5" t="s">
        <v>3872</v>
      </c>
      <c r="AC309" s="5" t="s">
        <v>24</v>
      </c>
      <c r="AD309" s="5" t="s">
        <v>24</v>
      </c>
      <c r="AE309" s="5" t="s">
        <v>24</v>
      </c>
      <c r="AF309" s="5" t="s">
        <v>24</v>
      </c>
      <c r="AG309" s="5" t="s">
        <v>24</v>
      </c>
      <c r="AH309" s="5" t="s">
        <v>24</v>
      </c>
      <c r="AI309" s="5" t="s">
        <v>24</v>
      </c>
      <c r="AJ309" s="5" t="s">
        <v>24</v>
      </c>
      <c r="AK309" s="5" t="s">
        <v>24</v>
      </c>
      <c r="AL309" s="5" t="str">
        <f>VLOOKUP(mambo!$H309,Sheet1!B:C,2,FALSE)</f>
        <v>1114185</v>
      </c>
    </row>
    <row r="310" ht="15.75" customHeight="1">
      <c r="A310" s="5" t="s">
        <v>3873</v>
      </c>
      <c r="B310" s="5" t="s">
        <v>3874</v>
      </c>
      <c r="C310" s="5" t="s">
        <v>529</v>
      </c>
      <c r="D310" s="5" t="s">
        <v>24</v>
      </c>
      <c r="E310" s="5" t="s">
        <v>1848</v>
      </c>
      <c r="F310" s="5" t="s">
        <v>1849</v>
      </c>
      <c r="G310" s="5" t="s">
        <v>24</v>
      </c>
      <c r="H310" s="5" t="s">
        <v>530</v>
      </c>
      <c r="I310" s="5" t="s">
        <v>24</v>
      </c>
      <c r="J310" s="5" t="s">
        <v>24</v>
      </c>
      <c r="K310" s="5" t="s">
        <v>24</v>
      </c>
      <c r="L310" s="5" t="s">
        <v>24</v>
      </c>
      <c r="M310" s="5" t="s">
        <v>24</v>
      </c>
      <c r="N310" s="5" t="s">
        <v>24</v>
      </c>
      <c r="O310" s="5" t="s">
        <v>1851</v>
      </c>
      <c r="P310" s="5" t="s">
        <v>24</v>
      </c>
      <c r="Q310" s="5" t="s">
        <v>24</v>
      </c>
      <c r="R310" s="5" t="s">
        <v>24</v>
      </c>
      <c r="S310" s="5" t="s">
        <v>1852</v>
      </c>
      <c r="T310" s="5" t="s">
        <v>2724</v>
      </c>
      <c r="U310" s="5" t="s">
        <v>2724</v>
      </c>
      <c r="V310" s="5" t="s">
        <v>1854</v>
      </c>
      <c r="W310" s="5" t="s">
        <v>24</v>
      </c>
      <c r="X310" s="5" t="s">
        <v>24</v>
      </c>
      <c r="Y310" s="5" t="s">
        <v>3875</v>
      </c>
      <c r="Z310" s="5" t="s">
        <v>3876</v>
      </c>
      <c r="AA310" s="5" t="s">
        <v>3876</v>
      </c>
      <c r="AB310" s="5" t="s">
        <v>3876</v>
      </c>
      <c r="AC310" s="5" t="s">
        <v>24</v>
      </c>
      <c r="AD310" s="5" t="s">
        <v>24</v>
      </c>
      <c r="AE310" s="5" t="s">
        <v>24</v>
      </c>
      <c r="AF310" s="5" t="s">
        <v>24</v>
      </c>
      <c r="AG310" s="5" t="s">
        <v>24</v>
      </c>
      <c r="AH310" s="5" t="s">
        <v>24</v>
      </c>
      <c r="AI310" s="5" t="s">
        <v>24</v>
      </c>
      <c r="AJ310" s="5" t="s">
        <v>24</v>
      </c>
      <c r="AK310" s="5" t="s">
        <v>24</v>
      </c>
      <c r="AL310" s="5" t="str">
        <f>VLOOKUP(mambo!$H310,Sheet1!B:C,2,FALSE)</f>
        <v>0573351</v>
      </c>
    </row>
    <row r="311" ht="15.75" hidden="1" customHeight="1">
      <c r="A311" s="5" t="s">
        <v>3877</v>
      </c>
      <c r="B311" s="5" t="s">
        <v>3878</v>
      </c>
      <c r="C311" s="5" t="s">
        <v>503</v>
      </c>
      <c r="D311" s="5" t="s">
        <v>24</v>
      </c>
      <c r="E311" s="5" t="s">
        <v>1848</v>
      </c>
      <c r="F311" s="5" t="s">
        <v>1849</v>
      </c>
      <c r="G311" s="5" t="s">
        <v>24</v>
      </c>
      <c r="H311" s="5" t="s">
        <v>3879</v>
      </c>
      <c r="I311" s="5" t="s">
        <v>24</v>
      </c>
      <c r="J311" s="5" t="s">
        <v>24</v>
      </c>
      <c r="K311" s="5" t="s">
        <v>24</v>
      </c>
      <c r="L311" s="5" t="s">
        <v>24</v>
      </c>
      <c r="M311" s="5" t="s">
        <v>1885</v>
      </c>
      <c r="N311" s="5" t="s">
        <v>24</v>
      </c>
      <c r="O311" s="5" t="s">
        <v>3880</v>
      </c>
      <c r="P311" s="5" t="s">
        <v>24</v>
      </c>
      <c r="Q311" s="5" t="s">
        <v>24</v>
      </c>
      <c r="R311" s="5" t="s">
        <v>24</v>
      </c>
      <c r="S311" s="5" t="s">
        <v>2020</v>
      </c>
      <c r="T311" s="5" t="s">
        <v>2021</v>
      </c>
      <c r="U311" s="5" t="s">
        <v>2021</v>
      </c>
      <c r="V311" s="5" t="s">
        <v>24</v>
      </c>
      <c r="W311" s="5" t="s">
        <v>24</v>
      </c>
      <c r="X311" s="5" t="s">
        <v>24</v>
      </c>
      <c r="Y311" s="5" t="s">
        <v>3881</v>
      </c>
      <c r="Z311" s="5" t="s">
        <v>3882</v>
      </c>
      <c r="AA311" s="5" t="s">
        <v>3882</v>
      </c>
      <c r="AB311" s="5" t="s">
        <v>3882</v>
      </c>
      <c r="AC311" s="5" t="s">
        <v>3883</v>
      </c>
      <c r="AD311" s="5" t="s">
        <v>24</v>
      </c>
      <c r="AE311" s="5" t="s">
        <v>24</v>
      </c>
      <c r="AF311" s="5" t="s">
        <v>24</v>
      </c>
      <c r="AG311" s="5" t="s">
        <v>24</v>
      </c>
      <c r="AH311" s="5" t="s">
        <v>24</v>
      </c>
      <c r="AI311" s="5" t="s">
        <v>24</v>
      </c>
      <c r="AJ311" s="5" t="s">
        <v>24</v>
      </c>
      <c r="AK311" s="5" t="s">
        <v>24</v>
      </c>
      <c r="AL311" s="5" t="str">
        <f>VLOOKUP(mambo!$H311,Sheet1!B:C,2,FALSE)</f>
        <v>#N/A</v>
      </c>
    </row>
    <row r="312" ht="15.75" customHeight="1">
      <c r="A312" s="5" t="s">
        <v>3884</v>
      </c>
      <c r="B312" s="5" t="s">
        <v>3885</v>
      </c>
      <c r="C312" s="5" t="s">
        <v>482</v>
      </c>
      <c r="D312" s="5" t="s">
        <v>24</v>
      </c>
      <c r="E312" s="5" t="s">
        <v>1848</v>
      </c>
      <c r="F312" s="5" t="s">
        <v>1849</v>
      </c>
      <c r="G312" s="5" t="s">
        <v>24</v>
      </c>
      <c r="H312" s="5" t="s">
        <v>1378</v>
      </c>
      <c r="I312" s="5" t="s">
        <v>24</v>
      </c>
      <c r="J312" s="5" t="s">
        <v>24</v>
      </c>
      <c r="K312" s="5" t="s">
        <v>24</v>
      </c>
      <c r="L312" s="5" t="s">
        <v>24</v>
      </c>
      <c r="M312" s="5" t="s">
        <v>1885</v>
      </c>
      <c r="N312" s="5" t="s">
        <v>24</v>
      </c>
      <c r="O312" s="5" t="s">
        <v>1917</v>
      </c>
      <c r="P312" s="5" t="s">
        <v>24</v>
      </c>
      <c r="Q312" s="5" t="s">
        <v>24</v>
      </c>
      <c r="R312" s="5" t="s">
        <v>24</v>
      </c>
      <c r="S312" s="5" t="s">
        <v>1852</v>
      </c>
      <c r="T312" s="5" t="s">
        <v>2214</v>
      </c>
      <c r="U312" s="5" t="s">
        <v>2214</v>
      </c>
      <c r="V312" s="5" t="s">
        <v>1854</v>
      </c>
      <c r="W312" s="5" t="s">
        <v>24</v>
      </c>
      <c r="X312" s="5" t="s">
        <v>24</v>
      </c>
      <c r="Y312" s="5" t="s">
        <v>3886</v>
      </c>
      <c r="Z312" s="5" t="s">
        <v>3887</v>
      </c>
      <c r="AA312" s="5" t="s">
        <v>3887</v>
      </c>
      <c r="AB312" s="5" t="s">
        <v>3887</v>
      </c>
      <c r="AC312" s="5" t="s">
        <v>24</v>
      </c>
      <c r="AD312" s="5" t="s">
        <v>24</v>
      </c>
      <c r="AE312" s="5" t="s">
        <v>24</v>
      </c>
      <c r="AF312" s="5" t="s">
        <v>24</v>
      </c>
      <c r="AG312" s="5" t="s">
        <v>24</v>
      </c>
      <c r="AH312" s="5" t="s">
        <v>24</v>
      </c>
      <c r="AI312" s="5" t="s">
        <v>24</v>
      </c>
      <c r="AJ312" s="5" t="s">
        <v>24</v>
      </c>
      <c r="AK312" s="5" t="s">
        <v>24</v>
      </c>
      <c r="AL312" s="5" t="str">
        <f>VLOOKUP(mambo!$H312,Sheet1!B:C,2,FALSE)</f>
        <v>1114292</v>
      </c>
    </row>
    <row r="313" ht="15.75" hidden="1" customHeight="1">
      <c r="A313" s="5" t="s">
        <v>3888</v>
      </c>
      <c r="B313" s="5" t="s">
        <v>3889</v>
      </c>
      <c r="C313" s="5" t="s">
        <v>503</v>
      </c>
      <c r="D313" s="5" t="s">
        <v>24</v>
      </c>
      <c r="E313" s="5" t="s">
        <v>1848</v>
      </c>
      <c r="F313" s="5" t="s">
        <v>1849</v>
      </c>
      <c r="G313" s="5" t="s">
        <v>24</v>
      </c>
      <c r="H313" s="5" t="s">
        <v>3890</v>
      </c>
      <c r="I313" s="5" t="s">
        <v>24</v>
      </c>
      <c r="J313" s="5" t="s">
        <v>24</v>
      </c>
      <c r="K313" s="5" t="s">
        <v>24</v>
      </c>
      <c r="L313" s="5" t="s">
        <v>24</v>
      </c>
      <c r="M313" s="5" t="s">
        <v>24</v>
      </c>
      <c r="N313" s="5" t="s">
        <v>24</v>
      </c>
      <c r="O313" s="5" t="s">
        <v>1894</v>
      </c>
      <c r="P313" s="5" t="s">
        <v>24</v>
      </c>
      <c r="Q313" s="5" t="s">
        <v>24</v>
      </c>
      <c r="R313" s="5" t="s">
        <v>24</v>
      </c>
      <c r="S313" s="5" t="s">
        <v>2020</v>
      </c>
      <c r="T313" s="5" t="s">
        <v>2021</v>
      </c>
      <c r="U313" s="5" t="s">
        <v>2021</v>
      </c>
      <c r="V313" s="5" t="s">
        <v>24</v>
      </c>
      <c r="W313" s="5" t="s">
        <v>24</v>
      </c>
      <c r="X313" s="5" t="s">
        <v>24</v>
      </c>
      <c r="Y313" s="5" t="s">
        <v>3891</v>
      </c>
      <c r="Z313" s="5" t="s">
        <v>3892</v>
      </c>
      <c r="AA313" s="5" t="s">
        <v>3892</v>
      </c>
      <c r="AB313" s="5" t="s">
        <v>3892</v>
      </c>
      <c r="AC313" s="5" t="s">
        <v>24</v>
      </c>
      <c r="AD313" s="5" t="s">
        <v>24</v>
      </c>
      <c r="AE313" s="5" t="s">
        <v>24</v>
      </c>
      <c r="AF313" s="5" t="s">
        <v>24</v>
      </c>
      <c r="AG313" s="5" t="s">
        <v>24</v>
      </c>
      <c r="AH313" s="5" t="s">
        <v>24</v>
      </c>
      <c r="AI313" s="5" t="s">
        <v>24</v>
      </c>
      <c r="AJ313" s="5" t="s">
        <v>24</v>
      </c>
      <c r="AK313" s="5" t="s">
        <v>24</v>
      </c>
      <c r="AL313" s="5" t="str">
        <f>VLOOKUP(mambo!$H313,Sheet1!B:C,2,FALSE)</f>
        <v>#N/A</v>
      </c>
    </row>
    <row r="314" ht="15.75" hidden="1" customHeight="1">
      <c r="A314" s="5" t="s">
        <v>3893</v>
      </c>
      <c r="B314" s="5" t="s">
        <v>3894</v>
      </c>
      <c r="C314" s="5" t="s">
        <v>3463</v>
      </c>
      <c r="D314" s="5" t="s">
        <v>24</v>
      </c>
      <c r="E314" s="5" t="s">
        <v>1848</v>
      </c>
      <c r="F314" s="5" t="s">
        <v>1849</v>
      </c>
      <c r="G314" s="5" t="s">
        <v>24</v>
      </c>
      <c r="H314" s="5" t="s">
        <v>3895</v>
      </c>
      <c r="I314" s="5" t="s">
        <v>24</v>
      </c>
      <c r="J314" s="5" t="s">
        <v>24</v>
      </c>
      <c r="K314" s="5" t="s">
        <v>24</v>
      </c>
      <c r="L314" s="5" t="s">
        <v>24</v>
      </c>
      <c r="M314" s="5" t="s">
        <v>1885</v>
      </c>
      <c r="N314" s="5" t="s">
        <v>24</v>
      </c>
      <c r="O314" s="5" t="s">
        <v>3896</v>
      </c>
      <c r="P314" s="5" t="s">
        <v>24</v>
      </c>
      <c r="Q314" s="5" t="s">
        <v>24</v>
      </c>
      <c r="R314" s="5" t="s">
        <v>24</v>
      </c>
      <c r="S314" s="5" t="s">
        <v>2020</v>
      </c>
      <c r="T314" s="5" t="s">
        <v>2021</v>
      </c>
      <c r="U314" s="5" t="s">
        <v>2021</v>
      </c>
      <c r="V314" s="5" t="s">
        <v>24</v>
      </c>
      <c r="W314" s="5" t="s">
        <v>24</v>
      </c>
      <c r="X314" s="5" t="s">
        <v>24</v>
      </c>
      <c r="Y314" s="5" t="s">
        <v>3897</v>
      </c>
      <c r="Z314" s="5" t="s">
        <v>3898</v>
      </c>
      <c r="AA314" s="5" t="s">
        <v>3898</v>
      </c>
      <c r="AB314" s="5" t="s">
        <v>3898</v>
      </c>
      <c r="AC314" s="5" t="s">
        <v>24</v>
      </c>
      <c r="AD314" s="5" t="s">
        <v>24</v>
      </c>
      <c r="AE314" s="5" t="s">
        <v>24</v>
      </c>
      <c r="AF314" s="5" t="s">
        <v>24</v>
      </c>
      <c r="AG314" s="5" t="s">
        <v>24</v>
      </c>
      <c r="AH314" s="5" t="s">
        <v>24</v>
      </c>
      <c r="AI314" s="5" t="s">
        <v>24</v>
      </c>
      <c r="AJ314" s="5" t="s">
        <v>24</v>
      </c>
      <c r="AK314" s="5" t="s">
        <v>24</v>
      </c>
      <c r="AL314" s="5" t="str">
        <f>VLOOKUP(mambo!$H314,Sheet1!B:C,2,FALSE)</f>
        <v>#N/A</v>
      </c>
    </row>
    <row r="315" ht="15.75" hidden="1" customHeight="1">
      <c r="A315" s="5" t="s">
        <v>3899</v>
      </c>
      <c r="B315" s="5" t="s">
        <v>3900</v>
      </c>
      <c r="C315" s="5" t="s">
        <v>3463</v>
      </c>
      <c r="D315" s="5" t="s">
        <v>24</v>
      </c>
      <c r="E315" s="5" t="s">
        <v>1848</v>
      </c>
      <c r="F315" s="5" t="s">
        <v>1849</v>
      </c>
      <c r="G315" s="5" t="s">
        <v>24</v>
      </c>
      <c r="H315" s="5" t="s">
        <v>3901</v>
      </c>
      <c r="I315" s="5" t="s">
        <v>24</v>
      </c>
      <c r="J315" s="5" t="s">
        <v>24</v>
      </c>
      <c r="K315" s="5" t="s">
        <v>24</v>
      </c>
      <c r="L315" s="5" t="s">
        <v>24</v>
      </c>
      <c r="M315" s="5" t="s">
        <v>24</v>
      </c>
      <c r="N315" s="5" t="s">
        <v>24</v>
      </c>
      <c r="O315" s="5" t="s">
        <v>3902</v>
      </c>
      <c r="P315" s="5" t="s">
        <v>24</v>
      </c>
      <c r="Q315" s="5" t="s">
        <v>24</v>
      </c>
      <c r="R315" s="5" t="s">
        <v>24</v>
      </c>
      <c r="S315" s="5" t="s">
        <v>2020</v>
      </c>
      <c r="T315" s="5" t="s">
        <v>2021</v>
      </c>
      <c r="U315" s="5" t="s">
        <v>2021</v>
      </c>
      <c r="V315" s="5" t="s">
        <v>24</v>
      </c>
      <c r="W315" s="5" t="s">
        <v>24</v>
      </c>
      <c r="X315" s="5" t="s">
        <v>24</v>
      </c>
      <c r="Y315" s="5" t="s">
        <v>3903</v>
      </c>
      <c r="Z315" s="5" t="s">
        <v>3904</v>
      </c>
      <c r="AA315" s="5" t="s">
        <v>3904</v>
      </c>
      <c r="AB315" s="5" t="s">
        <v>3904</v>
      </c>
      <c r="AC315" s="5" t="s">
        <v>24</v>
      </c>
      <c r="AD315" s="5" t="s">
        <v>24</v>
      </c>
      <c r="AE315" s="5" t="s">
        <v>24</v>
      </c>
      <c r="AF315" s="5" t="s">
        <v>24</v>
      </c>
      <c r="AG315" s="5" t="s">
        <v>24</v>
      </c>
      <c r="AH315" s="5" t="s">
        <v>24</v>
      </c>
      <c r="AI315" s="5" t="s">
        <v>24</v>
      </c>
      <c r="AJ315" s="5" t="s">
        <v>24</v>
      </c>
      <c r="AK315" s="5" t="s">
        <v>24</v>
      </c>
      <c r="AL315" s="5" t="str">
        <f>VLOOKUP(mambo!$H315,Sheet1!B:C,2,FALSE)</f>
        <v>#N/A</v>
      </c>
    </row>
    <row r="316" ht="15.75" customHeight="1">
      <c r="A316" s="5" t="s">
        <v>3905</v>
      </c>
      <c r="B316" s="5" t="s">
        <v>3906</v>
      </c>
      <c r="C316" s="5" t="s">
        <v>227</v>
      </c>
      <c r="D316" s="5" t="s">
        <v>24</v>
      </c>
      <c r="E316" s="5" t="s">
        <v>1848</v>
      </c>
      <c r="F316" s="5" t="s">
        <v>1849</v>
      </c>
      <c r="G316" s="5" t="s">
        <v>24</v>
      </c>
      <c r="H316" s="5" t="s">
        <v>1184</v>
      </c>
      <c r="I316" s="5" t="s">
        <v>24</v>
      </c>
      <c r="J316" s="5" t="s">
        <v>24</v>
      </c>
      <c r="K316" s="5" t="s">
        <v>24</v>
      </c>
      <c r="L316" s="5" t="s">
        <v>24</v>
      </c>
      <c r="M316" s="5" t="s">
        <v>24</v>
      </c>
      <c r="N316" s="5" t="s">
        <v>24</v>
      </c>
      <c r="O316" s="5" t="s">
        <v>3136</v>
      </c>
      <c r="P316" s="5" t="s">
        <v>24</v>
      </c>
      <c r="Q316" s="5" t="s">
        <v>24</v>
      </c>
      <c r="R316" s="5" t="s">
        <v>24</v>
      </c>
      <c r="S316" s="5" t="s">
        <v>1852</v>
      </c>
      <c r="T316" s="5" t="s">
        <v>3907</v>
      </c>
      <c r="U316" s="5" t="s">
        <v>3907</v>
      </c>
      <c r="V316" s="5" t="s">
        <v>1854</v>
      </c>
      <c r="W316" s="5" t="s">
        <v>24</v>
      </c>
      <c r="X316" s="5" t="s">
        <v>24</v>
      </c>
      <c r="Y316" s="5" t="s">
        <v>3908</v>
      </c>
      <c r="Z316" s="5" t="s">
        <v>3909</v>
      </c>
      <c r="AA316" s="5" t="s">
        <v>3909</v>
      </c>
      <c r="AB316" s="5" t="s">
        <v>3909</v>
      </c>
      <c r="AC316" s="5" t="s">
        <v>24</v>
      </c>
      <c r="AD316" s="5" t="s">
        <v>24</v>
      </c>
      <c r="AE316" s="5" t="s">
        <v>24</v>
      </c>
      <c r="AF316" s="5" t="s">
        <v>24</v>
      </c>
      <c r="AG316" s="5" t="s">
        <v>24</v>
      </c>
      <c r="AH316" s="5" t="s">
        <v>24</v>
      </c>
      <c r="AI316" s="5" t="s">
        <v>24</v>
      </c>
      <c r="AJ316" s="5" t="s">
        <v>24</v>
      </c>
      <c r="AK316" s="5" t="s">
        <v>24</v>
      </c>
      <c r="AL316" s="5" t="str">
        <f>VLOOKUP(mambo!$H316,Sheet1!B:C,2,FALSE)</f>
        <v>1385283</v>
      </c>
    </row>
    <row r="317" ht="15.75" customHeight="1">
      <c r="A317" s="5" t="s">
        <v>3910</v>
      </c>
      <c r="B317" s="5" t="s">
        <v>3911</v>
      </c>
      <c r="C317" s="5" t="s">
        <v>227</v>
      </c>
      <c r="D317" s="5" t="s">
        <v>24</v>
      </c>
      <c r="E317" s="5" t="s">
        <v>1848</v>
      </c>
      <c r="F317" s="5" t="s">
        <v>1849</v>
      </c>
      <c r="G317" s="5" t="s">
        <v>24</v>
      </c>
      <c r="H317" s="5" t="s">
        <v>1031</v>
      </c>
      <c r="I317" s="5" t="s">
        <v>24</v>
      </c>
      <c r="J317" s="5" t="s">
        <v>24</v>
      </c>
      <c r="K317" s="5" t="s">
        <v>24</v>
      </c>
      <c r="L317" s="5" t="s">
        <v>24</v>
      </c>
      <c r="M317" s="5" t="s">
        <v>24</v>
      </c>
      <c r="N317" s="5" t="s">
        <v>24</v>
      </c>
      <c r="O317" s="5" t="s">
        <v>3136</v>
      </c>
      <c r="P317" s="5" t="s">
        <v>24</v>
      </c>
      <c r="Q317" s="5" t="s">
        <v>24</v>
      </c>
      <c r="R317" s="5" t="s">
        <v>24</v>
      </c>
      <c r="S317" s="5" t="s">
        <v>1852</v>
      </c>
      <c r="T317" s="5" t="s">
        <v>3907</v>
      </c>
      <c r="U317" s="5" t="s">
        <v>3907</v>
      </c>
      <c r="V317" s="5" t="s">
        <v>1854</v>
      </c>
      <c r="W317" s="5" t="s">
        <v>24</v>
      </c>
      <c r="X317" s="5" t="s">
        <v>24</v>
      </c>
      <c r="Y317" s="5" t="s">
        <v>3912</v>
      </c>
      <c r="Z317" s="5" t="s">
        <v>3913</v>
      </c>
      <c r="AA317" s="5" t="s">
        <v>3913</v>
      </c>
      <c r="AB317" s="5" t="s">
        <v>3913</v>
      </c>
      <c r="AC317" s="5" t="s">
        <v>24</v>
      </c>
      <c r="AD317" s="5" t="s">
        <v>24</v>
      </c>
      <c r="AE317" s="5" t="s">
        <v>24</v>
      </c>
      <c r="AF317" s="5" t="s">
        <v>24</v>
      </c>
      <c r="AG317" s="5" t="s">
        <v>24</v>
      </c>
      <c r="AH317" s="5" t="s">
        <v>24</v>
      </c>
      <c r="AI317" s="5" t="s">
        <v>24</v>
      </c>
      <c r="AJ317" s="5" t="s">
        <v>24</v>
      </c>
      <c r="AK317" s="5" t="s">
        <v>24</v>
      </c>
      <c r="AL317" s="5" t="str">
        <f>VLOOKUP(mambo!$H317,Sheet1!B:C,2,FALSE)</f>
        <v>1385291</v>
      </c>
    </row>
    <row r="318" ht="15.75" customHeight="1">
      <c r="A318" s="5" t="s">
        <v>3914</v>
      </c>
      <c r="B318" s="5" t="s">
        <v>3915</v>
      </c>
      <c r="C318" s="5" t="s">
        <v>294</v>
      </c>
      <c r="D318" s="5" t="s">
        <v>24</v>
      </c>
      <c r="E318" s="5" t="s">
        <v>1848</v>
      </c>
      <c r="F318" s="5" t="s">
        <v>1849</v>
      </c>
      <c r="G318" s="5" t="s">
        <v>24</v>
      </c>
      <c r="H318" s="5" t="s">
        <v>1368</v>
      </c>
      <c r="I318" s="5" t="s">
        <v>24</v>
      </c>
      <c r="J318" s="5" t="s">
        <v>24</v>
      </c>
      <c r="K318" s="5" t="s">
        <v>24</v>
      </c>
      <c r="L318" s="5" t="s">
        <v>24</v>
      </c>
      <c r="M318" s="5" t="s">
        <v>24</v>
      </c>
      <c r="N318" s="5" t="s">
        <v>24</v>
      </c>
      <c r="O318" s="5" t="s">
        <v>1917</v>
      </c>
      <c r="P318" s="5" t="s">
        <v>24</v>
      </c>
      <c r="Q318" s="5" t="s">
        <v>24</v>
      </c>
      <c r="R318" s="5" t="s">
        <v>24</v>
      </c>
      <c r="S318" s="5" t="s">
        <v>1852</v>
      </c>
      <c r="T318" s="5" t="s">
        <v>2636</v>
      </c>
      <c r="U318" s="5" t="s">
        <v>2636</v>
      </c>
      <c r="V318" s="5" t="s">
        <v>1854</v>
      </c>
      <c r="W318" s="5" t="s">
        <v>24</v>
      </c>
      <c r="X318" s="5" t="s">
        <v>24</v>
      </c>
      <c r="Y318" s="5" t="s">
        <v>3916</v>
      </c>
      <c r="Z318" s="5" t="s">
        <v>3917</v>
      </c>
      <c r="AA318" s="5" t="s">
        <v>3917</v>
      </c>
      <c r="AB318" s="5" t="s">
        <v>3917</v>
      </c>
      <c r="AC318" s="5" t="s">
        <v>24</v>
      </c>
      <c r="AD318" s="5" t="s">
        <v>24</v>
      </c>
      <c r="AE318" s="5" t="s">
        <v>24</v>
      </c>
      <c r="AF318" s="5" t="s">
        <v>24</v>
      </c>
      <c r="AG318" s="5" t="s">
        <v>24</v>
      </c>
      <c r="AH318" s="5" t="s">
        <v>24</v>
      </c>
      <c r="AI318" s="5" t="s">
        <v>24</v>
      </c>
      <c r="AJ318" s="5" t="s">
        <v>24</v>
      </c>
      <c r="AK318" s="5" t="s">
        <v>24</v>
      </c>
      <c r="AL318" s="5" t="str">
        <f>VLOOKUP(mambo!$H318,Sheet1!B:C,2,FALSE)</f>
        <v>1386647</v>
      </c>
    </row>
    <row r="319" ht="15.75" hidden="1" customHeight="1">
      <c r="A319" s="5" t="s">
        <v>3918</v>
      </c>
      <c r="B319" s="5" t="s">
        <v>3919</v>
      </c>
      <c r="C319" s="5" t="s">
        <v>3463</v>
      </c>
      <c r="D319" s="5" t="s">
        <v>24</v>
      </c>
      <c r="E319" s="5" t="s">
        <v>1848</v>
      </c>
      <c r="F319" s="5" t="s">
        <v>1849</v>
      </c>
      <c r="G319" s="5" t="s">
        <v>24</v>
      </c>
      <c r="H319" s="5" t="s">
        <v>3920</v>
      </c>
      <c r="I319" s="5" t="s">
        <v>24</v>
      </c>
      <c r="J319" s="5" t="s">
        <v>24</v>
      </c>
      <c r="K319" s="5" t="s">
        <v>24</v>
      </c>
      <c r="L319" s="5" t="s">
        <v>24</v>
      </c>
      <c r="M319" s="5" t="s">
        <v>24</v>
      </c>
      <c r="N319" s="5" t="s">
        <v>24</v>
      </c>
      <c r="O319" s="5" t="s">
        <v>1933</v>
      </c>
      <c r="P319" s="5" t="s">
        <v>24</v>
      </c>
      <c r="Q319" s="5" t="s">
        <v>24</v>
      </c>
      <c r="R319" s="5" t="s">
        <v>24</v>
      </c>
      <c r="S319" s="5" t="s">
        <v>2020</v>
      </c>
      <c r="T319" s="5" t="s">
        <v>2021</v>
      </c>
      <c r="U319" s="5" t="s">
        <v>2021</v>
      </c>
      <c r="V319" s="5" t="s">
        <v>24</v>
      </c>
      <c r="W319" s="5" t="s">
        <v>24</v>
      </c>
      <c r="X319" s="5" t="s">
        <v>24</v>
      </c>
      <c r="Y319" s="5" t="s">
        <v>3921</v>
      </c>
      <c r="Z319" s="5" t="s">
        <v>3922</v>
      </c>
      <c r="AA319" s="5" t="s">
        <v>3922</v>
      </c>
      <c r="AB319" s="5" t="s">
        <v>3922</v>
      </c>
      <c r="AC319" s="5" t="s">
        <v>24</v>
      </c>
      <c r="AD319" s="5" t="s">
        <v>24</v>
      </c>
      <c r="AE319" s="5" t="s">
        <v>24</v>
      </c>
      <c r="AF319" s="5" t="s">
        <v>24</v>
      </c>
      <c r="AG319" s="5" t="s">
        <v>24</v>
      </c>
      <c r="AH319" s="5" t="s">
        <v>24</v>
      </c>
      <c r="AI319" s="5" t="s">
        <v>24</v>
      </c>
      <c r="AJ319" s="5" t="s">
        <v>24</v>
      </c>
      <c r="AK319" s="5" t="s">
        <v>24</v>
      </c>
      <c r="AL319" s="5" t="str">
        <f>VLOOKUP(mambo!$H319,Sheet1!B:C,2,FALSE)</f>
        <v>#N/A</v>
      </c>
    </row>
    <row r="320" ht="15.75" customHeight="1">
      <c r="A320" s="5" t="s">
        <v>3923</v>
      </c>
      <c r="B320" s="5" t="s">
        <v>3924</v>
      </c>
      <c r="C320" s="5" t="s">
        <v>362</v>
      </c>
      <c r="D320" s="5" t="s">
        <v>24</v>
      </c>
      <c r="E320" s="5" t="s">
        <v>1848</v>
      </c>
      <c r="F320" s="5" t="s">
        <v>1849</v>
      </c>
      <c r="G320" s="5" t="s">
        <v>24</v>
      </c>
      <c r="H320" s="5" t="s">
        <v>859</v>
      </c>
      <c r="I320" s="5" t="s">
        <v>24</v>
      </c>
      <c r="J320" s="5" t="s">
        <v>24</v>
      </c>
      <c r="K320" s="5" t="s">
        <v>24</v>
      </c>
      <c r="L320" s="5" t="s">
        <v>24</v>
      </c>
      <c r="M320" s="5" t="s">
        <v>24</v>
      </c>
      <c r="N320" s="5" t="s">
        <v>24</v>
      </c>
      <c r="O320" s="5" t="s">
        <v>1933</v>
      </c>
      <c r="P320" s="5" t="s">
        <v>24</v>
      </c>
      <c r="Q320" s="5" t="s">
        <v>24</v>
      </c>
      <c r="R320" s="5" t="s">
        <v>24</v>
      </c>
      <c r="S320" s="5" t="s">
        <v>1852</v>
      </c>
      <c r="T320" s="5" t="s">
        <v>2047</v>
      </c>
      <c r="U320" s="5" t="s">
        <v>2047</v>
      </c>
      <c r="V320" s="5" t="s">
        <v>1854</v>
      </c>
      <c r="W320" s="5" t="s">
        <v>24</v>
      </c>
      <c r="X320" s="5" t="s">
        <v>24</v>
      </c>
      <c r="Y320" s="5" t="s">
        <v>3925</v>
      </c>
      <c r="Z320" s="5" t="s">
        <v>3926</v>
      </c>
      <c r="AA320" s="5" t="s">
        <v>3926</v>
      </c>
      <c r="AB320" s="5" t="s">
        <v>3926</v>
      </c>
      <c r="AC320" s="5" t="s">
        <v>24</v>
      </c>
      <c r="AD320" s="5" t="s">
        <v>24</v>
      </c>
      <c r="AE320" s="5" t="s">
        <v>24</v>
      </c>
      <c r="AF320" s="5" t="s">
        <v>24</v>
      </c>
      <c r="AG320" s="5" t="s">
        <v>24</v>
      </c>
      <c r="AH320" s="5" t="s">
        <v>24</v>
      </c>
      <c r="AI320" s="5" t="s">
        <v>24</v>
      </c>
      <c r="AJ320" s="5" t="s">
        <v>24</v>
      </c>
      <c r="AK320" s="5" t="s">
        <v>24</v>
      </c>
      <c r="AL320" s="5" t="str">
        <f>VLOOKUP(mambo!$H320,Sheet1!B:C,2,FALSE)</f>
        <v>1390722</v>
      </c>
    </row>
    <row r="321" ht="15.75" customHeight="1">
      <c r="A321" s="5" t="s">
        <v>3927</v>
      </c>
      <c r="B321" s="5" t="s">
        <v>3928</v>
      </c>
      <c r="C321" s="5" t="s">
        <v>362</v>
      </c>
      <c r="D321" s="5" t="s">
        <v>24</v>
      </c>
      <c r="E321" s="5" t="s">
        <v>1848</v>
      </c>
      <c r="F321" s="5" t="s">
        <v>1849</v>
      </c>
      <c r="G321" s="5" t="s">
        <v>24</v>
      </c>
      <c r="H321" s="5" t="s">
        <v>854</v>
      </c>
      <c r="I321" s="5" t="s">
        <v>24</v>
      </c>
      <c r="J321" s="5" t="s">
        <v>24</v>
      </c>
      <c r="K321" s="5" t="s">
        <v>24</v>
      </c>
      <c r="L321" s="5" t="s">
        <v>24</v>
      </c>
      <c r="M321" s="5" t="s">
        <v>24</v>
      </c>
      <c r="N321" s="5" t="s">
        <v>24</v>
      </c>
      <c r="O321" s="5" t="s">
        <v>1933</v>
      </c>
      <c r="P321" s="5" t="s">
        <v>24</v>
      </c>
      <c r="Q321" s="5" t="s">
        <v>24</v>
      </c>
      <c r="R321" s="5" t="s">
        <v>24</v>
      </c>
      <c r="S321" s="5" t="s">
        <v>1852</v>
      </c>
      <c r="T321" s="5" t="s">
        <v>2047</v>
      </c>
      <c r="U321" s="5" t="s">
        <v>2047</v>
      </c>
      <c r="V321" s="5" t="s">
        <v>1854</v>
      </c>
      <c r="W321" s="5" t="s">
        <v>24</v>
      </c>
      <c r="X321" s="5" t="s">
        <v>24</v>
      </c>
      <c r="Y321" s="5" t="s">
        <v>3929</v>
      </c>
      <c r="Z321" s="5" t="s">
        <v>3930</v>
      </c>
      <c r="AA321" s="5" t="s">
        <v>3930</v>
      </c>
      <c r="AB321" s="5" t="s">
        <v>3930</v>
      </c>
      <c r="AC321" s="5" t="s">
        <v>24</v>
      </c>
      <c r="AD321" s="5" t="s">
        <v>24</v>
      </c>
      <c r="AE321" s="5" t="s">
        <v>24</v>
      </c>
      <c r="AF321" s="5" t="s">
        <v>24</v>
      </c>
      <c r="AG321" s="5" t="s">
        <v>24</v>
      </c>
      <c r="AH321" s="5" t="s">
        <v>24</v>
      </c>
      <c r="AI321" s="5" t="s">
        <v>24</v>
      </c>
      <c r="AJ321" s="5" t="s">
        <v>24</v>
      </c>
      <c r="AK321" s="5" t="s">
        <v>24</v>
      </c>
      <c r="AL321" s="5" t="str">
        <f>VLOOKUP(mambo!$H321,Sheet1!B:C,2,FALSE)</f>
        <v>1391104</v>
      </c>
    </row>
    <row r="322" ht="15.75" customHeight="1">
      <c r="A322" s="5" t="s">
        <v>3931</v>
      </c>
      <c r="B322" s="5" t="s">
        <v>3932</v>
      </c>
      <c r="C322" s="5" t="s">
        <v>362</v>
      </c>
      <c r="D322" s="5" t="s">
        <v>24</v>
      </c>
      <c r="E322" s="5" t="s">
        <v>1848</v>
      </c>
      <c r="F322" s="5" t="s">
        <v>1849</v>
      </c>
      <c r="G322" s="5" t="s">
        <v>24</v>
      </c>
      <c r="H322" s="5" t="s">
        <v>849</v>
      </c>
      <c r="I322" s="5" t="s">
        <v>24</v>
      </c>
      <c r="J322" s="5" t="s">
        <v>24</v>
      </c>
      <c r="K322" s="5" t="s">
        <v>24</v>
      </c>
      <c r="L322" s="5" t="s">
        <v>24</v>
      </c>
      <c r="M322" s="5" t="s">
        <v>24</v>
      </c>
      <c r="N322" s="5" t="s">
        <v>24</v>
      </c>
      <c r="O322" s="5" t="s">
        <v>1933</v>
      </c>
      <c r="P322" s="5" t="s">
        <v>24</v>
      </c>
      <c r="Q322" s="5" t="s">
        <v>24</v>
      </c>
      <c r="R322" s="5" t="s">
        <v>24</v>
      </c>
      <c r="S322" s="5" t="s">
        <v>1852</v>
      </c>
      <c r="T322" s="5" t="s">
        <v>2047</v>
      </c>
      <c r="U322" s="5" t="s">
        <v>2047</v>
      </c>
      <c r="V322" s="5" t="s">
        <v>1854</v>
      </c>
      <c r="W322" s="5" t="s">
        <v>24</v>
      </c>
      <c r="X322" s="5" t="s">
        <v>24</v>
      </c>
      <c r="Y322" s="5" t="s">
        <v>3933</v>
      </c>
      <c r="Z322" s="5" t="s">
        <v>3934</v>
      </c>
      <c r="AA322" s="5" t="s">
        <v>3934</v>
      </c>
      <c r="AB322" s="5" t="s">
        <v>3934</v>
      </c>
      <c r="AC322" s="5" t="s">
        <v>24</v>
      </c>
      <c r="AD322" s="5" t="s">
        <v>24</v>
      </c>
      <c r="AE322" s="5" t="s">
        <v>24</v>
      </c>
      <c r="AF322" s="5" t="s">
        <v>24</v>
      </c>
      <c r="AG322" s="5" t="s">
        <v>24</v>
      </c>
      <c r="AH322" s="5" t="s">
        <v>24</v>
      </c>
      <c r="AI322" s="5" t="s">
        <v>24</v>
      </c>
      <c r="AJ322" s="5" t="s">
        <v>24</v>
      </c>
      <c r="AK322" s="5" t="s">
        <v>24</v>
      </c>
      <c r="AL322" s="5" t="str">
        <f>VLOOKUP(mambo!$H322,Sheet1!B:C,2,FALSE)</f>
        <v>1390750</v>
      </c>
    </row>
    <row r="323" ht="15.75" hidden="1" customHeight="1">
      <c r="A323" s="5" t="s">
        <v>3935</v>
      </c>
      <c r="B323" s="5" t="s">
        <v>3936</v>
      </c>
      <c r="C323" s="5" t="s">
        <v>2680</v>
      </c>
      <c r="D323" s="5" t="s">
        <v>24</v>
      </c>
      <c r="E323" s="5" t="s">
        <v>1848</v>
      </c>
      <c r="F323" s="5" t="s">
        <v>1849</v>
      </c>
      <c r="G323" s="5" t="s">
        <v>24</v>
      </c>
      <c r="H323" s="5" t="s">
        <v>3937</v>
      </c>
      <c r="I323" s="5" t="s">
        <v>24</v>
      </c>
      <c r="J323" s="5" t="s">
        <v>24</v>
      </c>
      <c r="K323" s="5" t="s">
        <v>24</v>
      </c>
      <c r="L323" s="5" t="s">
        <v>24</v>
      </c>
      <c r="M323" s="5" t="s">
        <v>24</v>
      </c>
      <c r="N323" s="5" t="s">
        <v>24</v>
      </c>
      <c r="O323" s="5" t="s">
        <v>1851</v>
      </c>
      <c r="P323" s="5" t="s">
        <v>24</v>
      </c>
      <c r="Q323" s="5" t="s">
        <v>24</v>
      </c>
      <c r="R323" s="5" t="s">
        <v>24</v>
      </c>
      <c r="S323" s="5" t="s">
        <v>1852</v>
      </c>
      <c r="T323" s="5" t="s">
        <v>3525</v>
      </c>
      <c r="U323" s="5" t="s">
        <v>3525</v>
      </c>
      <c r="V323" s="5" t="s">
        <v>1854</v>
      </c>
      <c r="W323" s="5" t="s">
        <v>24</v>
      </c>
      <c r="X323" s="5" t="s">
        <v>24</v>
      </c>
      <c r="Y323" s="5" t="s">
        <v>3938</v>
      </c>
      <c r="Z323" s="5" t="s">
        <v>3939</v>
      </c>
      <c r="AA323" s="5" t="s">
        <v>3939</v>
      </c>
      <c r="AB323" s="5" t="s">
        <v>3939</v>
      </c>
      <c r="AC323" s="5" t="s">
        <v>24</v>
      </c>
      <c r="AD323" s="5" t="s">
        <v>24</v>
      </c>
      <c r="AE323" s="5" t="s">
        <v>24</v>
      </c>
      <c r="AF323" s="5" t="s">
        <v>24</v>
      </c>
      <c r="AG323" s="5" t="s">
        <v>24</v>
      </c>
      <c r="AH323" s="5" t="s">
        <v>24</v>
      </c>
      <c r="AI323" s="5" t="s">
        <v>24</v>
      </c>
      <c r="AJ323" s="5" t="s">
        <v>24</v>
      </c>
      <c r="AK323" s="5" t="s">
        <v>24</v>
      </c>
      <c r="AL323" s="5" t="str">
        <f>VLOOKUP(mambo!$H323,Sheet1!B:C,2,FALSE)</f>
        <v>#N/A</v>
      </c>
    </row>
    <row r="324" ht="15.75" hidden="1" customHeight="1">
      <c r="A324" s="5" t="s">
        <v>3940</v>
      </c>
      <c r="B324" s="5" t="s">
        <v>3941</v>
      </c>
      <c r="C324" s="5" t="s">
        <v>227</v>
      </c>
      <c r="D324" s="5" t="s">
        <v>24</v>
      </c>
      <c r="E324" s="5" t="s">
        <v>1848</v>
      </c>
      <c r="F324" s="5" t="s">
        <v>1849</v>
      </c>
      <c r="G324" s="5" t="s">
        <v>24</v>
      </c>
      <c r="H324" s="5" t="s">
        <v>3942</v>
      </c>
      <c r="I324" s="5" t="s">
        <v>24</v>
      </c>
      <c r="J324" s="5" t="s">
        <v>24</v>
      </c>
      <c r="K324" s="5" t="s">
        <v>24</v>
      </c>
      <c r="L324" s="5" t="s">
        <v>24</v>
      </c>
      <c r="M324" s="5" t="s">
        <v>24</v>
      </c>
      <c r="N324" s="5" t="s">
        <v>24</v>
      </c>
      <c r="O324" s="5" t="s">
        <v>3943</v>
      </c>
      <c r="P324" s="5" t="s">
        <v>24</v>
      </c>
      <c r="Q324" s="5" t="s">
        <v>24</v>
      </c>
      <c r="R324" s="5" t="s">
        <v>24</v>
      </c>
      <c r="S324" s="5" t="s">
        <v>1852</v>
      </c>
      <c r="T324" s="5" t="s">
        <v>2302</v>
      </c>
      <c r="U324" s="5" t="s">
        <v>2302</v>
      </c>
      <c r="V324" s="5" t="s">
        <v>1854</v>
      </c>
      <c r="W324" s="5" t="s">
        <v>24</v>
      </c>
      <c r="X324" s="5" t="s">
        <v>24</v>
      </c>
      <c r="Y324" s="5" t="s">
        <v>3944</v>
      </c>
      <c r="Z324" s="5" t="s">
        <v>3945</v>
      </c>
      <c r="AA324" s="5" t="s">
        <v>3945</v>
      </c>
      <c r="AB324" s="5" t="s">
        <v>3945</v>
      </c>
      <c r="AC324" s="5" t="s">
        <v>3946</v>
      </c>
      <c r="AD324" s="5" t="s">
        <v>24</v>
      </c>
      <c r="AE324" s="5" t="s">
        <v>24</v>
      </c>
      <c r="AF324" s="5" t="s">
        <v>24</v>
      </c>
      <c r="AG324" s="5" t="s">
        <v>24</v>
      </c>
      <c r="AH324" s="5" t="s">
        <v>24</v>
      </c>
      <c r="AI324" s="5" t="s">
        <v>24</v>
      </c>
      <c r="AJ324" s="5" t="s">
        <v>24</v>
      </c>
      <c r="AK324" s="5" t="s">
        <v>24</v>
      </c>
      <c r="AL324" s="5" t="str">
        <f>VLOOKUP(mambo!$H324,Sheet1!B:C,2,FALSE)</f>
        <v>#N/A</v>
      </c>
    </row>
    <row r="325" ht="15.75" hidden="1" customHeight="1">
      <c r="A325" s="5" t="s">
        <v>3947</v>
      </c>
      <c r="B325" s="5" t="s">
        <v>3948</v>
      </c>
      <c r="C325" s="5" t="s">
        <v>227</v>
      </c>
      <c r="D325" s="5" t="s">
        <v>24</v>
      </c>
      <c r="E325" s="5" t="s">
        <v>1848</v>
      </c>
      <c r="F325" s="5" t="s">
        <v>1849</v>
      </c>
      <c r="G325" s="5" t="s">
        <v>24</v>
      </c>
      <c r="H325" s="5" t="s">
        <v>3949</v>
      </c>
      <c r="I325" s="5" t="s">
        <v>24</v>
      </c>
      <c r="J325" s="5" t="s">
        <v>24</v>
      </c>
      <c r="K325" s="5" t="s">
        <v>24</v>
      </c>
      <c r="L325" s="5" t="s">
        <v>24</v>
      </c>
      <c r="M325" s="5" t="s">
        <v>1885</v>
      </c>
      <c r="N325" s="5" t="s">
        <v>24</v>
      </c>
      <c r="O325" s="5" t="s">
        <v>1978</v>
      </c>
      <c r="P325" s="5" t="s">
        <v>24</v>
      </c>
      <c r="Q325" s="5" t="s">
        <v>24</v>
      </c>
      <c r="R325" s="5" t="s">
        <v>24</v>
      </c>
      <c r="S325" s="5" t="s">
        <v>1852</v>
      </c>
      <c r="T325" s="5" t="s">
        <v>1923</v>
      </c>
      <c r="U325" s="5" t="s">
        <v>1923</v>
      </c>
      <c r="V325" s="5" t="s">
        <v>1854</v>
      </c>
      <c r="W325" s="5" t="s">
        <v>24</v>
      </c>
      <c r="X325" s="5" t="s">
        <v>24</v>
      </c>
      <c r="Y325" s="5" t="s">
        <v>3950</v>
      </c>
      <c r="Z325" s="5" t="s">
        <v>3951</v>
      </c>
      <c r="AA325" s="5" t="s">
        <v>3951</v>
      </c>
      <c r="AB325" s="5" t="s">
        <v>3951</v>
      </c>
      <c r="AC325" s="5" t="s">
        <v>3952</v>
      </c>
      <c r="AD325" s="5" t="s">
        <v>24</v>
      </c>
      <c r="AE325" s="5" t="s">
        <v>24</v>
      </c>
      <c r="AF325" s="5" t="s">
        <v>24</v>
      </c>
      <c r="AG325" s="5" t="s">
        <v>24</v>
      </c>
      <c r="AH325" s="5" t="s">
        <v>24</v>
      </c>
      <c r="AI325" s="5" t="s">
        <v>24</v>
      </c>
      <c r="AJ325" s="5" t="s">
        <v>24</v>
      </c>
      <c r="AK325" s="5" t="s">
        <v>24</v>
      </c>
      <c r="AL325" s="5" t="str">
        <f>VLOOKUP(mambo!$H325,Sheet1!B:C,2,FALSE)</f>
        <v>#N/A</v>
      </c>
    </row>
    <row r="326" ht="15.75" hidden="1" customHeight="1">
      <c r="A326" s="5" t="s">
        <v>3953</v>
      </c>
      <c r="B326" s="5" t="s">
        <v>3954</v>
      </c>
      <c r="C326" s="5" t="s">
        <v>227</v>
      </c>
      <c r="D326" s="5" t="s">
        <v>24</v>
      </c>
      <c r="E326" s="5" t="s">
        <v>1848</v>
      </c>
      <c r="F326" s="5" t="s">
        <v>1849</v>
      </c>
      <c r="G326" s="5" t="s">
        <v>24</v>
      </c>
      <c r="H326" s="5" t="s">
        <v>3955</v>
      </c>
      <c r="I326" s="5" t="s">
        <v>24</v>
      </c>
      <c r="J326" s="5" t="s">
        <v>24</v>
      </c>
      <c r="K326" s="5" t="s">
        <v>24</v>
      </c>
      <c r="L326" s="5" t="s">
        <v>24</v>
      </c>
      <c r="M326" s="5" t="s">
        <v>24</v>
      </c>
      <c r="N326" s="5" t="s">
        <v>24</v>
      </c>
      <c r="O326" s="5" t="s">
        <v>1851</v>
      </c>
      <c r="P326" s="5" t="s">
        <v>24</v>
      </c>
      <c r="Q326" s="5" t="s">
        <v>24</v>
      </c>
      <c r="R326" s="5" t="s">
        <v>24</v>
      </c>
      <c r="S326" s="5" t="s">
        <v>1852</v>
      </c>
      <c r="T326" s="5" t="s">
        <v>3956</v>
      </c>
      <c r="U326" s="5" t="s">
        <v>3956</v>
      </c>
      <c r="V326" s="5" t="s">
        <v>1854</v>
      </c>
      <c r="W326" s="5" t="s">
        <v>24</v>
      </c>
      <c r="X326" s="5" t="s">
        <v>24</v>
      </c>
      <c r="Y326" s="5" t="s">
        <v>3957</v>
      </c>
      <c r="Z326" s="5" t="s">
        <v>3958</v>
      </c>
      <c r="AA326" s="5" t="s">
        <v>3958</v>
      </c>
      <c r="AB326" s="5" t="s">
        <v>3958</v>
      </c>
      <c r="AC326" s="5" t="s">
        <v>24</v>
      </c>
      <c r="AD326" s="5" t="s">
        <v>24</v>
      </c>
      <c r="AE326" s="5" t="s">
        <v>24</v>
      </c>
      <c r="AF326" s="5" t="s">
        <v>24</v>
      </c>
      <c r="AG326" s="5" t="s">
        <v>24</v>
      </c>
      <c r="AH326" s="5" t="s">
        <v>24</v>
      </c>
      <c r="AI326" s="5" t="s">
        <v>24</v>
      </c>
      <c r="AJ326" s="5" t="s">
        <v>24</v>
      </c>
      <c r="AK326" s="5" t="s">
        <v>24</v>
      </c>
      <c r="AL326" s="5" t="str">
        <f>VLOOKUP(mambo!$H326,Sheet1!B:C,2,FALSE)</f>
        <v>#N/A</v>
      </c>
    </row>
    <row r="327" ht="15.75" customHeight="1">
      <c r="A327" s="5" t="s">
        <v>3959</v>
      </c>
      <c r="B327" s="5" t="s">
        <v>3960</v>
      </c>
      <c r="C327" s="5" t="s">
        <v>227</v>
      </c>
      <c r="D327" s="5" t="s">
        <v>24</v>
      </c>
      <c r="E327" s="5" t="s">
        <v>1848</v>
      </c>
      <c r="F327" s="5" t="s">
        <v>1849</v>
      </c>
      <c r="G327" s="5" t="s">
        <v>24</v>
      </c>
      <c r="H327" s="5" t="s">
        <v>723</v>
      </c>
      <c r="I327" s="5" t="s">
        <v>24</v>
      </c>
      <c r="J327" s="5" t="s">
        <v>24</v>
      </c>
      <c r="K327" s="5" t="s">
        <v>24</v>
      </c>
      <c r="L327" s="5" t="s">
        <v>24</v>
      </c>
      <c r="M327" s="5" t="s">
        <v>1885</v>
      </c>
      <c r="N327" s="5" t="s">
        <v>24</v>
      </c>
      <c r="O327" s="5" t="s">
        <v>3902</v>
      </c>
      <c r="P327" s="5" t="s">
        <v>24</v>
      </c>
      <c r="Q327" s="5" t="s">
        <v>24</v>
      </c>
      <c r="R327" s="5" t="s">
        <v>24</v>
      </c>
      <c r="S327" s="5" t="s">
        <v>2020</v>
      </c>
      <c r="T327" s="5" t="s">
        <v>2021</v>
      </c>
      <c r="U327" s="5" t="s">
        <v>2021</v>
      </c>
      <c r="V327" s="5" t="s">
        <v>24</v>
      </c>
      <c r="W327" s="5" t="s">
        <v>24</v>
      </c>
      <c r="X327" s="5" t="s">
        <v>24</v>
      </c>
      <c r="Y327" s="5" t="s">
        <v>3961</v>
      </c>
      <c r="Z327" s="5" t="s">
        <v>3962</v>
      </c>
      <c r="AA327" s="5" t="s">
        <v>3962</v>
      </c>
      <c r="AB327" s="5" t="s">
        <v>3962</v>
      </c>
      <c r="AC327" s="5" t="s">
        <v>24</v>
      </c>
      <c r="AD327" s="5" t="s">
        <v>24</v>
      </c>
      <c r="AE327" s="5" t="s">
        <v>24</v>
      </c>
      <c r="AF327" s="5" t="s">
        <v>24</v>
      </c>
      <c r="AG327" s="5" t="s">
        <v>24</v>
      </c>
      <c r="AH327" s="5" t="s">
        <v>24</v>
      </c>
      <c r="AI327" s="5" t="s">
        <v>24</v>
      </c>
      <c r="AJ327" s="5" t="s">
        <v>24</v>
      </c>
      <c r="AK327" s="5" t="s">
        <v>24</v>
      </c>
      <c r="AL327" s="5" t="str">
        <f>VLOOKUP(mambo!$H327,Sheet1!B:C,2,FALSE)</f>
        <v>1396064</v>
      </c>
    </row>
    <row r="328" ht="15.75" customHeight="1">
      <c r="A328" s="5" t="s">
        <v>3963</v>
      </c>
      <c r="B328" s="5" t="s">
        <v>3964</v>
      </c>
      <c r="C328" s="5" t="s">
        <v>227</v>
      </c>
      <c r="D328" s="5" t="s">
        <v>24</v>
      </c>
      <c r="E328" s="5" t="s">
        <v>1848</v>
      </c>
      <c r="F328" s="5" t="s">
        <v>1849</v>
      </c>
      <c r="G328" s="5" t="s">
        <v>24</v>
      </c>
      <c r="H328" s="5" t="s">
        <v>753</v>
      </c>
      <c r="I328" s="5" t="s">
        <v>24</v>
      </c>
      <c r="J328" s="5" t="s">
        <v>24</v>
      </c>
      <c r="K328" s="5" t="s">
        <v>24</v>
      </c>
      <c r="L328" s="5" t="s">
        <v>24</v>
      </c>
      <c r="M328" s="5" t="s">
        <v>1885</v>
      </c>
      <c r="N328" s="5" t="s">
        <v>24</v>
      </c>
      <c r="O328" s="5" t="s">
        <v>3902</v>
      </c>
      <c r="P328" s="5" t="s">
        <v>24</v>
      </c>
      <c r="Q328" s="5" t="s">
        <v>24</v>
      </c>
      <c r="R328" s="5" t="s">
        <v>24</v>
      </c>
      <c r="S328" s="5" t="s">
        <v>1852</v>
      </c>
      <c r="T328" s="5" t="s">
        <v>3485</v>
      </c>
      <c r="U328" s="5" t="s">
        <v>3485</v>
      </c>
      <c r="V328" s="5" t="s">
        <v>1854</v>
      </c>
      <c r="W328" s="5" t="s">
        <v>24</v>
      </c>
      <c r="X328" s="5" t="s">
        <v>24</v>
      </c>
      <c r="Y328" s="5" t="s">
        <v>3965</v>
      </c>
      <c r="Z328" s="5" t="s">
        <v>3966</v>
      </c>
      <c r="AA328" s="5" t="s">
        <v>3966</v>
      </c>
      <c r="AB328" s="5" t="s">
        <v>3966</v>
      </c>
      <c r="AC328" s="5" t="s">
        <v>24</v>
      </c>
      <c r="AD328" s="5" t="s">
        <v>24</v>
      </c>
      <c r="AE328" s="5" t="s">
        <v>24</v>
      </c>
      <c r="AF328" s="5" t="s">
        <v>24</v>
      </c>
      <c r="AG328" s="5" t="s">
        <v>24</v>
      </c>
      <c r="AH328" s="5" t="s">
        <v>24</v>
      </c>
      <c r="AI328" s="5" t="s">
        <v>24</v>
      </c>
      <c r="AJ328" s="5" t="s">
        <v>24</v>
      </c>
      <c r="AK328" s="5" t="s">
        <v>24</v>
      </c>
      <c r="AL328" s="5" t="str">
        <f>VLOOKUP(mambo!$H328,Sheet1!B:C,2,FALSE)</f>
        <v>1396048</v>
      </c>
    </row>
    <row r="329" ht="15.75" customHeight="1">
      <c r="A329" s="5" t="s">
        <v>3967</v>
      </c>
      <c r="B329" s="5" t="s">
        <v>3968</v>
      </c>
      <c r="C329" s="5" t="s">
        <v>227</v>
      </c>
      <c r="D329" s="5" t="s">
        <v>24</v>
      </c>
      <c r="E329" s="5" t="s">
        <v>1848</v>
      </c>
      <c r="F329" s="5" t="s">
        <v>1849</v>
      </c>
      <c r="G329" s="5" t="s">
        <v>24</v>
      </c>
      <c r="H329" s="5" t="s">
        <v>707</v>
      </c>
      <c r="I329" s="5" t="s">
        <v>24</v>
      </c>
      <c r="J329" s="5" t="s">
        <v>24</v>
      </c>
      <c r="K329" s="5" t="s">
        <v>24</v>
      </c>
      <c r="L329" s="5" t="s">
        <v>24</v>
      </c>
      <c r="M329" s="5" t="s">
        <v>1885</v>
      </c>
      <c r="N329" s="5" t="s">
        <v>24</v>
      </c>
      <c r="O329" s="5" t="s">
        <v>3902</v>
      </c>
      <c r="P329" s="5" t="s">
        <v>24</v>
      </c>
      <c r="Q329" s="5" t="s">
        <v>24</v>
      </c>
      <c r="R329" s="5" t="s">
        <v>24</v>
      </c>
      <c r="S329" s="5" t="s">
        <v>1852</v>
      </c>
      <c r="T329" s="5" t="s">
        <v>3485</v>
      </c>
      <c r="U329" s="5" t="s">
        <v>3485</v>
      </c>
      <c r="V329" s="5" t="s">
        <v>1854</v>
      </c>
      <c r="W329" s="5" t="s">
        <v>24</v>
      </c>
      <c r="X329" s="5" t="s">
        <v>24</v>
      </c>
      <c r="Y329" s="5" t="s">
        <v>3969</v>
      </c>
      <c r="Z329" s="5" t="s">
        <v>3970</v>
      </c>
      <c r="AA329" s="5" t="s">
        <v>3970</v>
      </c>
      <c r="AB329" s="5" t="s">
        <v>3970</v>
      </c>
      <c r="AC329" s="5" t="s">
        <v>24</v>
      </c>
      <c r="AD329" s="5" t="s">
        <v>24</v>
      </c>
      <c r="AE329" s="5" t="s">
        <v>24</v>
      </c>
      <c r="AF329" s="5" t="s">
        <v>24</v>
      </c>
      <c r="AG329" s="5" t="s">
        <v>24</v>
      </c>
      <c r="AH329" s="5" t="s">
        <v>24</v>
      </c>
      <c r="AI329" s="5" t="s">
        <v>24</v>
      </c>
      <c r="AJ329" s="5" t="s">
        <v>24</v>
      </c>
      <c r="AK329" s="5" t="s">
        <v>24</v>
      </c>
      <c r="AL329" s="5" t="str">
        <f>VLOOKUP(mambo!$H329,Sheet1!B:C,2,FALSE)</f>
        <v>1395876</v>
      </c>
    </row>
    <row r="330" ht="15.75" hidden="1" customHeight="1">
      <c r="A330" s="5" t="s">
        <v>3971</v>
      </c>
      <c r="B330" s="5" t="s">
        <v>3972</v>
      </c>
      <c r="C330" s="5" t="s">
        <v>227</v>
      </c>
      <c r="D330" s="5" t="s">
        <v>24</v>
      </c>
      <c r="E330" s="5" t="s">
        <v>1848</v>
      </c>
      <c r="F330" s="5" t="s">
        <v>1849</v>
      </c>
      <c r="G330" s="5" t="s">
        <v>24</v>
      </c>
      <c r="H330" s="5" t="s">
        <v>3973</v>
      </c>
      <c r="I330" s="5" t="s">
        <v>24</v>
      </c>
      <c r="J330" s="5" t="s">
        <v>24</v>
      </c>
      <c r="K330" s="5" t="s">
        <v>24</v>
      </c>
      <c r="L330" s="5" t="s">
        <v>24</v>
      </c>
      <c r="M330" s="5" t="s">
        <v>1885</v>
      </c>
      <c r="N330" s="5" t="s">
        <v>24</v>
      </c>
      <c r="O330" s="5" t="s">
        <v>1978</v>
      </c>
      <c r="P330" s="5" t="s">
        <v>24</v>
      </c>
      <c r="Q330" s="5" t="s">
        <v>24</v>
      </c>
      <c r="R330" s="5" t="s">
        <v>24</v>
      </c>
      <c r="S330" s="5" t="s">
        <v>1852</v>
      </c>
      <c r="T330" s="5" t="s">
        <v>2403</v>
      </c>
      <c r="U330" s="5" t="s">
        <v>2403</v>
      </c>
      <c r="V330" s="5" t="s">
        <v>1854</v>
      </c>
      <c r="W330" s="5" t="s">
        <v>24</v>
      </c>
      <c r="X330" s="5" t="s">
        <v>24</v>
      </c>
      <c r="Y330" s="5" t="s">
        <v>3974</v>
      </c>
      <c r="Z330" s="5" t="s">
        <v>3975</v>
      </c>
      <c r="AA330" s="5" t="s">
        <v>3975</v>
      </c>
      <c r="AB330" s="5" t="s">
        <v>3975</v>
      </c>
      <c r="AC330" s="5" t="s">
        <v>3976</v>
      </c>
      <c r="AD330" s="5" t="s">
        <v>24</v>
      </c>
      <c r="AE330" s="5" t="s">
        <v>24</v>
      </c>
      <c r="AF330" s="5" t="s">
        <v>24</v>
      </c>
      <c r="AG330" s="5" t="s">
        <v>24</v>
      </c>
      <c r="AH330" s="5" t="s">
        <v>24</v>
      </c>
      <c r="AI330" s="5" t="s">
        <v>24</v>
      </c>
      <c r="AJ330" s="5" t="s">
        <v>24</v>
      </c>
      <c r="AK330" s="5" t="s">
        <v>24</v>
      </c>
      <c r="AL330" s="5" t="str">
        <f>VLOOKUP(mambo!$H330,Sheet1!B:C,2,FALSE)</f>
        <v>#N/A</v>
      </c>
    </row>
    <row r="331" ht="15.75" customHeight="1">
      <c r="A331" s="5" t="s">
        <v>3977</v>
      </c>
      <c r="B331" s="5" t="s">
        <v>3978</v>
      </c>
      <c r="C331" s="5" t="s">
        <v>227</v>
      </c>
      <c r="D331" s="5" t="s">
        <v>24</v>
      </c>
      <c r="E331" s="5" t="s">
        <v>1848</v>
      </c>
      <c r="F331" s="5" t="s">
        <v>1849</v>
      </c>
      <c r="G331" s="5" t="s">
        <v>24</v>
      </c>
      <c r="H331" s="5" t="s">
        <v>1672</v>
      </c>
      <c r="I331" s="5" t="s">
        <v>24</v>
      </c>
      <c r="J331" s="5" t="s">
        <v>24</v>
      </c>
      <c r="K331" s="5" t="s">
        <v>24</v>
      </c>
      <c r="L331" s="5" t="s">
        <v>24</v>
      </c>
      <c r="M331" s="5" t="s">
        <v>1885</v>
      </c>
      <c r="N331" s="5" t="s">
        <v>24</v>
      </c>
      <c r="O331" s="5" t="s">
        <v>1986</v>
      </c>
      <c r="P331" s="5" t="s">
        <v>24</v>
      </c>
      <c r="Q331" s="5" t="s">
        <v>24</v>
      </c>
      <c r="R331" s="5" t="s">
        <v>24</v>
      </c>
      <c r="S331" s="5" t="s">
        <v>2020</v>
      </c>
      <c r="T331" s="5" t="s">
        <v>2021</v>
      </c>
      <c r="U331" s="5" t="s">
        <v>2021</v>
      </c>
      <c r="V331" s="5" t="s">
        <v>24</v>
      </c>
      <c r="W331" s="5" t="s">
        <v>24</v>
      </c>
      <c r="X331" s="5" t="s">
        <v>24</v>
      </c>
      <c r="Y331" s="5" t="s">
        <v>3979</v>
      </c>
      <c r="Z331" s="5" t="s">
        <v>3980</v>
      </c>
      <c r="AA331" s="5" t="s">
        <v>3980</v>
      </c>
      <c r="AB331" s="5" t="s">
        <v>3980</v>
      </c>
      <c r="AC331" s="5" t="s">
        <v>3981</v>
      </c>
      <c r="AD331" s="5" t="s">
        <v>3982</v>
      </c>
      <c r="AE331" s="5" t="s">
        <v>3983</v>
      </c>
      <c r="AF331" s="5" t="s">
        <v>24</v>
      </c>
      <c r="AG331" s="5" t="s">
        <v>24</v>
      </c>
      <c r="AH331" s="5" t="s">
        <v>24</v>
      </c>
      <c r="AI331" s="5" t="s">
        <v>24</v>
      </c>
      <c r="AJ331" s="5" t="s">
        <v>24</v>
      </c>
      <c r="AK331" s="5" t="s">
        <v>24</v>
      </c>
      <c r="AL331" s="5" t="str">
        <f>VLOOKUP(mambo!$H331,Sheet1!B:C,2,FALSE)</f>
        <v>1386480</v>
      </c>
    </row>
    <row r="332" ht="15.75" customHeight="1">
      <c r="A332" s="5" t="s">
        <v>3984</v>
      </c>
      <c r="B332" s="5" t="s">
        <v>3985</v>
      </c>
      <c r="C332" s="5" t="s">
        <v>227</v>
      </c>
      <c r="D332" s="5" t="s">
        <v>24</v>
      </c>
      <c r="E332" s="5" t="s">
        <v>1848</v>
      </c>
      <c r="F332" s="5" t="s">
        <v>1849</v>
      </c>
      <c r="G332" s="5" t="s">
        <v>24</v>
      </c>
      <c r="H332" s="5" t="s">
        <v>712</v>
      </c>
      <c r="I332" s="5" t="s">
        <v>24</v>
      </c>
      <c r="J332" s="5" t="s">
        <v>24</v>
      </c>
      <c r="K332" s="5" t="s">
        <v>24</v>
      </c>
      <c r="L332" s="5" t="s">
        <v>24</v>
      </c>
      <c r="M332" s="5" t="s">
        <v>1885</v>
      </c>
      <c r="N332" s="5" t="s">
        <v>24</v>
      </c>
      <c r="O332" s="5" t="s">
        <v>24</v>
      </c>
      <c r="P332" s="5" t="s">
        <v>24</v>
      </c>
      <c r="Q332" s="5" t="s">
        <v>24</v>
      </c>
      <c r="R332" s="5" t="s">
        <v>24</v>
      </c>
      <c r="S332" s="5" t="s">
        <v>1852</v>
      </c>
      <c r="T332" s="5" t="s">
        <v>1970</v>
      </c>
      <c r="U332" s="5" t="s">
        <v>1970</v>
      </c>
      <c r="V332" s="5" t="s">
        <v>1854</v>
      </c>
      <c r="W332" s="5" t="s">
        <v>24</v>
      </c>
      <c r="X332" s="5" t="s">
        <v>24</v>
      </c>
      <c r="Y332" s="5" t="s">
        <v>3986</v>
      </c>
      <c r="Z332" s="5" t="s">
        <v>3987</v>
      </c>
      <c r="AA332" s="5" t="s">
        <v>3987</v>
      </c>
      <c r="AB332" s="5" t="s">
        <v>3987</v>
      </c>
      <c r="AC332" s="5" t="s">
        <v>3988</v>
      </c>
      <c r="AD332" s="5" t="s">
        <v>3989</v>
      </c>
      <c r="AE332" s="5" t="s">
        <v>3990</v>
      </c>
      <c r="AF332" s="5" t="s">
        <v>24</v>
      </c>
      <c r="AG332" s="5" t="s">
        <v>24</v>
      </c>
      <c r="AH332" s="5" t="s">
        <v>24</v>
      </c>
      <c r="AI332" s="5" t="s">
        <v>24</v>
      </c>
      <c r="AJ332" s="5" t="s">
        <v>24</v>
      </c>
      <c r="AK332" s="5" t="s">
        <v>24</v>
      </c>
      <c r="AL332" s="5" t="str">
        <f>VLOOKUP(mambo!$H332,Sheet1!B:C,2,FALSE)</f>
        <v>1386478</v>
      </c>
    </row>
    <row r="333" ht="15.75" hidden="1" customHeight="1">
      <c r="A333" s="5" t="s">
        <v>3991</v>
      </c>
      <c r="B333" s="5" t="s">
        <v>3992</v>
      </c>
      <c r="C333" s="5" t="s">
        <v>227</v>
      </c>
      <c r="D333" s="5" t="s">
        <v>24</v>
      </c>
      <c r="E333" s="5" t="s">
        <v>1848</v>
      </c>
      <c r="F333" s="5" t="s">
        <v>1849</v>
      </c>
      <c r="G333" s="5" t="s">
        <v>24</v>
      </c>
      <c r="H333" s="5" t="s">
        <v>3993</v>
      </c>
      <c r="I333" s="5" t="s">
        <v>24</v>
      </c>
      <c r="J333" s="5" t="s">
        <v>24</v>
      </c>
      <c r="K333" s="5" t="s">
        <v>24</v>
      </c>
      <c r="L333" s="5" t="s">
        <v>24</v>
      </c>
      <c r="M333" s="5" t="s">
        <v>24</v>
      </c>
      <c r="N333" s="5" t="s">
        <v>24</v>
      </c>
      <c r="O333" s="5" t="s">
        <v>3994</v>
      </c>
      <c r="P333" s="5" t="s">
        <v>24</v>
      </c>
      <c r="Q333" s="5" t="s">
        <v>24</v>
      </c>
      <c r="R333" s="5" t="s">
        <v>24</v>
      </c>
      <c r="S333" s="5" t="s">
        <v>1852</v>
      </c>
      <c r="T333" s="5" t="s">
        <v>2302</v>
      </c>
      <c r="U333" s="5" t="s">
        <v>2302</v>
      </c>
      <c r="V333" s="5" t="s">
        <v>1854</v>
      </c>
      <c r="W333" s="5" t="s">
        <v>24</v>
      </c>
      <c r="X333" s="5" t="s">
        <v>24</v>
      </c>
      <c r="Y333" s="5" t="s">
        <v>3995</v>
      </c>
      <c r="Z333" s="5" t="s">
        <v>3996</v>
      </c>
      <c r="AA333" s="5" t="s">
        <v>3996</v>
      </c>
      <c r="AB333" s="5" t="s">
        <v>3996</v>
      </c>
      <c r="AC333" s="5" t="s">
        <v>3997</v>
      </c>
      <c r="AD333" s="5" t="s">
        <v>24</v>
      </c>
      <c r="AE333" s="5" t="s">
        <v>24</v>
      </c>
      <c r="AF333" s="5" t="s">
        <v>24</v>
      </c>
      <c r="AG333" s="5" t="s">
        <v>24</v>
      </c>
      <c r="AH333" s="5" t="s">
        <v>24</v>
      </c>
      <c r="AI333" s="5" t="s">
        <v>24</v>
      </c>
      <c r="AJ333" s="5" t="s">
        <v>24</v>
      </c>
      <c r="AK333" s="5" t="s">
        <v>24</v>
      </c>
      <c r="AL333" s="5" t="str">
        <f>VLOOKUP(mambo!$H333,Sheet1!B:C,2,FALSE)</f>
        <v>#N/A</v>
      </c>
    </row>
    <row r="334" ht="15.75" hidden="1" customHeight="1">
      <c r="A334" s="5" t="s">
        <v>3998</v>
      </c>
      <c r="B334" s="5" t="s">
        <v>3999</v>
      </c>
      <c r="C334" s="5" t="s">
        <v>2624</v>
      </c>
      <c r="D334" s="5" t="s">
        <v>24</v>
      </c>
      <c r="E334" s="5" t="s">
        <v>1848</v>
      </c>
      <c r="F334" s="5" t="s">
        <v>1849</v>
      </c>
      <c r="G334" s="5" t="s">
        <v>24</v>
      </c>
      <c r="H334" s="5" t="s">
        <v>4000</v>
      </c>
      <c r="I334" s="5" t="s">
        <v>24</v>
      </c>
      <c r="J334" s="5" t="s">
        <v>24</v>
      </c>
      <c r="K334" s="5" t="s">
        <v>24</v>
      </c>
      <c r="L334" s="5" t="s">
        <v>24</v>
      </c>
      <c r="M334" s="5" t="s">
        <v>24</v>
      </c>
      <c r="N334" s="5" t="s">
        <v>24</v>
      </c>
      <c r="O334" s="5" t="s">
        <v>3136</v>
      </c>
      <c r="P334" s="5" t="s">
        <v>24</v>
      </c>
      <c r="Q334" s="5" t="s">
        <v>24</v>
      </c>
      <c r="R334" s="5" t="s">
        <v>24</v>
      </c>
      <c r="S334" s="5" t="s">
        <v>1852</v>
      </c>
      <c r="T334" s="5" t="s">
        <v>4001</v>
      </c>
      <c r="U334" s="5" t="s">
        <v>4001</v>
      </c>
      <c r="V334" s="5" t="s">
        <v>1854</v>
      </c>
      <c r="W334" s="5" t="s">
        <v>24</v>
      </c>
      <c r="X334" s="5" t="s">
        <v>24</v>
      </c>
      <c r="Y334" s="5" t="s">
        <v>4002</v>
      </c>
      <c r="Z334" s="5" t="s">
        <v>4003</v>
      </c>
      <c r="AA334" s="5" t="s">
        <v>4003</v>
      </c>
      <c r="AB334" s="5" t="s">
        <v>4003</v>
      </c>
      <c r="AC334" s="5" t="s">
        <v>24</v>
      </c>
      <c r="AD334" s="5" t="s">
        <v>24</v>
      </c>
      <c r="AE334" s="5" t="s">
        <v>24</v>
      </c>
      <c r="AF334" s="5" t="s">
        <v>24</v>
      </c>
      <c r="AG334" s="5" t="s">
        <v>24</v>
      </c>
      <c r="AH334" s="5" t="s">
        <v>24</v>
      </c>
      <c r="AI334" s="5" t="s">
        <v>24</v>
      </c>
      <c r="AJ334" s="5" t="s">
        <v>24</v>
      </c>
      <c r="AK334" s="5" t="s">
        <v>24</v>
      </c>
      <c r="AL334" s="5" t="str">
        <f>VLOOKUP(mambo!$H334,Sheet1!B:C,2,FALSE)</f>
        <v>#N/A</v>
      </c>
    </row>
    <row r="335" ht="15.75" hidden="1" customHeight="1">
      <c r="A335" s="5" t="s">
        <v>4004</v>
      </c>
      <c r="B335" s="5" t="s">
        <v>4005</v>
      </c>
      <c r="C335" s="5" t="s">
        <v>2624</v>
      </c>
      <c r="D335" s="5" t="s">
        <v>24</v>
      </c>
      <c r="E335" s="5" t="s">
        <v>1848</v>
      </c>
      <c r="F335" s="5" t="s">
        <v>1849</v>
      </c>
      <c r="G335" s="5" t="s">
        <v>24</v>
      </c>
      <c r="H335" s="5" t="s">
        <v>4006</v>
      </c>
      <c r="I335" s="5" t="s">
        <v>24</v>
      </c>
      <c r="J335" s="5" t="s">
        <v>24</v>
      </c>
      <c r="K335" s="5" t="s">
        <v>24</v>
      </c>
      <c r="L335" s="5" t="s">
        <v>24</v>
      </c>
      <c r="M335" s="5" t="s">
        <v>24</v>
      </c>
      <c r="N335" s="5" t="s">
        <v>24</v>
      </c>
      <c r="O335" s="5" t="s">
        <v>3136</v>
      </c>
      <c r="P335" s="5" t="s">
        <v>24</v>
      </c>
      <c r="Q335" s="5" t="s">
        <v>24</v>
      </c>
      <c r="R335" s="5" t="s">
        <v>24</v>
      </c>
      <c r="S335" s="5" t="s">
        <v>1852</v>
      </c>
      <c r="T335" s="5" t="s">
        <v>4001</v>
      </c>
      <c r="U335" s="5" t="s">
        <v>4001</v>
      </c>
      <c r="V335" s="5" t="s">
        <v>1854</v>
      </c>
      <c r="W335" s="5" t="s">
        <v>24</v>
      </c>
      <c r="X335" s="5" t="s">
        <v>24</v>
      </c>
      <c r="Y335" s="5" t="s">
        <v>4007</v>
      </c>
      <c r="Z335" s="5" t="s">
        <v>4008</v>
      </c>
      <c r="AA335" s="5" t="s">
        <v>4008</v>
      </c>
      <c r="AB335" s="5" t="s">
        <v>4008</v>
      </c>
      <c r="AC335" s="5" t="s">
        <v>24</v>
      </c>
      <c r="AD335" s="5" t="s">
        <v>24</v>
      </c>
      <c r="AE335" s="5" t="s">
        <v>24</v>
      </c>
      <c r="AF335" s="5" t="s">
        <v>24</v>
      </c>
      <c r="AG335" s="5" t="s">
        <v>24</v>
      </c>
      <c r="AH335" s="5" t="s">
        <v>24</v>
      </c>
      <c r="AI335" s="5" t="s">
        <v>24</v>
      </c>
      <c r="AJ335" s="5" t="s">
        <v>24</v>
      </c>
      <c r="AK335" s="5" t="s">
        <v>24</v>
      </c>
      <c r="AL335" s="5" t="str">
        <f>VLOOKUP(mambo!$H335,Sheet1!B:C,2,FALSE)</f>
        <v>#N/A</v>
      </c>
    </row>
    <row r="336" ht="15.75" customHeight="1">
      <c r="A336" s="5" t="s">
        <v>4009</v>
      </c>
      <c r="B336" s="5" t="s">
        <v>4010</v>
      </c>
      <c r="C336" s="5" t="s">
        <v>336</v>
      </c>
      <c r="D336" s="5" t="s">
        <v>24</v>
      </c>
      <c r="E336" s="5" t="s">
        <v>1848</v>
      </c>
      <c r="F336" s="5" t="s">
        <v>1849</v>
      </c>
      <c r="G336" s="5" t="s">
        <v>24</v>
      </c>
      <c r="H336" s="5" t="s">
        <v>911</v>
      </c>
      <c r="I336" s="5" t="s">
        <v>24</v>
      </c>
      <c r="J336" s="5" t="s">
        <v>24</v>
      </c>
      <c r="K336" s="5" t="s">
        <v>24</v>
      </c>
      <c r="L336" s="5" t="s">
        <v>24</v>
      </c>
      <c r="M336" s="5" t="s">
        <v>24</v>
      </c>
      <c r="N336" s="5" t="s">
        <v>24</v>
      </c>
      <c r="O336" s="5" t="s">
        <v>2715</v>
      </c>
      <c r="P336" s="5" t="s">
        <v>24</v>
      </c>
      <c r="Q336" s="5" t="s">
        <v>24</v>
      </c>
      <c r="R336" s="5" t="s">
        <v>24</v>
      </c>
      <c r="S336" s="5" t="s">
        <v>1852</v>
      </c>
      <c r="T336" s="5" t="s">
        <v>1895</v>
      </c>
      <c r="U336" s="5" t="s">
        <v>1895</v>
      </c>
      <c r="V336" s="5" t="s">
        <v>1854</v>
      </c>
      <c r="W336" s="5" t="s">
        <v>24</v>
      </c>
      <c r="X336" s="5" t="s">
        <v>24</v>
      </c>
      <c r="Y336" s="5" t="s">
        <v>4011</v>
      </c>
      <c r="Z336" s="5" t="s">
        <v>4012</v>
      </c>
      <c r="AA336" s="5" t="s">
        <v>4012</v>
      </c>
      <c r="AB336" s="5" t="s">
        <v>4012</v>
      </c>
      <c r="AC336" s="5" t="s">
        <v>24</v>
      </c>
      <c r="AD336" s="5" t="s">
        <v>24</v>
      </c>
      <c r="AE336" s="5" t="s">
        <v>24</v>
      </c>
      <c r="AF336" s="5" t="s">
        <v>24</v>
      </c>
      <c r="AG336" s="5" t="s">
        <v>24</v>
      </c>
      <c r="AH336" s="5" t="s">
        <v>24</v>
      </c>
      <c r="AI336" s="5" t="s">
        <v>24</v>
      </c>
      <c r="AJ336" s="5" t="s">
        <v>24</v>
      </c>
      <c r="AK336" s="5" t="s">
        <v>24</v>
      </c>
      <c r="AL336" s="5" t="str">
        <f>VLOOKUP(mambo!$H336,Sheet1!B:C,2,FALSE)</f>
        <v>1403834</v>
      </c>
    </row>
    <row r="337" ht="15.75" customHeight="1">
      <c r="A337" s="5" t="s">
        <v>4013</v>
      </c>
      <c r="B337" s="5" t="s">
        <v>4014</v>
      </c>
      <c r="C337" s="5" t="s">
        <v>336</v>
      </c>
      <c r="D337" s="5" t="s">
        <v>24</v>
      </c>
      <c r="E337" s="5" t="s">
        <v>1848</v>
      </c>
      <c r="F337" s="5" t="s">
        <v>1849</v>
      </c>
      <c r="G337" s="5" t="s">
        <v>24</v>
      </c>
      <c r="H337" s="5" t="s">
        <v>728</v>
      </c>
      <c r="I337" s="5" t="s">
        <v>24</v>
      </c>
      <c r="J337" s="5" t="s">
        <v>24</v>
      </c>
      <c r="K337" s="5" t="s">
        <v>24</v>
      </c>
      <c r="L337" s="5" t="s">
        <v>24</v>
      </c>
      <c r="M337" s="5" t="s">
        <v>24</v>
      </c>
      <c r="N337" s="5" t="s">
        <v>24</v>
      </c>
      <c r="O337" s="5" t="s">
        <v>2715</v>
      </c>
      <c r="P337" s="5" t="s">
        <v>24</v>
      </c>
      <c r="Q337" s="5" t="s">
        <v>24</v>
      </c>
      <c r="R337" s="5" t="s">
        <v>24</v>
      </c>
      <c r="S337" s="5" t="s">
        <v>1852</v>
      </c>
      <c r="T337" s="5" t="s">
        <v>1895</v>
      </c>
      <c r="U337" s="5" t="s">
        <v>1895</v>
      </c>
      <c r="V337" s="5" t="s">
        <v>1854</v>
      </c>
      <c r="W337" s="5" t="s">
        <v>24</v>
      </c>
      <c r="X337" s="5" t="s">
        <v>24</v>
      </c>
      <c r="Y337" s="5" t="s">
        <v>4015</v>
      </c>
      <c r="Z337" s="5" t="s">
        <v>4016</v>
      </c>
      <c r="AA337" s="5" t="s">
        <v>4016</v>
      </c>
      <c r="AB337" s="5" t="s">
        <v>4016</v>
      </c>
      <c r="AC337" s="5" t="s">
        <v>24</v>
      </c>
      <c r="AD337" s="5" t="s">
        <v>24</v>
      </c>
      <c r="AE337" s="5" t="s">
        <v>24</v>
      </c>
      <c r="AF337" s="5" t="s">
        <v>24</v>
      </c>
      <c r="AG337" s="5" t="s">
        <v>24</v>
      </c>
      <c r="AH337" s="5" t="s">
        <v>24</v>
      </c>
      <c r="AI337" s="5" t="s">
        <v>24</v>
      </c>
      <c r="AJ337" s="5" t="s">
        <v>24</v>
      </c>
      <c r="AK337" s="5" t="s">
        <v>24</v>
      </c>
      <c r="AL337" s="5" t="str">
        <f>VLOOKUP(mambo!$H337,Sheet1!B:C,2,FALSE)</f>
        <v>1403835</v>
      </c>
    </row>
    <row r="338" ht="15.75" customHeight="1">
      <c r="A338" s="5" t="s">
        <v>4017</v>
      </c>
      <c r="B338" s="5" t="s">
        <v>4018</v>
      </c>
      <c r="C338" s="5" t="s">
        <v>145</v>
      </c>
      <c r="D338" s="5" t="s">
        <v>24</v>
      </c>
      <c r="E338" s="5" t="s">
        <v>1848</v>
      </c>
      <c r="F338" s="5" t="s">
        <v>1849</v>
      </c>
      <c r="G338" s="5" t="s">
        <v>24</v>
      </c>
      <c r="H338" s="5" t="s">
        <v>1251</v>
      </c>
      <c r="I338" s="5" t="s">
        <v>24</v>
      </c>
      <c r="J338" s="5" t="s">
        <v>24</v>
      </c>
      <c r="K338" s="5" t="s">
        <v>24</v>
      </c>
      <c r="L338" s="5" t="s">
        <v>24</v>
      </c>
      <c r="M338" s="5" t="s">
        <v>24</v>
      </c>
      <c r="N338" s="5" t="s">
        <v>24</v>
      </c>
      <c r="O338" s="5" t="s">
        <v>1933</v>
      </c>
      <c r="P338" s="5" t="s">
        <v>24</v>
      </c>
      <c r="Q338" s="5" t="s">
        <v>24</v>
      </c>
      <c r="R338" s="5" t="s">
        <v>24</v>
      </c>
      <c r="S338" s="5" t="s">
        <v>1852</v>
      </c>
      <c r="T338" s="5" t="s">
        <v>2066</v>
      </c>
      <c r="U338" s="5" t="s">
        <v>2066</v>
      </c>
      <c r="V338" s="5" t="s">
        <v>1854</v>
      </c>
      <c r="W338" s="5" t="s">
        <v>24</v>
      </c>
      <c r="X338" s="5" t="s">
        <v>24</v>
      </c>
      <c r="Y338" s="5" t="s">
        <v>4019</v>
      </c>
      <c r="Z338" s="5" t="s">
        <v>4020</v>
      </c>
      <c r="AA338" s="5" t="s">
        <v>4020</v>
      </c>
      <c r="AB338" s="5" t="s">
        <v>4020</v>
      </c>
      <c r="AC338" s="5" t="s">
        <v>24</v>
      </c>
      <c r="AD338" s="5" t="s">
        <v>24</v>
      </c>
      <c r="AE338" s="5" t="s">
        <v>24</v>
      </c>
      <c r="AF338" s="5" t="s">
        <v>24</v>
      </c>
      <c r="AG338" s="5" t="s">
        <v>24</v>
      </c>
      <c r="AH338" s="5" t="s">
        <v>24</v>
      </c>
      <c r="AI338" s="5" t="s">
        <v>24</v>
      </c>
      <c r="AJ338" s="5" t="s">
        <v>24</v>
      </c>
      <c r="AK338" s="5" t="s">
        <v>24</v>
      </c>
      <c r="AL338" s="5" t="str">
        <f>VLOOKUP(mambo!$H338,Sheet1!B:C,2,FALSE)</f>
        <v>1395336</v>
      </c>
    </row>
    <row r="339" ht="15.75" customHeight="1">
      <c r="A339" s="5" t="s">
        <v>4021</v>
      </c>
      <c r="B339" s="5" t="s">
        <v>4022</v>
      </c>
      <c r="C339" s="5" t="s">
        <v>145</v>
      </c>
      <c r="D339" s="5" t="s">
        <v>24</v>
      </c>
      <c r="E339" s="5" t="s">
        <v>1848</v>
      </c>
      <c r="F339" s="5" t="s">
        <v>1849</v>
      </c>
      <c r="G339" s="5" t="s">
        <v>24</v>
      </c>
      <c r="H339" s="5" t="s">
        <v>1343</v>
      </c>
      <c r="I339" s="5" t="s">
        <v>24</v>
      </c>
      <c r="J339" s="5" t="s">
        <v>24</v>
      </c>
      <c r="K339" s="5" t="s">
        <v>24</v>
      </c>
      <c r="L339" s="5" t="s">
        <v>24</v>
      </c>
      <c r="M339" s="5" t="s">
        <v>24</v>
      </c>
      <c r="N339" s="5" t="s">
        <v>24</v>
      </c>
      <c r="O339" s="5" t="s">
        <v>1933</v>
      </c>
      <c r="P339" s="5" t="s">
        <v>24</v>
      </c>
      <c r="Q339" s="5" t="s">
        <v>24</v>
      </c>
      <c r="R339" s="5" t="s">
        <v>24</v>
      </c>
      <c r="S339" s="5" t="s">
        <v>1852</v>
      </c>
      <c r="T339" s="5" t="s">
        <v>2066</v>
      </c>
      <c r="U339" s="5" t="s">
        <v>2066</v>
      </c>
      <c r="V339" s="5" t="s">
        <v>1854</v>
      </c>
      <c r="W339" s="5" t="s">
        <v>24</v>
      </c>
      <c r="X339" s="5" t="s">
        <v>24</v>
      </c>
      <c r="Y339" s="5" t="s">
        <v>4023</v>
      </c>
      <c r="Z339" s="5" t="s">
        <v>4024</v>
      </c>
      <c r="AA339" s="5" t="s">
        <v>4024</v>
      </c>
      <c r="AB339" s="5" t="s">
        <v>4024</v>
      </c>
      <c r="AC339" s="5" t="s">
        <v>24</v>
      </c>
      <c r="AD339" s="5" t="s">
        <v>24</v>
      </c>
      <c r="AE339" s="5" t="s">
        <v>24</v>
      </c>
      <c r="AF339" s="5" t="s">
        <v>24</v>
      </c>
      <c r="AG339" s="5" t="s">
        <v>24</v>
      </c>
      <c r="AH339" s="5" t="s">
        <v>24</v>
      </c>
      <c r="AI339" s="5" t="s">
        <v>24</v>
      </c>
      <c r="AJ339" s="5" t="s">
        <v>24</v>
      </c>
      <c r="AK339" s="5" t="s">
        <v>24</v>
      </c>
      <c r="AL339" s="5" t="str">
        <f>VLOOKUP(mambo!$H339,Sheet1!B:C,2,FALSE)</f>
        <v>1395200</v>
      </c>
    </row>
    <row r="340" ht="15.75" customHeight="1">
      <c r="A340" s="5" t="s">
        <v>4025</v>
      </c>
      <c r="B340" s="5" t="s">
        <v>4026</v>
      </c>
      <c r="C340" s="5" t="s">
        <v>145</v>
      </c>
      <c r="D340" s="5" t="s">
        <v>24</v>
      </c>
      <c r="E340" s="5" t="s">
        <v>1848</v>
      </c>
      <c r="F340" s="5" t="s">
        <v>1849</v>
      </c>
      <c r="G340" s="5" t="s">
        <v>24</v>
      </c>
      <c r="H340" s="5" t="s">
        <v>692</v>
      </c>
      <c r="I340" s="5" t="s">
        <v>24</v>
      </c>
      <c r="J340" s="5" t="s">
        <v>24</v>
      </c>
      <c r="K340" s="5" t="s">
        <v>24</v>
      </c>
      <c r="L340" s="5" t="s">
        <v>24</v>
      </c>
      <c r="M340" s="5" t="s">
        <v>1885</v>
      </c>
      <c r="N340" s="5" t="s">
        <v>24</v>
      </c>
      <c r="O340" s="5" t="s">
        <v>1917</v>
      </c>
      <c r="P340" s="5" t="s">
        <v>24</v>
      </c>
      <c r="Q340" s="5" t="s">
        <v>24</v>
      </c>
      <c r="R340" s="5" t="s">
        <v>24</v>
      </c>
      <c r="S340" s="5" t="s">
        <v>1852</v>
      </c>
      <c r="T340" s="5" t="s">
        <v>1939</v>
      </c>
      <c r="U340" s="5" t="s">
        <v>1939</v>
      </c>
      <c r="V340" s="5" t="s">
        <v>1854</v>
      </c>
      <c r="W340" s="5" t="s">
        <v>24</v>
      </c>
      <c r="X340" s="5" t="s">
        <v>24</v>
      </c>
      <c r="Y340" s="5" t="s">
        <v>4027</v>
      </c>
      <c r="Z340" s="5" t="s">
        <v>4028</v>
      </c>
      <c r="AA340" s="5" t="s">
        <v>4028</v>
      </c>
      <c r="AB340" s="5" t="s">
        <v>4028</v>
      </c>
      <c r="AC340" s="5" t="s">
        <v>24</v>
      </c>
      <c r="AD340" s="5" t="s">
        <v>24</v>
      </c>
      <c r="AE340" s="5" t="s">
        <v>24</v>
      </c>
      <c r="AF340" s="5" t="s">
        <v>24</v>
      </c>
      <c r="AG340" s="5" t="s">
        <v>24</v>
      </c>
      <c r="AH340" s="5" t="s">
        <v>24</v>
      </c>
      <c r="AI340" s="5" t="s">
        <v>24</v>
      </c>
      <c r="AJ340" s="5" t="s">
        <v>24</v>
      </c>
      <c r="AK340" s="5" t="s">
        <v>24</v>
      </c>
      <c r="AL340" s="5" t="str">
        <f>VLOOKUP(mambo!$H340,Sheet1!B:C,2,FALSE)</f>
        <v>1395309</v>
      </c>
    </row>
    <row r="341" ht="15.75" customHeight="1">
      <c r="A341" s="5" t="s">
        <v>4029</v>
      </c>
      <c r="B341" s="5" t="s">
        <v>4030</v>
      </c>
      <c r="C341" s="5" t="s">
        <v>145</v>
      </c>
      <c r="D341" s="5" t="s">
        <v>24</v>
      </c>
      <c r="E341" s="5" t="s">
        <v>1848</v>
      </c>
      <c r="F341" s="5" t="s">
        <v>1849</v>
      </c>
      <c r="G341" s="5" t="s">
        <v>24</v>
      </c>
      <c r="H341" s="5" t="s">
        <v>1084</v>
      </c>
      <c r="I341" s="5" t="s">
        <v>24</v>
      </c>
      <c r="J341" s="5" t="s">
        <v>24</v>
      </c>
      <c r="K341" s="5" t="s">
        <v>24</v>
      </c>
      <c r="L341" s="5" t="s">
        <v>24</v>
      </c>
      <c r="M341" s="5" t="s">
        <v>24</v>
      </c>
      <c r="N341" s="5" t="s">
        <v>24</v>
      </c>
      <c r="O341" s="5" t="s">
        <v>1933</v>
      </c>
      <c r="P341" s="5" t="s">
        <v>24</v>
      </c>
      <c r="Q341" s="5" t="s">
        <v>24</v>
      </c>
      <c r="R341" s="5" t="s">
        <v>24</v>
      </c>
      <c r="S341" s="5" t="s">
        <v>1852</v>
      </c>
      <c r="T341" s="5" t="s">
        <v>2066</v>
      </c>
      <c r="U341" s="5" t="s">
        <v>2066</v>
      </c>
      <c r="V341" s="5" t="s">
        <v>1854</v>
      </c>
      <c r="W341" s="5" t="s">
        <v>24</v>
      </c>
      <c r="X341" s="5" t="s">
        <v>24</v>
      </c>
      <c r="Y341" s="5" t="s">
        <v>4031</v>
      </c>
      <c r="Z341" s="5" t="s">
        <v>4032</v>
      </c>
      <c r="AA341" s="5" t="s">
        <v>4032</v>
      </c>
      <c r="AB341" s="5" t="s">
        <v>4032</v>
      </c>
      <c r="AC341" s="5" t="s">
        <v>24</v>
      </c>
      <c r="AD341" s="5" t="s">
        <v>24</v>
      </c>
      <c r="AE341" s="5" t="s">
        <v>24</v>
      </c>
      <c r="AF341" s="5" t="s">
        <v>24</v>
      </c>
      <c r="AG341" s="5" t="s">
        <v>24</v>
      </c>
      <c r="AH341" s="5" t="s">
        <v>24</v>
      </c>
      <c r="AI341" s="5" t="s">
        <v>24</v>
      </c>
      <c r="AJ341" s="5" t="s">
        <v>24</v>
      </c>
      <c r="AK341" s="5" t="s">
        <v>24</v>
      </c>
      <c r="AL341" s="5" t="str">
        <f>VLOOKUP(mambo!$H341,Sheet1!B:C,2,FALSE)</f>
        <v>1395333</v>
      </c>
    </row>
    <row r="342" ht="15.75" customHeight="1">
      <c r="A342" s="5" t="s">
        <v>4033</v>
      </c>
      <c r="B342" s="5" t="s">
        <v>4034</v>
      </c>
      <c r="C342" s="5" t="s">
        <v>145</v>
      </c>
      <c r="D342" s="5" t="s">
        <v>24</v>
      </c>
      <c r="E342" s="5" t="s">
        <v>1848</v>
      </c>
      <c r="F342" s="5" t="s">
        <v>1849</v>
      </c>
      <c r="G342" s="5" t="s">
        <v>24</v>
      </c>
      <c r="H342" s="5" t="s">
        <v>697</v>
      </c>
      <c r="I342" s="5" t="s">
        <v>24</v>
      </c>
      <c r="J342" s="5" t="s">
        <v>24</v>
      </c>
      <c r="K342" s="5" t="s">
        <v>24</v>
      </c>
      <c r="L342" s="5" t="s">
        <v>24</v>
      </c>
      <c r="M342" s="5" t="s">
        <v>1885</v>
      </c>
      <c r="N342" s="5" t="s">
        <v>24</v>
      </c>
      <c r="O342" s="5" t="s">
        <v>1917</v>
      </c>
      <c r="P342" s="5" t="s">
        <v>24</v>
      </c>
      <c r="Q342" s="5" t="s">
        <v>24</v>
      </c>
      <c r="R342" s="5" t="s">
        <v>24</v>
      </c>
      <c r="S342" s="5" t="s">
        <v>1852</v>
      </c>
      <c r="T342" s="5" t="s">
        <v>1939</v>
      </c>
      <c r="U342" s="5" t="s">
        <v>1939</v>
      </c>
      <c r="V342" s="5" t="s">
        <v>1854</v>
      </c>
      <c r="W342" s="5" t="s">
        <v>24</v>
      </c>
      <c r="X342" s="5" t="s">
        <v>24</v>
      </c>
      <c r="Y342" s="5" t="s">
        <v>4035</v>
      </c>
      <c r="Z342" s="5" t="s">
        <v>4036</v>
      </c>
      <c r="AA342" s="5" t="s">
        <v>4036</v>
      </c>
      <c r="AB342" s="5" t="s">
        <v>4036</v>
      </c>
      <c r="AC342" s="5" t="s">
        <v>24</v>
      </c>
      <c r="AD342" s="5" t="s">
        <v>24</v>
      </c>
      <c r="AE342" s="5" t="s">
        <v>24</v>
      </c>
      <c r="AF342" s="5" t="s">
        <v>24</v>
      </c>
      <c r="AG342" s="5" t="s">
        <v>24</v>
      </c>
      <c r="AH342" s="5" t="s">
        <v>24</v>
      </c>
      <c r="AI342" s="5" t="s">
        <v>24</v>
      </c>
      <c r="AJ342" s="5" t="s">
        <v>24</v>
      </c>
      <c r="AK342" s="5" t="s">
        <v>24</v>
      </c>
      <c r="AL342" s="5" t="str">
        <f>VLOOKUP(mambo!$H342,Sheet1!B:C,2,FALSE)</f>
        <v>1395335</v>
      </c>
    </row>
    <row r="343" ht="15.75" customHeight="1">
      <c r="A343" s="5" t="s">
        <v>4037</v>
      </c>
      <c r="B343" s="5" t="s">
        <v>4038</v>
      </c>
      <c r="C343" s="5" t="s">
        <v>145</v>
      </c>
      <c r="D343" s="5" t="s">
        <v>24</v>
      </c>
      <c r="E343" s="5" t="s">
        <v>1848</v>
      </c>
      <c r="F343" s="5" t="s">
        <v>1849</v>
      </c>
      <c r="G343" s="5" t="s">
        <v>24</v>
      </c>
      <c r="H343" s="5" t="s">
        <v>1581</v>
      </c>
      <c r="I343" s="5" t="s">
        <v>24</v>
      </c>
      <c r="J343" s="5" t="s">
        <v>24</v>
      </c>
      <c r="K343" s="5" t="s">
        <v>24</v>
      </c>
      <c r="L343" s="5" t="s">
        <v>24</v>
      </c>
      <c r="M343" s="5" t="s">
        <v>24</v>
      </c>
      <c r="N343" s="5" t="s">
        <v>24</v>
      </c>
      <c r="O343" s="5" t="s">
        <v>1933</v>
      </c>
      <c r="P343" s="5" t="s">
        <v>24</v>
      </c>
      <c r="Q343" s="5" t="s">
        <v>24</v>
      </c>
      <c r="R343" s="5" t="s">
        <v>24</v>
      </c>
      <c r="S343" s="5" t="s">
        <v>1852</v>
      </c>
      <c r="T343" s="5" t="s">
        <v>2066</v>
      </c>
      <c r="U343" s="5" t="s">
        <v>2066</v>
      </c>
      <c r="V343" s="5" t="s">
        <v>1854</v>
      </c>
      <c r="W343" s="5" t="s">
        <v>24</v>
      </c>
      <c r="X343" s="5" t="s">
        <v>24</v>
      </c>
      <c r="Y343" s="5" t="s">
        <v>4039</v>
      </c>
      <c r="Z343" s="5" t="s">
        <v>4040</v>
      </c>
      <c r="AA343" s="5" t="s">
        <v>4040</v>
      </c>
      <c r="AB343" s="5" t="s">
        <v>4040</v>
      </c>
      <c r="AC343" s="5" t="s">
        <v>24</v>
      </c>
      <c r="AD343" s="5" t="s">
        <v>24</v>
      </c>
      <c r="AE343" s="5" t="s">
        <v>24</v>
      </c>
      <c r="AF343" s="5" t="s">
        <v>24</v>
      </c>
      <c r="AG343" s="5" t="s">
        <v>24</v>
      </c>
      <c r="AH343" s="5" t="s">
        <v>24</v>
      </c>
      <c r="AI343" s="5" t="s">
        <v>24</v>
      </c>
      <c r="AJ343" s="5" t="s">
        <v>24</v>
      </c>
      <c r="AK343" s="5" t="s">
        <v>24</v>
      </c>
      <c r="AL343" s="5" t="str">
        <f>VLOOKUP(mambo!$H343,Sheet1!B:C,2,FALSE)</f>
        <v>1395337</v>
      </c>
    </row>
    <row r="344" ht="15.75" customHeight="1">
      <c r="A344" s="5" t="s">
        <v>4041</v>
      </c>
      <c r="B344" s="5" t="s">
        <v>4042</v>
      </c>
      <c r="C344" s="5" t="s">
        <v>145</v>
      </c>
      <c r="D344" s="5" t="s">
        <v>24</v>
      </c>
      <c r="E344" s="5" t="s">
        <v>1848</v>
      </c>
      <c r="F344" s="5" t="s">
        <v>1849</v>
      </c>
      <c r="G344" s="5" t="s">
        <v>24</v>
      </c>
      <c r="H344" s="5" t="s">
        <v>1158</v>
      </c>
      <c r="I344" s="5" t="s">
        <v>24</v>
      </c>
      <c r="J344" s="5" t="s">
        <v>24</v>
      </c>
      <c r="K344" s="5" t="s">
        <v>24</v>
      </c>
      <c r="L344" s="5" t="s">
        <v>24</v>
      </c>
      <c r="M344" s="5" t="s">
        <v>24</v>
      </c>
      <c r="N344" s="5" t="s">
        <v>24</v>
      </c>
      <c r="O344" s="5" t="s">
        <v>1933</v>
      </c>
      <c r="P344" s="5" t="s">
        <v>24</v>
      </c>
      <c r="Q344" s="5" t="s">
        <v>24</v>
      </c>
      <c r="R344" s="5" t="s">
        <v>24</v>
      </c>
      <c r="S344" s="5" t="s">
        <v>1852</v>
      </c>
      <c r="T344" s="5" t="s">
        <v>2066</v>
      </c>
      <c r="U344" s="5" t="s">
        <v>2066</v>
      </c>
      <c r="V344" s="5" t="s">
        <v>1854</v>
      </c>
      <c r="W344" s="5" t="s">
        <v>24</v>
      </c>
      <c r="X344" s="5" t="s">
        <v>24</v>
      </c>
      <c r="Y344" s="5" t="s">
        <v>4043</v>
      </c>
      <c r="Z344" s="5" t="s">
        <v>4044</v>
      </c>
      <c r="AA344" s="5" t="s">
        <v>4044</v>
      </c>
      <c r="AB344" s="5" t="s">
        <v>4044</v>
      </c>
      <c r="AC344" s="5" t="s">
        <v>24</v>
      </c>
      <c r="AD344" s="5" t="s">
        <v>24</v>
      </c>
      <c r="AE344" s="5" t="s">
        <v>24</v>
      </c>
      <c r="AF344" s="5" t="s">
        <v>24</v>
      </c>
      <c r="AG344" s="5" t="s">
        <v>24</v>
      </c>
      <c r="AH344" s="5" t="s">
        <v>24</v>
      </c>
      <c r="AI344" s="5" t="s">
        <v>24</v>
      </c>
      <c r="AJ344" s="5" t="s">
        <v>24</v>
      </c>
      <c r="AK344" s="5" t="s">
        <v>24</v>
      </c>
      <c r="AL344" s="5" t="str">
        <f>VLOOKUP(mambo!$H344,Sheet1!B:C,2,FALSE)</f>
        <v>1395201</v>
      </c>
    </row>
    <row r="345" ht="15.75" customHeight="1">
      <c r="A345" s="5" t="s">
        <v>4045</v>
      </c>
      <c r="B345" s="5" t="s">
        <v>4046</v>
      </c>
      <c r="C345" s="5" t="s">
        <v>145</v>
      </c>
      <c r="D345" s="5" t="s">
        <v>24</v>
      </c>
      <c r="E345" s="5" t="s">
        <v>1848</v>
      </c>
      <c r="F345" s="5" t="s">
        <v>1849</v>
      </c>
      <c r="G345" s="5" t="s">
        <v>24</v>
      </c>
      <c r="H345" s="5" t="s">
        <v>667</v>
      </c>
      <c r="I345" s="5" t="s">
        <v>24</v>
      </c>
      <c r="J345" s="5" t="s">
        <v>24</v>
      </c>
      <c r="K345" s="5" t="s">
        <v>24</v>
      </c>
      <c r="L345" s="5" t="s">
        <v>24</v>
      </c>
      <c r="M345" s="5" t="s">
        <v>1885</v>
      </c>
      <c r="N345" s="5" t="s">
        <v>24</v>
      </c>
      <c r="O345" s="5" t="s">
        <v>1917</v>
      </c>
      <c r="P345" s="5" t="s">
        <v>24</v>
      </c>
      <c r="Q345" s="5" t="s">
        <v>24</v>
      </c>
      <c r="R345" s="5" t="s">
        <v>24</v>
      </c>
      <c r="S345" s="5" t="s">
        <v>1852</v>
      </c>
      <c r="T345" s="5" t="s">
        <v>1939</v>
      </c>
      <c r="U345" s="5" t="s">
        <v>1939</v>
      </c>
      <c r="V345" s="5" t="s">
        <v>1854</v>
      </c>
      <c r="W345" s="5" t="s">
        <v>24</v>
      </c>
      <c r="X345" s="5" t="s">
        <v>24</v>
      </c>
      <c r="Y345" s="5" t="s">
        <v>4047</v>
      </c>
      <c r="Z345" s="5" t="s">
        <v>4048</v>
      </c>
      <c r="AA345" s="5" t="s">
        <v>4048</v>
      </c>
      <c r="AB345" s="5" t="s">
        <v>4048</v>
      </c>
      <c r="AC345" s="5" t="s">
        <v>24</v>
      </c>
      <c r="AD345" s="5" t="s">
        <v>24</v>
      </c>
      <c r="AE345" s="5" t="s">
        <v>24</v>
      </c>
      <c r="AF345" s="5" t="s">
        <v>24</v>
      </c>
      <c r="AG345" s="5" t="s">
        <v>24</v>
      </c>
      <c r="AH345" s="5" t="s">
        <v>24</v>
      </c>
      <c r="AI345" s="5" t="s">
        <v>24</v>
      </c>
      <c r="AJ345" s="5" t="s">
        <v>24</v>
      </c>
      <c r="AK345" s="5" t="s">
        <v>24</v>
      </c>
      <c r="AL345" s="5" t="str">
        <f>VLOOKUP(mambo!$H345,Sheet1!B:C,2,FALSE)</f>
        <v>1395451</v>
      </c>
    </row>
    <row r="346" ht="15.75" customHeight="1">
      <c r="A346" s="5" t="s">
        <v>4049</v>
      </c>
      <c r="B346" s="5" t="s">
        <v>4050</v>
      </c>
      <c r="C346" s="5" t="s">
        <v>145</v>
      </c>
      <c r="D346" s="5" t="s">
        <v>24</v>
      </c>
      <c r="E346" s="5" t="s">
        <v>1848</v>
      </c>
      <c r="F346" s="5" t="s">
        <v>1849</v>
      </c>
      <c r="G346" s="5" t="s">
        <v>24</v>
      </c>
      <c r="H346" s="5" t="s">
        <v>1576</v>
      </c>
      <c r="I346" s="5" t="s">
        <v>24</v>
      </c>
      <c r="J346" s="5" t="s">
        <v>24</v>
      </c>
      <c r="K346" s="5" t="s">
        <v>24</v>
      </c>
      <c r="L346" s="5" t="s">
        <v>24</v>
      </c>
      <c r="M346" s="5" t="s">
        <v>24</v>
      </c>
      <c r="N346" s="5" t="s">
        <v>24</v>
      </c>
      <c r="O346" s="5" t="s">
        <v>1933</v>
      </c>
      <c r="P346" s="5" t="s">
        <v>24</v>
      </c>
      <c r="Q346" s="5" t="s">
        <v>24</v>
      </c>
      <c r="R346" s="5" t="s">
        <v>24</v>
      </c>
      <c r="S346" s="5" t="s">
        <v>1852</v>
      </c>
      <c r="T346" s="5" t="s">
        <v>4051</v>
      </c>
      <c r="U346" s="5" t="s">
        <v>4051</v>
      </c>
      <c r="V346" s="5" t="s">
        <v>1854</v>
      </c>
      <c r="W346" s="5" t="s">
        <v>24</v>
      </c>
      <c r="X346" s="5" t="s">
        <v>24</v>
      </c>
      <c r="Y346" s="5" t="s">
        <v>4052</v>
      </c>
      <c r="Z346" s="5" t="s">
        <v>4053</v>
      </c>
      <c r="AA346" s="5" t="s">
        <v>4053</v>
      </c>
      <c r="AB346" s="5" t="s">
        <v>4053</v>
      </c>
      <c r="AC346" s="5" t="s">
        <v>24</v>
      </c>
      <c r="AD346" s="5" t="s">
        <v>24</v>
      </c>
      <c r="AE346" s="5" t="s">
        <v>24</v>
      </c>
      <c r="AF346" s="5" t="s">
        <v>24</v>
      </c>
      <c r="AG346" s="5" t="s">
        <v>24</v>
      </c>
      <c r="AH346" s="5" t="s">
        <v>24</v>
      </c>
      <c r="AI346" s="5" t="s">
        <v>24</v>
      </c>
      <c r="AJ346" s="5" t="s">
        <v>24</v>
      </c>
      <c r="AK346" s="5" t="s">
        <v>24</v>
      </c>
      <c r="AL346" s="5" t="str">
        <f>VLOOKUP(mambo!$H346,Sheet1!B:C,2,FALSE)</f>
        <v>1395332</v>
      </c>
    </row>
    <row r="347" ht="15.75" hidden="1" customHeight="1">
      <c r="A347" s="5" t="s">
        <v>4054</v>
      </c>
      <c r="B347" s="5" t="s">
        <v>4055</v>
      </c>
      <c r="C347" s="5" t="s">
        <v>227</v>
      </c>
      <c r="D347" s="5" t="s">
        <v>24</v>
      </c>
      <c r="E347" s="5" t="s">
        <v>1848</v>
      </c>
      <c r="F347" s="5" t="s">
        <v>1849</v>
      </c>
      <c r="G347" s="5" t="s">
        <v>24</v>
      </c>
      <c r="H347" s="5" t="s">
        <v>4056</v>
      </c>
      <c r="I347" s="5" t="s">
        <v>24</v>
      </c>
      <c r="J347" s="5" t="s">
        <v>24</v>
      </c>
      <c r="K347" s="5" t="s">
        <v>24</v>
      </c>
      <c r="L347" s="5" t="s">
        <v>24</v>
      </c>
      <c r="M347" s="5" t="s">
        <v>24</v>
      </c>
      <c r="N347" s="5" t="s">
        <v>24</v>
      </c>
      <c r="O347" s="5" t="s">
        <v>1885</v>
      </c>
      <c r="P347" s="5" t="s">
        <v>24</v>
      </c>
      <c r="Q347" s="5" t="s">
        <v>24</v>
      </c>
      <c r="R347" s="5" t="s">
        <v>24</v>
      </c>
      <c r="S347" s="5" t="s">
        <v>2020</v>
      </c>
      <c r="T347" s="5" t="s">
        <v>2021</v>
      </c>
      <c r="U347" s="5" t="s">
        <v>2021</v>
      </c>
      <c r="V347" s="5" t="s">
        <v>24</v>
      </c>
      <c r="W347" s="5" t="s">
        <v>24</v>
      </c>
      <c r="X347" s="5" t="s">
        <v>24</v>
      </c>
      <c r="Y347" s="5" t="s">
        <v>4057</v>
      </c>
      <c r="Z347" s="5" t="s">
        <v>4058</v>
      </c>
      <c r="AA347" s="5" t="s">
        <v>4058</v>
      </c>
      <c r="AB347" s="5" t="s">
        <v>4058</v>
      </c>
      <c r="AC347" s="5" t="s">
        <v>24</v>
      </c>
      <c r="AD347" s="5" t="s">
        <v>24</v>
      </c>
      <c r="AE347" s="5" t="s">
        <v>24</v>
      </c>
      <c r="AF347" s="5" t="s">
        <v>24</v>
      </c>
      <c r="AG347" s="5" t="s">
        <v>24</v>
      </c>
      <c r="AH347" s="5" t="s">
        <v>24</v>
      </c>
      <c r="AI347" s="5" t="s">
        <v>24</v>
      </c>
      <c r="AJ347" s="5" t="s">
        <v>24</v>
      </c>
      <c r="AK347" s="5" t="s">
        <v>24</v>
      </c>
      <c r="AL347" s="5" t="str">
        <f>VLOOKUP(mambo!$H347,Sheet1!B:C,2,FALSE)</f>
        <v>#N/A</v>
      </c>
    </row>
    <row r="348" ht="15.75" customHeight="1">
      <c r="A348" s="5" t="s">
        <v>4059</v>
      </c>
      <c r="B348" s="5" t="s">
        <v>4060</v>
      </c>
      <c r="C348" s="5" t="s">
        <v>503</v>
      </c>
      <c r="D348" s="5" t="s">
        <v>24</v>
      </c>
      <c r="E348" s="5" t="s">
        <v>1848</v>
      </c>
      <c r="F348" s="5" t="s">
        <v>1849</v>
      </c>
      <c r="G348" s="5" t="s">
        <v>24</v>
      </c>
      <c r="H348" s="5" t="s">
        <v>869</v>
      </c>
      <c r="I348" s="5" t="s">
        <v>24</v>
      </c>
      <c r="J348" s="5" t="s">
        <v>24</v>
      </c>
      <c r="K348" s="5" t="s">
        <v>24</v>
      </c>
      <c r="L348" s="5" t="s">
        <v>24</v>
      </c>
      <c r="M348" s="5" t="s">
        <v>1885</v>
      </c>
      <c r="N348" s="5" t="s">
        <v>24</v>
      </c>
      <c r="O348" s="5" t="s">
        <v>4061</v>
      </c>
      <c r="P348" s="5" t="s">
        <v>24</v>
      </c>
      <c r="Q348" s="5" t="s">
        <v>24</v>
      </c>
      <c r="R348" s="5" t="s">
        <v>24</v>
      </c>
      <c r="S348" s="5" t="s">
        <v>1852</v>
      </c>
      <c r="T348" s="5" t="s">
        <v>2900</v>
      </c>
      <c r="U348" s="5" t="s">
        <v>2900</v>
      </c>
      <c r="V348" s="5" t="s">
        <v>1854</v>
      </c>
      <c r="W348" s="5" t="s">
        <v>24</v>
      </c>
      <c r="X348" s="5" t="s">
        <v>24</v>
      </c>
      <c r="Y348" s="5" t="s">
        <v>4062</v>
      </c>
      <c r="Z348" s="5" t="s">
        <v>4063</v>
      </c>
      <c r="AA348" s="5" t="s">
        <v>4063</v>
      </c>
      <c r="AB348" s="5" t="s">
        <v>4063</v>
      </c>
      <c r="AC348" s="5" t="s">
        <v>4064</v>
      </c>
      <c r="AD348" s="5" t="s">
        <v>4065</v>
      </c>
      <c r="AE348" s="5" t="s">
        <v>4066</v>
      </c>
      <c r="AF348" s="5" t="s">
        <v>4067</v>
      </c>
      <c r="AG348" s="5" t="s">
        <v>4068</v>
      </c>
      <c r="AH348" s="5" t="s">
        <v>4069</v>
      </c>
      <c r="AI348" s="5" t="s">
        <v>4070</v>
      </c>
      <c r="AJ348" s="5" t="s">
        <v>4071</v>
      </c>
      <c r="AK348" s="5" t="s">
        <v>4072</v>
      </c>
      <c r="AL348" s="5" t="str">
        <f>VLOOKUP(mambo!$H348,Sheet1!B:C,2,FALSE)</f>
        <v>1391067</v>
      </c>
    </row>
    <row r="349" ht="15.75" hidden="1" customHeight="1">
      <c r="A349" s="5" t="s">
        <v>4073</v>
      </c>
      <c r="B349" s="5" t="s">
        <v>4074</v>
      </c>
      <c r="C349" s="5" t="s">
        <v>139</v>
      </c>
      <c r="D349" s="5" t="s">
        <v>24</v>
      </c>
      <c r="E349" s="5" t="s">
        <v>1848</v>
      </c>
      <c r="F349" s="5" t="s">
        <v>1849</v>
      </c>
      <c r="G349" s="5" t="s">
        <v>24</v>
      </c>
      <c r="H349" s="5" t="s">
        <v>4075</v>
      </c>
      <c r="I349" s="5" t="s">
        <v>24</v>
      </c>
      <c r="J349" s="5" t="s">
        <v>24</v>
      </c>
      <c r="K349" s="5" t="s">
        <v>24</v>
      </c>
      <c r="L349" s="5" t="s">
        <v>24</v>
      </c>
      <c r="M349" s="5" t="s">
        <v>1885</v>
      </c>
      <c r="N349" s="5" t="s">
        <v>24</v>
      </c>
      <c r="O349" s="5" t="s">
        <v>1894</v>
      </c>
      <c r="P349" s="5" t="s">
        <v>24</v>
      </c>
      <c r="Q349" s="5" t="s">
        <v>24</v>
      </c>
      <c r="R349" s="5" t="s">
        <v>24</v>
      </c>
      <c r="S349" s="5" t="s">
        <v>1852</v>
      </c>
      <c r="T349" s="5" t="s">
        <v>1923</v>
      </c>
      <c r="U349" s="5" t="s">
        <v>1923</v>
      </c>
      <c r="V349" s="5" t="s">
        <v>1854</v>
      </c>
      <c r="W349" s="5" t="s">
        <v>24</v>
      </c>
      <c r="X349" s="5" t="s">
        <v>24</v>
      </c>
      <c r="Y349" s="5" t="s">
        <v>4076</v>
      </c>
      <c r="Z349" s="5" t="s">
        <v>4077</v>
      </c>
      <c r="AA349" s="5" t="s">
        <v>4077</v>
      </c>
      <c r="AB349" s="5" t="s">
        <v>4077</v>
      </c>
      <c r="AC349" s="5" t="s">
        <v>4078</v>
      </c>
      <c r="AD349" s="5" t="s">
        <v>4079</v>
      </c>
      <c r="AE349" s="5" t="s">
        <v>4080</v>
      </c>
      <c r="AF349" s="5" t="s">
        <v>4081</v>
      </c>
      <c r="AG349" s="5" t="s">
        <v>24</v>
      </c>
      <c r="AH349" s="5" t="s">
        <v>24</v>
      </c>
      <c r="AI349" s="5" t="s">
        <v>24</v>
      </c>
      <c r="AJ349" s="5" t="s">
        <v>24</v>
      </c>
      <c r="AK349" s="5" t="s">
        <v>24</v>
      </c>
      <c r="AL349" s="5" t="str">
        <f>VLOOKUP(mambo!$H349,Sheet1!B:C,2,FALSE)</f>
        <v>#N/A</v>
      </c>
    </row>
    <row r="350" ht="15.75" customHeight="1">
      <c r="A350" s="5" t="s">
        <v>4082</v>
      </c>
      <c r="B350" s="5" t="s">
        <v>4083</v>
      </c>
      <c r="C350" s="5" t="s">
        <v>139</v>
      </c>
      <c r="D350" s="5" t="s">
        <v>24</v>
      </c>
      <c r="E350" s="5" t="s">
        <v>1848</v>
      </c>
      <c r="F350" s="5" t="s">
        <v>1849</v>
      </c>
      <c r="G350" s="5" t="s">
        <v>24</v>
      </c>
      <c r="H350" s="5" t="s">
        <v>702</v>
      </c>
      <c r="I350" s="5" t="s">
        <v>24</v>
      </c>
      <c r="J350" s="5" t="s">
        <v>24</v>
      </c>
      <c r="K350" s="5" t="s">
        <v>24</v>
      </c>
      <c r="L350" s="5" t="s">
        <v>24</v>
      </c>
      <c r="M350" s="5" t="s">
        <v>1885</v>
      </c>
      <c r="N350" s="5" t="s">
        <v>24</v>
      </c>
      <c r="O350" s="5" t="s">
        <v>24</v>
      </c>
      <c r="P350" s="5" t="s">
        <v>24</v>
      </c>
      <c r="Q350" s="5" t="s">
        <v>24</v>
      </c>
      <c r="R350" s="5" t="s">
        <v>24</v>
      </c>
      <c r="S350" s="5" t="s">
        <v>1852</v>
      </c>
      <c r="T350" s="5" t="s">
        <v>1923</v>
      </c>
      <c r="U350" s="5" t="s">
        <v>1923</v>
      </c>
      <c r="V350" s="5" t="s">
        <v>1854</v>
      </c>
      <c r="W350" s="5" t="s">
        <v>24</v>
      </c>
      <c r="X350" s="5" t="s">
        <v>24</v>
      </c>
      <c r="Y350" s="5" t="s">
        <v>4084</v>
      </c>
      <c r="Z350" s="5" t="s">
        <v>4085</v>
      </c>
      <c r="AA350" s="5" t="s">
        <v>4085</v>
      </c>
      <c r="AB350" s="5" t="s">
        <v>4085</v>
      </c>
      <c r="AC350" s="5" t="s">
        <v>24</v>
      </c>
      <c r="AD350" s="5" t="s">
        <v>24</v>
      </c>
      <c r="AE350" s="5" t="s">
        <v>24</v>
      </c>
      <c r="AF350" s="5" t="s">
        <v>24</v>
      </c>
      <c r="AG350" s="5" t="s">
        <v>24</v>
      </c>
      <c r="AH350" s="5" t="s">
        <v>24</v>
      </c>
      <c r="AI350" s="5" t="s">
        <v>24</v>
      </c>
      <c r="AJ350" s="5" t="s">
        <v>24</v>
      </c>
      <c r="AK350" s="5" t="s">
        <v>24</v>
      </c>
      <c r="AL350" s="5" t="str">
        <f>VLOOKUP(mambo!$H350,Sheet1!B:C,2,FALSE)</f>
        <v>1386316</v>
      </c>
    </row>
    <row r="351" ht="15.75" hidden="1" customHeight="1">
      <c r="A351" s="5" t="s">
        <v>4086</v>
      </c>
      <c r="B351" s="5" t="s">
        <v>4087</v>
      </c>
      <c r="C351" s="5" t="s">
        <v>139</v>
      </c>
      <c r="D351" s="5" t="s">
        <v>24</v>
      </c>
      <c r="E351" s="5" t="s">
        <v>1848</v>
      </c>
      <c r="F351" s="5" t="s">
        <v>1849</v>
      </c>
      <c r="G351" s="5" t="s">
        <v>24</v>
      </c>
      <c r="H351" s="5" t="s">
        <v>4088</v>
      </c>
      <c r="I351" s="5" t="s">
        <v>24</v>
      </c>
      <c r="J351" s="5" t="s">
        <v>24</v>
      </c>
      <c r="K351" s="5" t="s">
        <v>24</v>
      </c>
      <c r="L351" s="5" t="s">
        <v>24</v>
      </c>
      <c r="M351" s="5" t="s">
        <v>1885</v>
      </c>
      <c r="N351" s="5" t="s">
        <v>24</v>
      </c>
      <c r="O351" s="5" t="s">
        <v>4089</v>
      </c>
      <c r="P351" s="5" t="s">
        <v>24</v>
      </c>
      <c r="Q351" s="5" t="s">
        <v>24</v>
      </c>
      <c r="R351" s="5" t="s">
        <v>24</v>
      </c>
      <c r="S351" s="5" t="s">
        <v>2020</v>
      </c>
      <c r="T351" s="5" t="s">
        <v>2021</v>
      </c>
      <c r="U351" s="5" t="s">
        <v>2021</v>
      </c>
      <c r="V351" s="5" t="s">
        <v>24</v>
      </c>
      <c r="W351" s="5" t="s">
        <v>24</v>
      </c>
      <c r="X351" s="5" t="s">
        <v>24</v>
      </c>
      <c r="Y351" s="5" t="s">
        <v>4090</v>
      </c>
      <c r="Z351" s="5" t="s">
        <v>4091</v>
      </c>
      <c r="AA351" s="5" t="s">
        <v>4091</v>
      </c>
      <c r="AB351" s="5" t="s">
        <v>4091</v>
      </c>
      <c r="AC351" s="5" t="s">
        <v>4092</v>
      </c>
      <c r="AD351" s="5" t="s">
        <v>4093</v>
      </c>
      <c r="AE351" s="5" t="s">
        <v>4094</v>
      </c>
      <c r="AF351" s="5" t="s">
        <v>4095</v>
      </c>
      <c r="AG351" s="5" t="s">
        <v>4096</v>
      </c>
      <c r="AH351" s="5" t="s">
        <v>4097</v>
      </c>
      <c r="AI351" s="5" t="s">
        <v>4098</v>
      </c>
      <c r="AJ351" s="5" t="s">
        <v>4099</v>
      </c>
      <c r="AK351" s="5" t="s">
        <v>4100</v>
      </c>
      <c r="AL351" s="5" t="str">
        <f>VLOOKUP(mambo!$H351,Sheet1!B:C,2,FALSE)</f>
        <v>#N/A</v>
      </c>
    </row>
    <row r="352" ht="15.75" hidden="1" customHeight="1">
      <c r="A352" s="5" t="s">
        <v>4101</v>
      </c>
      <c r="B352" s="5" t="s">
        <v>4102</v>
      </c>
      <c r="C352" s="5" t="s">
        <v>139</v>
      </c>
      <c r="D352" s="5" t="s">
        <v>24</v>
      </c>
      <c r="E352" s="5" t="s">
        <v>1848</v>
      </c>
      <c r="F352" s="5" t="s">
        <v>1849</v>
      </c>
      <c r="G352" s="5" t="s">
        <v>24</v>
      </c>
      <c r="H352" s="5" t="s">
        <v>4103</v>
      </c>
      <c r="I352" s="5" t="s">
        <v>24</v>
      </c>
      <c r="J352" s="5" t="s">
        <v>24</v>
      </c>
      <c r="K352" s="5" t="s">
        <v>24</v>
      </c>
      <c r="L352" s="5" t="s">
        <v>24</v>
      </c>
      <c r="M352" s="5" t="s">
        <v>1885</v>
      </c>
      <c r="N352" s="5" t="s">
        <v>24</v>
      </c>
      <c r="O352" s="5" t="s">
        <v>4104</v>
      </c>
      <c r="P352" s="5" t="s">
        <v>24</v>
      </c>
      <c r="Q352" s="5" t="s">
        <v>24</v>
      </c>
      <c r="R352" s="5" t="s">
        <v>24</v>
      </c>
      <c r="S352" s="5" t="s">
        <v>1852</v>
      </c>
      <c r="T352" s="5" t="s">
        <v>1923</v>
      </c>
      <c r="U352" s="5" t="s">
        <v>1923</v>
      </c>
      <c r="V352" s="5" t="s">
        <v>1854</v>
      </c>
      <c r="W352" s="5" t="s">
        <v>24</v>
      </c>
      <c r="X352" s="5" t="s">
        <v>24</v>
      </c>
      <c r="Y352" s="5" t="s">
        <v>4105</v>
      </c>
      <c r="Z352" s="5" t="s">
        <v>4106</v>
      </c>
      <c r="AA352" s="5" t="s">
        <v>4106</v>
      </c>
      <c r="AB352" s="5" t="s">
        <v>4106</v>
      </c>
      <c r="AC352" s="5" t="s">
        <v>4107</v>
      </c>
      <c r="AD352" s="5" t="s">
        <v>4108</v>
      </c>
      <c r="AE352" s="5" t="s">
        <v>4109</v>
      </c>
      <c r="AF352" s="5" t="s">
        <v>4110</v>
      </c>
      <c r="AG352" s="5" t="s">
        <v>24</v>
      </c>
      <c r="AH352" s="5" t="s">
        <v>24</v>
      </c>
      <c r="AI352" s="5" t="s">
        <v>24</v>
      </c>
      <c r="AJ352" s="5" t="s">
        <v>24</v>
      </c>
      <c r="AK352" s="5" t="s">
        <v>24</v>
      </c>
      <c r="AL352" s="5" t="str">
        <f>VLOOKUP(mambo!$H352,Sheet1!B:C,2,FALSE)</f>
        <v>#N/A</v>
      </c>
    </row>
    <row r="353" ht="15.75" customHeight="1">
      <c r="A353" s="5" t="s">
        <v>4111</v>
      </c>
      <c r="B353" s="5" t="s">
        <v>4112</v>
      </c>
      <c r="C353" s="5" t="s">
        <v>503</v>
      </c>
      <c r="D353" s="5" t="s">
        <v>24</v>
      </c>
      <c r="E353" s="5" t="s">
        <v>1848</v>
      </c>
      <c r="F353" s="5" t="s">
        <v>1849</v>
      </c>
      <c r="G353" s="5" t="s">
        <v>24</v>
      </c>
      <c r="H353" s="5" t="s">
        <v>1179</v>
      </c>
      <c r="I353" s="5" t="s">
        <v>24</v>
      </c>
      <c r="J353" s="5" t="s">
        <v>24</v>
      </c>
      <c r="K353" s="5" t="s">
        <v>24</v>
      </c>
      <c r="L353" s="5" t="s">
        <v>24</v>
      </c>
      <c r="M353" s="5" t="s">
        <v>1885</v>
      </c>
      <c r="N353" s="5" t="s">
        <v>24</v>
      </c>
      <c r="O353" s="5" t="s">
        <v>3432</v>
      </c>
      <c r="P353" s="5" t="s">
        <v>24</v>
      </c>
      <c r="Q353" s="5" t="s">
        <v>24</v>
      </c>
      <c r="R353" s="5" t="s">
        <v>24</v>
      </c>
      <c r="S353" s="5" t="s">
        <v>1852</v>
      </c>
      <c r="T353" s="5" t="s">
        <v>3403</v>
      </c>
      <c r="U353" s="5" t="s">
        <v>3403</v>
      </c>
      <c r="V353" s="5" t="s">
        <v>1854</v>
      </c>
      <c r="W353" s="5" t="s">
        <v>24</v>
      </c>
      <c r="X353" s="5" t="s">
        <v>24</v>
      </c>
      <c r="Y353" s="5" t="s">
        <v>4113</v>
      </c>
      <c r="Z353" s="5" t="s">
        <v>4114</v>
      </c>
      <c r="AA353" s="5" t="s">
        <v>4114</v>
      </c>
      <c r="AB353" s="5" t="s">
        <v>4114</v>
      </c>
      <c r="AC353" s="5" t="s">
        <v>4115</v>
      </c>
      <c r="AD353" s="5" t="s">
        <v>4116</v>
      </c>
      <c r="AE353" s="5" t="s">
        <v>4117</v>
      </c>
      <c r="AF353" s="5" t="s">
        <v>4118</v>
      </c>
      <c r="AG353" s="5" t="s">
        <v>4119</v>
      </c>
      <c r="AH353" s="5" t="s">
        <v>24</v>
      </c>
      <c r="AI353" s="5" t="s">
        <v>24</v>
      </c>
      <c r="AJ353" s="5" t="s">
        <v>24</v>
      </c>
      <c r="AK353" s="5" t="s">
        <v>24</v>
      </c>
      <c r="AL353" s="5" t="str">
        <f>VLOOKUP(mambo!$H353,Sheet1!B:C,2,FALSE)</f>
        <v>1391063</v>
      </c>
    </row>
    <row r="354" ht="15.75" hidden="1" customHeight="1">
      <c r="A354" s="5" t="s">
        <v>4120</v>
      </c>
      <c r="B354" s="5" t="s">
        <v>4121</v>
      </c>
      <c r="C354" s="5" t="s">
        <v>503</v>
      </c>
      <c r="D354" s="5" t="s">
        <v>24</v>
      </c>
      <c r="E354" s="5" t="s">
        <v>1848</v>
      </c>
      <c r="F354" s="5" t="s">
        <v>1849</v>
      </c>
      <c r="G354" s="5" t="s">
        <v>24</v>
      </c>
      <c r="H354" s="5" t="s">
        <v>4122</v>
      </c>
      <c r="I354" s="5" t="s">
        <v>24</v>
      </c>
      <c r="J354" s="5" t="s">
        <v>24</v>
      </c>
      <c r="K354" s="5" t="s">
        <v>24</v>
      </c>
      <c r="L354" s="5" t="s">
        <v>24</v>
      </c>
      <c r="M354" s="5" t="s">
        <v>1885</v>
      </c>
      <c r="N354" s="5" t="s">
        <v>24</v>
      </c>
      <c r="O354" s="5" t="s">
        <v>1986</v>
      </c>
      <c r="P354" s="5" t="s">
        <v>24</v>
      </c>
      <c r="Q354" s="5" t="s">
        <v>24</v>
      </c>
      <c r="R354" s="5" t="s">
        <v>24</v>
      </c>
      <c r="S354" s="5" t="s">
        <v>2020</v>
      </c>
      <c r="T354" s="5" t="s">
        <v>2021</v>
      </c>
      <c r="U354" s="5" t="s">
        <v>2021</v>
      </c>
      <c r="V354" s="5" t="s">
        <v>24</v>
      </c>
      <c r="W354" s="5" t="s">
        <v>24</v>
      </c>
      <c r="X354" s="5" t="s">
        <v>24</v>
      </c>
      <c r="Y354" s="5" t="s">
        <v>4123</v>
      </c>
      <c r="Z354" s="5" t="s">
        <v>4124</v>
      </c>
      <c r="AA354" s="5" t="s">
        <v>4124</v>
      </c>
      <c r="AB354" s="5" t="s">
        <v>4124</v>
      </c>
      <c r="AC354" s="5" t="s">
        <v>4125</v>
      </c>
      <c r="AD354" s="5" t="s">
        <v>4126</v>
      </c>
      <c r="AE354" s="5" t="s">
        <v>4127</v>
      </c>
      <c r="AF354" s="5" t="s">
        <v>4128</v>
      </c>
      <c r="AG354" s="5" t="s">
        <v>4129</v>
      </c>
      <c r="AH354" s="5" t="s">
        <v>24</v>
      </c>
      <c r="AI354" s="5" t="s">
        <v>24</v>
      </c>
      <c r="AJ354" s="5" t="s">
        <v>24</v>
      </c>
      <c r="AK354" s="5" t="s">
        <v>24</v>
      </c>
      <c r="AL354" s="5" t="str">
        <f>VLOOKUP(mambo!$H354,Sheet1!B:C,2,FALSE)</f>
        <v>#N/A</v>
      </c>
    </row>
    <row r="355" ht="15.75" hidden="1" customHeight="1">
      <c r="A355" s="5" t="s">
        <v>4130</v>
      </c>
      <c r="B355" s="5" t="s">
        <v>4131</v>
      </c>
      <c r="C355" s="5" t="s">
        <v>227</v>
      </c>
      <c r="D355" s="5" t="s">
        <v>24</v>
      </c>
      <c r="E355" s="5" t="s">
        <v>1848</v>
      </c>
      <c r="F355" s="5" t="s">
        <v>1849</v>
      </c>
      <c r="G355" s="5" t="s">
        <v>24</v>
      </c>
      <c r="H355" s="5" t="s">
        <v>4132</v>
      </c>
      <c r="I355" s="5" t="s">
        <v>24</v>
      </c>
      <c r="J355" s="5" t="s">
        <v>24</v>
      </c>
      <c r="K355" s="5" t="s">
        <v>24</v>
      </c>
      <c r="L355" s="5" t="s">
        <v>24</v>
      </c>
      <c r="M355" s="5" t="s">
        <v>24</v>
      </c>
      <c r="N355" s="5" t="s">
        <v>24</v>
      </c>
      <c r="O355" s="5" t="s">
        <v>3048</v>
      </c>
      <c r="P355" s="5" t="s">
        <v>24</v>
      </c>
      <c r="Q355" s="5" t="s">
        <v>24</v>
      </c>
      <c r="R355" s="5" t="s">
        <v>24</v>
      </c>
      <c r="S355" s="5" t="s">
        <v>1852</v>
      </c>
      <c r="T355" s="5" t="s">
        <v>4133</v>
      </c>
      <c r="U355" s="5" t="s">
        <v>4133</v>
      </c>
      <c r="V355" s="5" t="s">
        <v>1854</v>
      </c>
      <c r="W355" s="5" t="s">
        <v>24</v>
      </c>
      <c r="X355" s="5" t="s">
        <v>24</v>
      </c>
      <c r="Y355" s="5" t="s">
        <v>4134</v>
      </c>
      <c r="Z355" s="5" t="s">
        <v>4135</v>
      </c>
      <c r="AA355" s="5" t="s">
        <v>4135</v>
      </c>
      <c r="AB355" s="5" t="s">
        <v>4135</v>
      </c>
      <c r="AC355" s="5" t="s">
        <v>24</v>
      </c>
      <c r="AD355" s="5" t="s">
        <v>24</v>
      </c>
      <c r="AE355" s="5" t="s">
        <v>24</v>
      </c>
      <c r="AF355" s="5" t="s">
        <v>24</v>
      </c>
      <c r="AG355" s="5" t="s">
        <v>24</v>
      </c>
      <c r="AH355" s="5" t="s">
        <v>24</v>
      </c>
      <c r="AI355" s="5" t="s">
        <v>24</v>
      </c>
      <c r="AJ355" s="5" t="s">
        <v>24</v>
      </c>
      <c r="AK355" s="5" t="s">
        <v>24</v>
      </c>
      <c r="AL355" s="5" t="str">
        <f>VLOOKUP(mambo!$H355,Sheet1!B:C,2,FALSE)</f>
        <v>#N/A</v>
      </c>
    </row>
    <row r="356" ht="15.75" hidden="1" customHeight="1">
      <c r="A356" s="5" t="s">
        <v>4136</v>
      </c>
      <c r="B356" s="5" t="s">
        <v>4137</v>
      </c>
      <c r="C356" s="5" t="s">
        <v>227</v>
      </c>
      <c r="D356" s="5" t="s">
        <v>24</v>
      </c>
      <c r="E356" s="5" t="s">
        <v>1848</v>
      </c>
      <c r="F356" s="5" t="s">
        <v>1849</v>
      </c>
      <c r="G356" s="5" t="s">
        <v>24</v>
      </c>
      <c r="H356" s="5" t="s">
        <v>4138</v>
      </c>
      <c r="I356" s="5" t="s">
        <v>24</v>
      </c>
      <c r="J356" s="5" t="s">
        <v>24</v>
      </c>
      <c r="K356" s="5" t="s">
        <v>24</v>
      </c>
      <c r="L356" s="5" t="s">
        <v>24</v>
      </c>
      <c r="M356" s="5" t="s">
        <v>24</v>
      </c>
      <c r="N356" s="5" t="s">
        <v>24</v>
      </c>
      <c r="O356" s="5" t="s">
        <v>4139</v>
      </c>
      <c r="P356" s="5" t="s">
        <v>24</v>
      </c>
      <c r="Q356" s="5" t="s">
        <v>24</v>
      </c>
      <c r="R356" s="5" t="s">
        <v>24</v>
      </c>
      <c r="S356" s="5" t="s">
        <v>1852</v>
      </c>
      <c r="T356" s="5" t="s">
        <v>3049</v>
      </c>
      <c r="U356" s="5" t="s">
        <v>3049</v>
      </c>
      <c r="V356" s="5" t="s">
        <v>1854</v>
      </c>
      <c r="W356" s="5" t="s">
        <v>24</v>
      </c>
      <c r="X356" s="5" t="s">
        <v>24</v>
      </c>
      <c r="Y356" s="5" t="s">
        <v>4140</v>
      </c>
      <c r="Z356" s="5" t="s">
        <v>4141</v>
      </c>
      <c r="AA356" s="5" t="s">
        <v>4141</v>
      </c>
      <c r="AB356" s="5" t="s">
        <v>4141</v>
      </c>
      <c r="AC356" s="5" t="s">
        <v>24</v>
      </c>
      <c r="AD356" s="5" t="s">
        <v>24</v>
      </c>
      <c r="AE356" s="5" t="s">
        <v>24</v>
      </c>
      <c r="AF356" s="5" t="s">
        <v>24</v>
      </c>
      <c r="AG356" s="5" t="s">
        <v>24</v>
      </c>
      <c r="AH356" s="5" t="s">
        <v>24</v>
      </c>
      <c r="AI356" s="5" t="s">
        <v>24</v>
      </c>
      <c r="AJ356" s="5" t="s">
        <v>24</v>
      </c>
      <c r="AK356" s="5" t="s">
        <v>24</v>
      </c>
      <c r="AL356" s="5" t="str">
        <f>VLOOKUP(mambo!$H356,Sheet1!B:C,2,FALSE)</f>
        <v>#N/A</v>
      </c>
    </row>
    <row r="357" ht="15.75" hidden="1" customHeight="1">
      <c r="A357" s="5" t="s">
        <v>4142</v>
      </c>
      <c r="B357" s="5" t="s">
        <v>4143</v>
      </c>
      <c r="C357" s="5" t="s">
        <v>4144</v>
      </c>
      <c r="D357" s="5" t="s">
        <v>24</v>
      </c>
      <c r="E357" s="5" t="s">
        <v>1848</v>
      </c>
      <c r="F357" s="5" t="s">
        <v>1849</v>
      </c>
      <c r="G357" s="5" t="s">
        <v>24</v>
      </c>
      <c r="H357" s="5" t="s">
        <v>4145</v>
      </c>
      <c r="I357" s="5" t="s">
        <v>24</v>
      </c>
      <c r="J357" s="5" t="s">
        <v>24</v>
      </c>
      <c r="K357" s="5" t="s">
        <v>24</v>
      </c>
      <c r="L357" s="5" t="s">
        <v>24</v>
      </c>
      <c r="M357" s="5" t="s">
        <v>1885</v>
      </c>
      <c r="N357" s="5" t="s">
        <v>24</v>
      </c>
      <c r="O357" s="5" t="s">
        <v>1886</v>
      </c>
      <c r="P357" s="5" t="s">
        <v>24</v>
      </c>
      <c r="Q357" s="5" t="s">
        <v>24</v>
      </c>
      <c r="R357" s="5" t="s">
        <v>24</v>
      </c>
      <c r="S357" s="5" t="s">
        <v>1852</v>
      </c>
      <c r="T357" s="5" t="s">
        <v>4146</v>
      </c>
      <c r="U357" s="5" t="s">
        <v>4146</v>
      </c>
      <c r="V357" s="5" t="s">
        <v>1854</v>
      </c>
      <c r="W357" s="5" t="s">
        <v>24</v>
      </c>
      <c r="X357" s="5" t="s">
        <v>24</v>
      </c>
      <c r="Y357" s="5" t="s">
        <v>4147</v>
      </c>
      <c r="Z357" s="5" t="s">
        <v>4148</v>
      </c>
      <c r="AA357" s="5" t="s">
        <v>4148</v>
      </c>
      <c r="AB357" s="5" t="s">
        <v>4148</v>
      </c>
      <c r="AC357" s="5" t="s">
        <v>24</v>
      </c>
      <c r="AD357" s="5" t="s">
        <v>24</v>
      </c>
      <c r="AE357" s="5" t="s">
        <v>24</v>
      </c>
      <c r="AF357" s="5" t="s">
        <v>24</v>
      </c>
      <c r="AG357" s="5" t="s">
        <v>24</v>
      </c>
      <c r="AH357" s="5" t="s">
        <v>24</v>
      </c>
      <c r="AI357" s="5" t="s">
        <v>24</v>
      </c>
      <c r="AJ357" s="5" t="s">
        <v>24</v>
      </c>
      <c r="AK357" s="5" t="s">
        <v>24</v>
      </c>
      <c r="AL357" s="5" t="str">
        <f>VLOOKUP(mambo!$H357,Sheet1!B:C,2,FALSE)</f>
        <v>#N/A</v>
      </c>
    </row>
    <row r="358" ht="15.75" hidden="1" customHeight="1">
      <c r="A358" s="5" t="s">
        <v>4149</v>
      </c>
      <c r="B358" s="5" t="s">
        <v>4150</v>
      </c>
      <c r="C358" s="5" t="s">
        <v>4144</v>
      </c>
      <c r="D358" s="5" t="s">
        <v>24</v>
      </c>
      <c r="E358" s="5" t="s">
        <v>1848</v>
      </c>
      <c r="F358" s="5" t="s">
        <v>1849</v>
      </c>
      <c r="G358" s="5" t="s">
        <v>24</v>
      </c>
      <c r="H358" s="5" t="s">
        <v>4151</v>
      </c>
      <c r="I358" s="5" t="s">
        <v>24</v>
      </c>
      <c r="J358" s="5" t="s">
        <v>24</v>
      </c>
      <c r="K358" s="5" t="s">
        <v>24</v>
      </c>
      <c r="L358" s="5" t="s">
        <v>24</v>
      </c>
      <c r="M358" s="5" t="s">
        <v>1885</v>
      </c>
      <c r="N358" s="5" t="s">
        <v>24</v>
      </c>
      <c r="O358" s="5" t="s">
        <v>1886</v>
      </c>
      <c r="P358" s="5" t="s">
        <v>24</v>
      </c>
      <c r="Q358" s="5" t="s">
        <v>24</v>
      </c>
      <c r="R358" s="5" t="s">
        <v>24</v>
      </c>
      <c r="S358" s="5" t="s">
        <v>1852</v>
      </c>
      <c r="T358" s="5" t="s">
        <v>4146</v>
      </c>
      <c r="U358" s="5" t="s">
        <v>4146</v>
      </c>
      <c r="V358" s="5" t="s">
        <v>1854</v>
      </c>
      <c r="W358" s="5" t="s">
        <v>24</v>
      </c>
      <c r="X358" s="5" t="s">
        <v>24</v>
      </c>
      <c r="Y358" s="5" t="s">
        <v>4152</v>
      </c>
      <c r="Z358" s="5" t="s">
        <v>4153</v>
      </c>
      <c r="AA358" s="5" t="s">
        <v>4153</v>
      </c>
      <c r="AB358" s="5" t="s">
        <v>4153</v>
      </c>
      <c r="AC358" s="5" t="s">
        <v>24</v>
      </c>
      <c r="AD358" s="5" t="s">
        <v>24</v>
      </c>
      <c r="AE358" s="5" t="s">
        <v>24</v>
      </c>
      <c r="AF358" s="5" t="s">
        <v>24</v>
      </c>
      <c r="AG358" s="5" t="s">
        <v>24</v>
      </c>
      <c r="AH358" s="5" t="s">
        <v>24</v>
      </c>
      <c r="AI358" s="5" t="s">
        <v>24</v>
      </c>
      <c r="AJ358" s="5" t="s">
        <v>24</v>
      </c>
      <c r="AK358" s="5" t="s">
        <v>24</v>
      </c>
      <c r="AL358" s="5" t="str">
        <f>VLOOKUP(mambo!$H358,Sheet1!B:C,2,FALSE)</f>
        <v>#N/A</v>
      </c>
    </row>
    <row r="359" ht="15.75" hidden="1" customHeight="1">
      <c r="A359" s="5" t="s">
        <v>4154</v>
      </c>
      <c r="B359" s="5" t="s">
        <v>4155</v>
      </c>
      <c r="C359" s="5" t="s">
        <v>4144</v>
      </c>
      <c r="D359" s="5" t="s">
        <v>24</v>
      </c>
      <c r="E359" s="5" t="s">
        <v>1848</v>
      </c>
      <c r="F359" s="5" t="s">
        <v>1849</v>
      </c>
      <c r="G359" s="5" t="s">
        <v>24</v>
      </c>
      <c r="H359" s="5" t="s">
        <v>4156</v>
      </c>
      <c r="I359" s="5" t="s">
        <v>24</v>
      </c>
      <c r="J359" s="5" t="s">
        <v>24</v>
      </c>
      <c r="K359" s="5" t="s">
        <v>24</v>
      </c>
      <c r="L359" s="5" t="s">
        <v>24</v>
      </c>
      <c r="M359" s="5" t="s">
        <v>1885</v>
      </c>
      <c r="N359" s="5" t="s">
        <v>24</v>
      </c>
      <c r="O359" s="5" t="s">
        <v>1886</v>
      </c>
      <c r="P359" s="5" t="s">
        <v>24</v>
      </c>
      <c r="Q359" s="5" t="s">
        <v>24</v>
      </c>
      <c r="R359" s="5" t="s">
        <v>24</v>
      </c>
      <c r="S359" s="5" t="s">
        <v>1852</v>
      </c>
      <c r="T359" s="5" t="s">
        <v>4146</v>
      </c>
      <c r="U359" s="5" t="s">
        <v>4146</v>
      </c>
      <c r="V359" s="5" t="s">
        <v>1854</v>
      </c>
      <c r="W359" s="5" t="s">
        <v>24</v>
      </c>
      <c r="X359" s="5" t="s">
        <v>24</v>
      </c>
      <c r="Y359" s="5" t="s">
        <v>4157</v>
      </c>
      <c r="Z359" s="5" t="s">
        <v>4158</v>
      </c>
      <c r="AA359" s="5" t="s">
        <v>4158</v>
      </c>
      <c r="AB359" s="5" t="s">
        <v>4158</v>
      </c>
      <c r="AC359" s="5" t="s">
        <v>24</v>
      </c>
      <c r="AD359" s="5" t="s">
        <v>24</v>
      </c>
      <c r="AE359" s="5" t="s">
        <v>24</v>
      </c>
      <c r="AF359" s="5" t="s">
        <v>24</v>
      </c>
      <c r="AG359" s="5" t="s">
        <v>24</v>
      </c>
      <c r="AH359" s="5" t="s">
        <v>24</v>
      </c>
      <c r="AI359" s="5" t="s">
        <v>24</v>
      </c>
      <c r="AJ359" s="5" t="s">
        <v>24</v>
      </c>
      <c r="AK359" s="5" t="s">
        <v>24</v>
      </c>
      <c r="AL359" s="5" t="str">
        <f>VLOOKUP(mambo!$H359,Sheet1!B:C,2,FALSE)</f>
        <v>#N/A</v>
      </c>
    </row>
    <row r="360" ht="15.75" hidden="1" customHeight="1">
      <c r="A360" s="5" t="s">
        <v>4159</v>
      </c>
      <c r="B360" s="5" t="s">
        <v>4160</v>
      </c>
      <c r="C360" s="5" t="s">
        <v>4144</v>
      </c>
      <c r="D360" s="5" t="s">
        <v>24</v>
      </c>
      <c r="E360" s="5" t="s">
        <v>1848</v>
      </c>
      <c r="F360" s="5" t="s">
        <v>1849</v>
      </c>
      <c r="G360" s="5" t="s">
        <v>24</v>
      </c>
      <c r="H360" s="5" t="s">
        <v>4161</v>
      </c>
      <c r="I360" s="5" t="s">
        <v>24</v>
      </c>
      <c r="J360" s="5" t="s">
        <v>24</v>
      </c>
      <c r="K360" s="5" t="s">
        <v>24</v>
      </c>
      <c r="L360" s="5" t="s">
        <v>24</v>
      </c>
      <c r="M360" s="5" t="s">
        <v>1885</v>
      </c>
      <c r="N360" s="5" t="s">
        <v>24</v>
      </c>
      <c r="O360" s="5" t="s">
        <v>1886</v>
      </c>
      <c r="P360" s="5" t="s">
        <v>24</v>
      </c>
      <c r="Q360" s="5" t="s">
        <v>24</v>
      </c>
      <c r="R360" s="5" t="s">
        <v>24</v>
      </c>
      <c r="S360" s="5" t="s">
        <v>1852</v>
      </c>
      <c r="T360" s="5" t="s">
        <v>4146</v>
      </c>
      <c r="U360" s="5" t="s">
        <v>4146</v>
      </c>
      <c r="V360" s="5" t="s">
        <v>1854</v>
      </c>
      <c r="W360" s="5" t="s">
        <v>24</v>
      </c>
      <c r="X360" s="5" t="s">
        <v>24</v>
      </c>
      <c r="Y360" s="5" t="s">
        <v>4162</v>
      </c>
      <c r="Z360" s="5" t="s">
        <v>4163</v>
      </c>
      <c r="AA360" s="5" t="s">
        <v>4163</v>
      </c>
      <c r="AB360" s="5" t="s">
        <v>4163</v>
      </c>
      <c r="AC360" s="5" t="s">
        <v>24</v>
      </c>
      <c r="AD360" s="5" t="s">
        <v>24</v>
      </c>
      <c r="AE360" s="5" t="s">
        <v>24</v>
      </c>
      <c r="AF360" s="5" t="s">
        <v>24</v>
      </c>
      <c r="AG360" s="5" t="s">
        <v>24</v>
      </c>
      <c r="AH360" s="5" t="s">
        <v>24</v>
      </c>
      <c r="AI360" s="5" t="s">
        <v>24</v>
      </c>
      <c r="AJ360" s="5" t="s">
        <v>24</v>
      </c>
      <c r="AK360" s="5" t="s">
        <v>24</v>
      </c>
      <c r="AL360" s="5" t="str">
        <f>VLOOKUP(mambo!$H360,Sheet1!B:C,2,FALSE)</f>
        <v>#N/A</v>
      </c>
    </row>
    <row r="361" ht="15.75" customHeight="1">
      <c r="A361" s="5" t="s">
        <v>4164</v>
      </c>
      <c r="B361" s="5" t="s">
        <v>4165</v>
      </c>
      <c r="C361" s="5" t="s">
        <v>503</v>
      </c>
      <c r="D361" s="5" t="s">
        <v>24</v>
      </c>
      <c r="E361" s="5" t="s">
        <v>1848</v>
      </c>
      <c r="F361" s="5" t="s">
        <v>1849</v>
      </c>
      <c r="G361" s="5" t="s">
        <v>24</v>
      </c>
      <c r="H361" s="5" t="s">
        <v>498</v>
      </c>
      <c r="I361" s="5" t="s">
        <v>24</v>
      </c>
      <c r="J361" s="5" t="s">
        <v>24</v>
      </c>
      <c r="K361" s="5" t="s">
        <v>24</v>
      </c>
      <c r="L361" s="5" t="s">
        <v>24</v>
      </c>
      <c r="M361" s="5" t="s">
        <v>1885</v>
      </c>
      <c r="N361" s="5" t="s">
        <v>24</v>
      </c>
      <c r="O361" s="5" t="s">
        <v>3994</v>
      </c>
      <c r="P361" s="5" t="s">
        <v>24</v>
      </c>
      <c r="Q361" s="5" t="s">
        <v>24</v>
      </c>
      <c r="R361" s="5" t="s">
        <v>24</v>
      </c>
      <c r="S361" s="5" t="s">
        <v>1852</v>
      </c>
      <c r="T361" s="5" t="s">
        <v>3384</v>
      </c>
      <c r="U361" s="5" t="s">
        <v>3384</v>
      </c>
      <c r="V361" s="5" t="s">
        <v>1854</v>
      </c>
      <c r="W361" s="5" t="s">
        <v>24</v>
      </c>
      <c r="X361" s="5" t="s">
        <v>24</v>
      </c>
      <c r="Y361" s="5" t="s">
        <v>4166</v>
      </c>
      <c r="Z361" s="5" t="s">
        <v>4167</v>
      </c>
      <c r="AA361" s="5" t="s">
        <v>4167</v>
      </c>
      <c r="AB361" s="5" t="s">
        <v>4167</v>
      </c>
      <c r="AC361" s="5" t="s">
        <v>4168</v>
      </c>
      <c r="AD361" s="5" t="s">
        <v>4169</v>
      </c>
      <c r="AE361" s="5" t="s">
        <v>4170</v>
      </c>
      <c r="AF361" s="5" t="s">
        <v>4171</v>
      </c>
      <c r="AG361" s="5" t="s">
        <v>4172</v>
      </c>
      <c r="AH361" s="5" t="s">
        <v>24</v>
      </c>
      <c r="AI361" s="5" t="s">
        <v>24</v>
      </c>
      <c r="AJ361" s="5" t="s">
        <v>24</v>
      </c>
      <c r="AK361" s="5" t="s">
        <v>24</v>
      </c>
      <c r="AL361" s="5" t="str">
        <f>VLOOKUP(mambo!$H361,Sheet1!B:C,2,FALSE)</f>
        <v>1386698</v>
      </c>
    </row>
    <row r="362" ht="15.75" hidden="1" customHeight="1">
      <c r="A362" s="5" t="s">
        <v>4173</v>
      </c>
      <c r="B362" s="5" t="s">
        <v>4174</v>
      </c>
      <c r="C362" s="5" t="s">
        <v>227</v>
      </c>
      <c r="D362" s="5" t="s">
        <v>24</v>
      </c>
      <c r="E362" s="5" t="s">
        <v>1848</v>
      </c>
      <c r="F362" s="5" t="s">
        <v>1849</v>
      </c>
      <c r="G362" s="5" t="s">
        <v>24</v>
      </c>
      <c r="H362" s="5" t="s">
        <v>4175</v>
      </c>
      <c r="I362" s="5" t="s">
        <v>24</v>
      </c>
      <c r="J362" s="5" t="s">
        <v>24</v>
      </c>
      <c r="K362" s="5" t="s">
        <v>24</v>
      </c>
      <c r="L362" s="5" t="s">
        <v>24</v>
      </c>
      <c r="M362" s="5" t="s">
        <v>24</v>
      </c>
      <c r="N362" s="5" t="s">
        <v>24</v>
      </c>
      <c r="O362" s="5" t="s">
        <v>2626</v>
      </c>
      <c r="P362" s="5" t="s">
        <v>24</v>
      </c>
      <c r="Q362" s="5" t="s">
        <v>24</v>
      </c>
      <c r="R362" s="5" t="s">
        <v>24</v>
      </c>
      <c r="S362" s="5" t="s">
        <v>1852</v>
      </c>
      <c r="T362" s="5" t="s">
        <v>3655</v>
      </c>
      <c r="U362" s="5" t="s">
        <v>3655</v>
      </c>
      <c r="V362" s="5" t="s">
        <v>1854</v>
      </c>
      <c r="W362" s="5" t="s">
        <v>24</v>
      </c>
      <c r="X362" s="5" t="s">
        <v>24</v>
      </c>
      <c r="Y362" s="5" t="s">
        <v>4176</v>
      </c>
      <c r="Z362" s="5" t="s">
        <v>4177</v>
      </c>
      <c r="AA362" s="5" t="s">
        <v>4177</v>
      </c>
      <c r="AB362" s="5" t="s">
        <v>4177</v>
      </c>
      <c r="AC362" s="5" t="s">
        <v>4178</v>
      </c>
      <c r="AD362" s="5" t="s">
        <v>24</v>
      </c>
      <c r="AE362" s="5" t="s">
        <v>24</v>
      </c>
      <c r="AF362" s="5" t="s">
        <v>24</v>
      </c>
      <c r="AG362" s="5" t="s">
        <v>24</v>
      </c>
      <c r="AH362" s="5" t="s">
        <v>24</v>
      </c>
      <c r="AI362" s="5" t="s">
        <v>24</v>
      </c>
      <c r="AJ362" s="5" t="s">
        <v>24</v>
      </c>
      <c r="AK362" s="5" t="s">
        <v>24</v>
      </c>
      <c r="AL362" s="5" t="str">
        <f>VLOOKUP(mambo!$H362,Sheet1!B:C,2,FALSE)</f>
        <v>#N/A</v>
      </c>
    </row>
    <row r="363" ht="15.75" hidden="1" customHeight="1">
      <c r="A363" s="5" t="s">
        <v>4179</v>
      </c>
      <c r="B363" s="5" t="s">
        <v>4180</v>
      </c>
      <c r="C363" s="5" t="s">
        <v>4144</v>
      </c>
      <c r="D363" s="5" t="s">
        <v>24</v>
      </c>
      <c r="E363" s="5" t="s">
        <v>1848</v>
      </c>
      <c r="F363" s="5" t="s">
        <v>1849</v>
      </c>
      <c r="G363" s="5" t="s">
        <v>24</v>
      </c>
      <c r="H363" s="5" t="s">
        <v>4181</v>
      </c>
      <c r="I363" s="5" t="s">
        <v>24</v>
      </c>
      <c r="J363" s="5" t="s">
        <v>24</v>
      </c>
      <c r="K363" s="5" t="s">
        <v>24</v>
      </c>
      <c r="L363" s="5" t="s">
        <v>24</v>
      </c>
      <c r="M363" s="5" t="s">
        <v>1885</v>
      </c>
      <c r="N363" s="5" t="s">
        <v>24</v>
      </c>
      <c r="O363" s="5" t="s">
        <v>1886</v>
      </c>
      <c r="P363" s="5" t="s">
        <v>24</v>
      </c>
      <c r="Q363" s="5" t="s">
        <v>24</v>
      </c>
      <c r="R363" s="5" t="s">
        <v>24</v>
      </c>
      <c r="S363" s="5" t="s">
        <v>2020</v>
      </c>
      <c r="T363" s="5" t="s">
        <v>2021</v>
      </c>
      <c r="U363" s="5" t="s">
        <v>2021</v>
      </c>
      <c r="V363" s="5" t="s">
        <v>24</v>
      </c>
      <c r="W363" s="5" t="s">
        <v>24</v>
      </c>
      <c r="X363" s="5" t="s">
        <v>24</v>
      </c>
      <c r="Y363" s="5" t="s">
        <v>4182</v>
      </c>
      <c r="Z363" s="5" t="s">
        <v>4183</v>
      </c>
      <c r="AA363" s="5" t="s">
        <v>4183</v>
      </c>
      <c r="AB363" s="5" t="s">
        <v>4183</v>
      </c>
      <c r="AC363" s="5" t="s">
        <v>24</v>
      </c>
      <c r="AD363" s="5" t="s">
        <v>24</v>
      </c>
      <c r="AE363" s="5" t="s">
        <v>24</v>
      </c>
      <c r="AF363" s="5" t="s">
        <v>24</v>
      </c>
      <c r="AG363" s="5" t="s">
        <v>24</v>
      </c>
      <c r="AH363" s="5" t="s">
        <v>24</v>
      </c>
      <c r="AI363" s="5" t="s">
        <v>24</v>
      </c>
      <c r="AJ363" s="5" t="s">
        <v>24</v>
      </c>
      <c r="AK363" s="5" t="s">
        <v>24</v>
      </c>
      <c r="AL363" s="5" t="str">
        <f>VLOOKUP(mambo!$H363,Sheet1!B:C,2,FALSE)</f>
        <v>#N/A</v>
      </c>
    </row>
    <row r="364" ht="15.75" hidden="1" customHeight="1">
      <c r="A364" s="5" t="s">
        <v>4184</v>
      </c>
      <c r="B364" s="5" t="s">
        <v>4185</v>
      </c>
      <c r="C364" s="5" t="s">
        <v>503</v>
      </c>
      <c r="D364" s="5" t="s">
        <v>24</v>
      </c>
      <c r="E364" s="5" t="s">
        <v>1848</v>
      </c>
      <c r="F364" s="5" t="s">
        <v>1849</v>
      </c>
      <c r="G364" s="5" t="s">
        <v>24</v>
      </c>
      <c r="H364" s="5" t="s">
        <v>4186</v>
      </c>
      <c r="I364" s="5" t="s">
        <v>24</v>
      </c>
      <c r="J364" s="5" t="s">
        <v>24</v>
      </c>
      <c r="K364" s="5" t="s">
        <v>24</v>
      </c>
      <c r="L364" s="5" t="s">
        <v>24</v>
      </c>
      <c r="M364" s="5" t="s">
        <v>1885</v>
      </c>
      <c r="N364" s="5" t="s">
        <v>24</v>
      </c>
      <c r="O364" s="5" t="s">
        <v>4187</v>
      </c>
      <c r="P364" s="5" t="s">
        <v>24</v>
      </c>
      <c r="Q364" s="5" t="s">
        <v>24</v>
      </c>
      <c r="R364" s="5" t="s">
        <v>24</v>
      </c>
      <c r="S364" s="5" t="s">
        <v>1852</v>
      </c>
      <c r="T364" s="5" t="s">
        <v>3403</v>
      </c>
      <c r="U364" s="5" t="s">
        <v>3403</v>
      </c>
      <c r="V364" s="5" t="s">
        <v>1854</v>
      </c>
      <c r="W364" s="5" t="s">
        <v>24</v>
      </c>
      <c r="X364" s="5" t="s">
        <v>24</v>
      </c>
      <c r="Y364" s="5" t="s">
        <v>4188</v>
      </c>
      <c r="Z364" s="5" t="s">
        <v>4189</v>
      </c>
      <c r="AA364" s="5" t="s">
        <v>4189</v>
      </c>
      <c r="AB364" s="5" t="s">
        <v>4189</v>
      </c>
      <c r="AC364" s="5" t="s">
        <v>4190</v>
      </c>
      <c r="AD364" s="5" t="s">
        <v>4191</v>
      </c>
      <c r="AE364" s="5" t="s">
        <v>24</v>
      </c>
      <c r="AF364" s="5" t="s">
        <v>24</v>
      </c>
      <c r="AG364" s="5" t="s">
        <v>24</v>
      </c>
      <c r="AH364" s="5" t="s">
        <v>24</v>
      </c>
      <c r="AI364" s="5" t="s">
        <v>24</v>
      </c>
      <c r="AJ364" s="5" t="s">
        <v>24</v>
      </c>
      <c r="AK364" s="5" t="s">
        <v>24</v>
      </c>
      <c r="AL364" s="5" t="str">
        <f>VLOOKUP(mambo!$H364,Sheet1!B:C,2,FALSE)</f>
        <v>#N/A</v>
      </c>
    </row>
    <row r="365" ht="15.75" customHeight="1">
      <c r="A365" s="5" t="s">
        <v>4192</v>
      </c>
      <c r="B365" s="5" t="s">
        <v>4193</v>
      </c>
      <c r="C365" s="5" t="s">
        <v>2126</v>
      </c>
      <c r="D365" s="5" t="s">
        <v>24</v>
      </c>
      <c r="E365" s="5" t="s">
        <v>1848</v>
      </c>
      <c r="F365" s="5" t="s">
        <v>1849</v>
      </c>
      <c r="G365" s="5" t="s">
        <v>24</v>
      </c>
      <c r="H365" s="5" t="s">
        <v>1205</v>
      </c>
      <c r="I365" s="5" t="s">
        <v>24</v>
      </c>
      <c r="J365" s="5" t="s">
        <v>24</v>
      </c>
      <c r="K365" s="5" t="s">
        <v>24</v>
      </c>
      <c r="L365" s="5" t="s">
        <v>24</v>
      </c>
      <c r="M365" s="5" t="s">
        <v>24</v>
      </c>
      <c r="N365" s="5" t="s">
        <v>24</v>
      </c>
      <c r="O365" s="5" t="s">
        <v>1933</v>
      </c>
      <c r="P365" s="5" t="s">
        <v>24</v>
      </c>
      <c r="Q365" s="5" t="s">
        <v>24</v>
      </c>
      <c r="R365" s="5" t="s">
        <v>24</v>
      </c>
      <c r="S365" s="5" t="s">
        <v>1852</v>
      </c>
      <c r="T365" s="5" t="s">
        <v>3109</v>
      </c>
      <c r="U365" s="5" t="s">
        <v>3109</v>
      </c>
      <c r="V365" s="5" t="s">
        <v>1854</v>
      </c>
      <c r="W365" s="5" t="s">
        <v>24</v>
      </c>
      <c r="X365" s="5" t="s">
        <v>24</v>
      </c>
      <c r="Y365" s="5" t="s">
        <v>4194</v>
      </c>
      <c r="Z365" s="5" t="s">
        <v>4195</v>
      </c>
      <c r="AA365" s="5" t="s">
        <v>4195</v>
      </c>
      <c r="AB365" s="5" t="s">
        <v>4195</v>
      </c>
      <c r="AC365" s="5" t="s">
        <v>24</v>
      </c>
      <c r="AD365" s="5" t="s">
        <v>24</v>
      </c>
      <c r="AE365" s="5" t="s">
        <v>24</v>
      </c>
      <c r="AF365" s="5" t="s">
        <v>24</v>
      </c>
      <c r="AG365" s="5" t="s">
        <v>24</v>
      </c>
      <c r="AH365" s="5" t="s">
        <v>24</v>
      </c>
      <c r="AI365" s="5" t="s">
        <v>24</v>
      </c>
      <c r="AJ365" s="5" t="s">
        <v>24</v>
      </c>
      <c r="AK365" s="5" t="s">
        <v>24</v>
      </c>
      <c r="AL365" s="5" t="str">
        <f>VLOOKUP(mambo!$H365,Sheet1!B:C,2,FALSE)</f>
        <v>1391102</v>
      </c>
    </row>
    <row r="366" ht="15.75" customHeight="1">
      <c r="A366" s="5" t="s">
        <v>4196</v>
      </c>
      <c r="B366" s="5" t="s">
        <v>4197</v>
      </c>
      <c r="C366" s="5" t="s">
        <v>2126</v>
      </c>
      <c r="D366" s="5" t="s">
        <v>24</v>
      </c>
      <c r="E366" s="5" t="s">
        <v>1848</v>
      </c>
      <c r="F366" s="5" t="s">
        <v>1849</v>
      </c>
      <c r="G366" s="5" t="s">
        <v>24</v>
      </c>
      <c r="H366" s="5" t="s">
        <v>1607</v>
      </c>
      <c r="I366" s="5" t="s">
        <v>24</v>
      </c>
      <c r="J366" s="5" t="s">
        <v>24</v>
      </c>
      <c r="K366" s="5" t="s">
        <v>24</v>
      </c>
      <c r="L366" s="5" t="s">
        <v>24</v>
      </c>
      <c r="M366" s="5" t="s">
        <v>24</v>
      </c>
      <c r="N366" s="5" t="s">
        <v>24</v>
      </c>
      <c r="O366" s="5" t="s">
        <v>1933</v>
      </c>
      <c r="P366" s="5" t="s">
        <v>24</v>
      </c>
      <c r="Q366" s="5" t="s">
        <v>24</v>
      </c>
      <c r="R366" s="5" t="s">
        <v>24</v>
      </c>
      <c r="S366" s="5" t="s">
        <v>1852</v>
      </c>
      <c r="T366" s="5" t="s">
        <v>2408</v>
      </c>
      <c r="U366" s="5" t="s">
        <v>2408</v>
      </c>
      <c r="V366" s="5" t="s">
        <v>1854</v>
      </c>
      <c r="W366" s="5" t="s">
        <v>24</v>
      </c>
      <c r="X366" s="5" t="s">
        <v>24</v>
      </c>
      <c r="Y366" s="5" t="s">
        <v>4198</v>
      </c>
      <c r="Z366" s="5" t="s">
        <v>4199</v>
      </c>
      <c r="AA366" s="5" t="s">
        <v>4199</v>
      </c>
      <c r="AB366" s="5" t="s">
        <v>4199</v>
      </c>
      <c r="AC366" s="5" t="s">
        <v>4200</v>
      </c>
      <c r="AD366" s="5" t="s">
        <v>24</v>
      </c>
      <c r="AE366" s="5" t="s">
        <v>24</v>
      </c>
      <c r="AF366" s="5" t="s">
        <v>24</v>
      </c>
      <c r="AG366" s="5" t="s">
        <v>24</v>
      </c>
      <c r="AH366" s="5" t="s">
        <v>24</v>
      </c>
      <c r="AI366" s="5" t="s">
        <v>24</v>
      </c>
      <c r="AJ366" s="5" t="s">
        <v>24</v>
      </c>
      <c r="AK366" s="5" t="s">
        <v>24</v>
      </c>
      <c r="AL366" s="5" t="str">
        <f>VLOOKUP(mambo!$H366,Sheet1!B:C,2,FALSE)</f>
        <v>1391740</v>
      </c>
    </row>
    <row r="367" ht="15.75" hidden="1" customHeight="1">
      <c r="A367" s="5" t="s">
        <v>4201</v>
      </c>
      <c r="B367" s="5" t="s">
        <v>4202</v>
      </c>
      <c r="C367" s="5" t="s">
        <v>2126</v>
      </c>
      <c r="D367" s="5" t="s">
        <v>24</v>
      </c>
      <c r="E367" s="5" t="s">
        <v>1848</v>
      </c>
      <c r="F367" s="5" t="s">
        <v>1849</v>
      </c>
      <c r="G367" s="5" t="s">
        <v>24</v>
      </c>
      <c r="H367" s="5" t="s">
        <v>4203</v>
      </c>
      <c r="I367" s="5" t="s">
        <v>24</v>
      </c>
      <c r="J367" s="5" t="s">
        <v>24</v>
      </c>
      <c r="K367" s="5" t="s">
        <v>24</v>
      </c>
      <c r="L367" s="5" t="s">
        <v>24</v>
      </c>
      <c r="M367" s="5" t="s">
        <v>24</v>
      </c>
      <c r="N367" s="5" t="s">
        <v>24</v>
      </c>
      <c r="O367" s="5" t="s">
        <v>1933</v>
      </c>
      <c r="P367" s="5" t="s">
        <v>24</v>
      </c>
      <c r="Q367" s="5" t="s">
        <v>24</v>
      </c>
      <c r="R367" s="5" t="s">
        <v>24</v>
      </c>
      <c r="S367" s="5" t="s">
        <v>1852</v>
      </c>
      <c r="T367" s="5" t="s">
        <v>2408</v>
      </c>
      <c r="U367" s="5" t="s">
        <v>2408</v>
      </c>
      <c r="V367" s="5" t="s">
        <v>1854</v>
      </c>
      <c r="W367" s="5" t="s">
        <v>24</v>
      </c>
      <c r="X367" s="5" t="s">
        <v>24</v>
      </c>
      <c r="Y367" s="5" t="s">
        <v>4204</v>
      </c>
      <c r="Z367" s="5" t="s">
        <v>4205</v>
      </c>
      <c r="AA367" s="5" t="s">
        <v>4205</v>
      </c>
      <c r="AB367" s="5" t="s">
        <v>4205</v>
      </c>
      <c r="AC367" s="5" t="s">
        <v>4206</v>
      </c>
      <c r="AD367" s="5" t="s">
        <v>24</v>
      </c>
      <c r="AE367" s="5" t="s">
        <v>24</v>
      </c>
      <c r="AF367" s="5" t="s">
        <v>24</v>
      </c>
      <c r="AG367" s="5" t="s">
        <v>24</v>
      </c>
      <c r="AH367" s="5" t="s">
        <v>24</v>
      </c>
      <c r="AI367" s="5" t="s">
        <v>24</v>
      </c>
      <c r="AJ367" s="5" t="s">
        <v>24</v>
      </c>
      <c r="AK367" s="5" t="s">
        <v>24</v>
      </c>
      <c r="AL367" s="5" t="str">
        <f>VLOOKUP(mambo!$H367,Sheet1!B:C,2,FALSE)</f>
        <v>#N/A</v>
      </c>
    </row>
    <row r="368" ht="15.75" hidden="1" customHeight="1">
      <c r="A368" s="5" t="s">
        <v>4207</v>
      </c>
      <c r="B368" s="5" t="s">
        <v>4208</v>
      </c>
      <c r="C368" s="5" t="s">
        <v>2126</v>
      </c>
      <c r="D368" s="5" t="s">
        <v>24</v>
      </c>
      <c r="E368" s="5" t="s">
        <v>1848</v>
      </c>
      <c r="F368" s="5" t="s">
        <v>1849</v>
      </c>
      <c r="G368" s="5" t="s">
        <v>24</v>
      </c>
      <c r="H368" s="5" t="s">
        <v>4209</v>
      </c>
      <c r="I368" s="5" t="s">
        <v>24</v>
      </c>
      <c r="J368" s="5" t="s">
        <v>24</v>
      </c>
      <c r="K368" s="5" t="s">
        <v>24</v>
      </c>
      <c r="L368" s="5" t="s">
        <v>24</v>
      </c>
      <c r="M368" s="5" t="s">
        <v>24</v>
      </c>
      <c r="N368" s="5" t="s">
        <v>24</v>
      </c>
      <c r="O368" s="5" t="s">
        <v>1933</v>
      </c>
      <c r="P368" s="5" t="s">
        <v>24</v>
      </c>
      <c r="Q368" s="5" t="s">
        <v>24</v>
      </c>
      <c r="R368" s="5" t="s">
        <v>24</v>
      </c>
      <c r="S368" s="5" t="s">
        <v>1852</v>
      </c>
      <c r="T368" s="5" t="s">
        <v>2408</v>
      </c>
      <c r="U368" s="5" t="s">
        <v>2408</v>
      </c>
      <c r="V368" s="5" t="s">
        <v>1854</v>
      </c>
      <c r="W368" s="5" t="s">
        <v>24</v>
      </c>
      <c r="X368" s="5" t="s">
        <v>24</v>
      </c>
      <c r="Y368" s="5" t="s">
        <v>4210</v>
      </c>
      <c r="Z368" s="5" t="s">
        <v>4211</v>
      </c>
      <c r="AA368" s="5" t="s">
        <v>4211</v>
      </c>
      <c r="AB368" s="5" t="s">
        <v>4211</v>
      </c>
      <c r="AC368" s="5" t="s">
        <v>4212</v>
      </c>
      <c r="AD368" s="5" t="s">
        <v>24</v>
      </c>
      <c r="AE368" s="5" t="s">
        <v>24</v>
      </c>
      <c r="AF368" s="5" t="s">
        <v>24</v>
      </c>
      <c r="AG368" s="5" t="s">
        <v>24</v>
      </c>
      <c r="AH368" s="5" t="s">
        <v>24</v>
      </c>
      <c r="AI368" s="5" t="s">
        <v>24</v>
      </c>
      <c r="AJ368" s="5" t="s">
        <v>24</v>
      </c>
      <c r="AK368" s="5" t="s">
        <v>24</v>
      </c>
      <c r="AL368" s="5" t="str">
        <f>VLOOKUP(mambo!$H368,Sheet1!B:C,2,FALSE)</f>
        <v>#N/A</v>
      </c>
    </row>
    <row r="369" ht="15.75" hidden="1" customHeight="1">
      <c r="A369" s="5" t="s">
        <v>4213</v>
      </c>
      <c r="B369" s="5" t="s">
        <v>4214</v>
      </c>
      <c r="C369" s="5" t="s">
        <v>139</v>
      </c>
      <c r="D369" s="5" t="s">
        <v>24</v>
      </c>
      <c r="E369" s="5" t="s">
        <v>1848</v>
      </c>
      <c r="F369" s="5" t="s">
        <v>1849</v>
      </c>
      <c r="G369" s="5" t="s">
        <v>24</v>
      </c>
      <c r="H369" s="5" t="s">
        <v>4215</v>
      </c>
      <c r="I369" s="5" t="s">
        <v>24</v>
      </c>
      <c r="J369" s="5" t="s">
        <v>24</v>
      </c>
      <c r="K369" s="5" t="s">
        <v>24</v>
      </c>
      <c r="L369" s="5" t="s">
        <v>24</v>
      </c>
      <c r="M369" s="5" t="s">
        <v>3136</v>
      </c>
      <c r="N369" s="5" t="s">
        <v>24</v>
      </c>
      <c r="O369" s="5" t="s">
        <v>24</v>
      </c>
      <c r="P369" s="5" t="s">
        <v>24</v>
      </c>
      <c r="Q369" s="5" t="s">
        <v>24</v>
      </c>
      <c r="R369" s="5" t="s">
        <v>24</v>
      </c>
      <c r="S369" s="5" t="s">
        <v>1852</v>
      </c>
      <c r="T369" s="5" t="s">
        <v>4216</v>
      </c>
      <c r="U369" s="5" t="s">
        <v>4216</v>
      </c>
      <c r="V369" s="5" t="s">
        <v>1854</v>
      </c>
      <c r="W369" s="5" t="s">
        <v>24</v>
      </c>
      <c r="X369" s="5" t="s">
        <v>24</v>
      </c>
      <c r="Y369" s="5" t="s">
        <v>4217</v>
      </c>
      <c r="Z369" s="5" t="s">
        <v>4218</v>
      </c>
      <c r="AA369" s="5" t="s">
        <v>4218</v>
      </c>
      <c r="AB369" s="5" t="s">
        <v>4218</v>
      </c>
      <c r="AC369" s="5" t="s">
        <v>4219</v>
      </c>
      <c r="AD369" s="5" t="s">
        <v>24</v>
      </c>
      <c r="AE369" s="5" t="s">
        <v>24</v>
      </c>
      <c r="AF369" s="5" t="s">
        <v>24</v>
      </c>
      <c r="AG369" s="5" t="s">
        <v>24</v>
      </c>
      <c r="AH369" s="5" t="s">
        <v>24</v>
      </c>
      <c r="AI369" s="5" t="s">
        <v>24</v>
      </c>
      <c r="AJ369" s="5" t="s">
        <v>24</v>
      </c>
      <c r="AK369" s="5" t="s">
        <v>24</v>
      </c>
      <c r="AL369" s="5" t="str">
        <f>VLOOKUP(mambo!$H369,Sheet1!B:C,2,FALSE)</f>
        <v>#N/A</v>
      </c>
    </row>
    <row r="370" ht="15.75" hidden="1" customHeight="1">
      <c r="A370" s="5" t="s">
        <v>4220</v>
      </c>
      <c r="B370" s="5" t="s">
        <v>4221</v>
      </c>
      <c r="C370" s="5" t="s">
        <v>2126</v>
      </c>
      <c r="D370" s="5" t="s">
        <v>24</v>
      </c>
      <c r="E370" s="5" t="s">
        <v>1848</v>
      </c>
      <c r="F370" s="5" t="s">
        <v>1849</v>
      </c>
      <c r="G370" s="5" t="s">
        <v>24</v>
      </c>
      <c r="H370" s="5" t="s">
        <v>4222</v>
      </c>
      <c r="I370" s="5" t="s">
        <v>24</v>
      </c>
      <c r="J370" s="5" t="s">
        <v>24</v>
      </c>
      <c r="K370" s="5" t="s">
        <v>24</v>
      </c>
      <c r="L370" s="5" t="s">
        <v>24</v>
      </c>
      <c r="M370" s="5" t="s">
        <v>4223</v>
      </c>
      <c r="N370" s="5" t="s">
        <v>24</v>
      </c>
      <c r="O370" s="5" t="s">
        <v>4224</v>
      </c>
      <c r="P370" s="5" t="s">
        <v>24</v>
      </c>
      <c r="Q370" s="5" t="s">
        <v>24</v>
      </c>
      <c r="R370" s="5" t="s">
        <v>24</v>
      </c>
      <c r="S370" s="5" t="s">
        <v>2020</v>
      </c>
      <c r="T370" s="5" t="s">
        <v>2021</v>
      </c>
      <c r="U370" s="5" t="s">
        <v>2021</v>
      </c>
      <c r="V370" s="5" t="s">
        <v>24</v>
      </c>
      <c r="W370" s="5" t="s">
        <v>24</v>
      </c>
      <c r="X370" s="5" t="s">
        <v>24</v>
      </c>
      <c r="Y370" s="5" t="s">
        <v>4225</v>
      </c>
      <c r="Z370" s="5" t="s">
        <v>4226</v>
      </c>
      <c r="AA370" s="5" t="s">
        <v>4226</v>
      </c>
      <c r="AB370" s="5" t="s">
        <v>4226</v>
      </c>
      <c r="AC370" s="5" t="s">
        <v>24</v>
      </c>
      <c r="AD370" s="5" t="s">
        <v>24</v>
      </c>
      <c r="AE370" s="5" t="s">
        <v>24</v>
      </c>
      <c r="AF370" s="5" t="s">
        <v>24</v>
      </c>
      <c r="AG370" s="5" t="s">
        <v>24</v>
      </c>
      <c r="AH370" s="5" t="s">
        <v>24</v>
      </c>
      <c r="AI370" s="5" t="s">
        <v>24</v>
      </c>
      <c r="AJ370" s="5" t="s">
        <v>24</v>
      </c>
      <c r="AK370" s="5" t="s">
        <v>24</v>
      </c>
      <c r="AL370" s="5" t="str">
        <f>VLOOKUP(mambo!$H370,Sheet1!B:C,2,FALSE)</f>
        <v>#N/A</v>
      </c>
    </row>
    <row r="371" ht="15.75" hidden="1" customHeight="1">
      <c r="A371" s="5" t="s">
        <v>4227</v>
      </c>
      <c r="B371" s="5" t="s">
        <v>4228</v>
      </c>
      <c r="C371" s="5" t="s">
        <v>503</v>
      </c>
      <c r="D371" s="5" t="s">
        <v>24</v>
      </c>
      <c r="E371" s="5" t="s">
        <v>1848</v>
      </c>
      <c r="F371" s="5" t="s">
        <v>1849</v>
      </c>
      <c r="G371" s="5" t="s">
        <v>24</v>
      </c>
      <c r="H371" s="5" t="s">
        <v>4229</v>
      </c>
      <c r="I371" s="5" t="s">
        <v>24</v>
      </c>
      <c r="J371" s="5" t="s">
        <v>24</v>
      </c>
      <c r="K371" s="5" t="s">
        <v>24</v>
      </c>
      <c r="L371" s="5" t="s">
        <v>24</v>
      </c>
      <c r="M371" s="5" t="s">
        <v>1885</v>
      </c>
      <c r="N371" s="5" t="s">
        <v>24</v>
      </c>
      <c r="O371" s="5" t="s">
        <v>2984</v>
      </c>
      <c r="P371" s="5" t="s">
        <v>24</v>
      </c>
      <c r="Q371" s="5" t="s">
        <v>24</v>
      </c>
      <c r="R371" s="5" t="s">
        <v>24</v>
      </c>
      <c r="S371" s="5" t="s">
        <v>1852</v>
      </c>
      <c r="T371" s="5" t="s">
        <v>3403</v>
      </c>
      <c r="U371" s="5" t="s">
        <v>3403</v>
      </c>
      <c r="V371" s="5" t="s">
        <v>1854</v>
      </c>
      <c r="W371" s="5" t="s">
        <v>24</v>
      </c>
      <c r="X371" s="5" t="s">
        <v>24</v>
      </c>
      <c r="Y371" s="5" t="s">
        <v>4230</v>
      </c>
      <c r="Z371" s="5" t="s">
        <v>4231</v>
      </c>
      <c r="AA371" s="5" t="s">
        <v>4231</v>
      </c>
      <c r="AB371" s="5" t="s">
        <v>4231</v>
      </c>
      <c r="AC371" s="5" t="s">
        <v>4232</v>
      </c>
      <c r="AD371" s="5" t="s">
        <v>4233</v>
      </c>
      <c r="AE371" s="5" t="s">
        <v>4234</v>
      </c>
      <c r="AF371" s="5" t="s">
        <v>4235</v>
      </c>
      <c r="AG371" s="5" t="s">
        <v>4236</v>
      </c>
      <c r="AH371" s="5" t="s">
        <v>24</v>
      </c>
      <c r="AI371" s="5" t="s">
        <v>24</v>
      </c>
      <c r="AJ371" s="5" t="s">
        <v>24</v>
      </c>
      <c r="AK371" s="5" t="s">
        <v>24</v>
      </c>
      <c r="AL371" s="5" t="str">
        <f>VLOOKUP(mambo!$H371,Sheet1!B:C,2,FALSE)</f>
        <v>#N/A</v>
      </c>
    </row>
    <row r="372" ht="15.75" hidden="1" customHeight="1">
      <c r="A372" s="5" t="s">
        <v>4237</v>
      </c>
      <c r="B372" s="5" t="s">
        <v>4238</v>
      </c>
      <c r="C372" s="5" t="s">
        <v>503</v>
      </c>
      <c r="D372" s="5" t="s">
        <v>24</v>
      </c>
      <c r="E372" s="5" t="s">
        <v>1848</v>
      </c>
      <c r="F372" s="5" t="s">
        <v>1849</v>
      </c>
      <c r="G372" s="5" t="s">
        <v>24</v>
      </c>
      <c r="H372" s="5" t="s">
        <v>4239</v>
      </c>
      <c r="I372" s="5" t="s">
        <v>24</v>
      </c>
      <c r="J372" s="5" t="s">
        <v>24</v>
      </c>
      <c r="K372" s="5" t="s">
        <v>24</v>
      </c>
      <c r="L372" s="5" t="s">
        <v>24</v>
      </c>
      <c r="M372" s="5" t="s">
        <v>1885</v>
      </c>
      <c r="N372" s="5" t="s">
        <v>24</v>
      </c>
      <c r="O372" s="5" t="s">
        <v>3552</v>
      </c>
      <c r="P372" s="5" t="s">
        <v>24</v>
      </c>
      <c r="Q372" s="5" t="s">
        <v>24</v>
      </c>
      <c r="R372" s="5" t="s">
        <v>24</v>
      </c>
      <c r="S372" s="5" t="s">
        <v>1852</v>
      </c>
      <c r="T372" s="5" t="s">
        <v>3403</v>
      </c>
      <c r="U372" s="5" t="s">
        <v>3403</v>
      </c>
      <c r="V372" s="5" t="s">
        <v>1854</v>
      </c>
      <c r="W372" s="5" t="s">
        <v>24</v>
      </c>
      <c r="X372" s="5" t="s">
        <v>24</v>
      </c>
      <c r="Y372" s="5" t="s">
        <v>4240</v>
      </c>
      <c r="Z372" s="5" t="s">
        <v>4241</v>
      </c>
      <c r="AA372" s="5" t="s">
        <v>4241</v>
      </c>
      <c r="AB372" s="5" t="s">
        <v>4241</v>
      </c>
      <c r="AC372" s="5" t="s">
        <v>4242</v>
      </c>
      <c r="AD372" s="5" t="s">
        <v>4243</v>
      </c>
      <c r="AE372" s="5" t="s">
        <v>4244</v>
      </c>
      <c r="AF372" s="5" t="s">
        <v>4245</v>
      </c>
      <c r="AG372" s="5" t="s">
        <v>4246</v>
      </c>
      <c r="AH372" s="5" t="s">
        <v>4247</v>
      </c>
      <c r="AI372" s="5" t="s">
        <v>4248</v>
      </c>
      <c r="AJ372" s="5" t="s">
        <v>4249</v>
      </c>
      <c r="AK372" s="5" t="s">
        <v>24</v>
      </c>
      <c r="AL372" s="5" t="str">
        <f>VLOOKUP(mambo!$H372,Sheet1!B:C,2,FALSE)</f>
        <v>#N/A</v>
      </c>
    </row>
    <row r="373" ht="15.75" hidden="1" customHeight="1">
      <c r="A373" s="5" t="s">
        <v>4250</v>
      </c>
      <c r="B373" s="5" t="s">
        <v>4251</v>
      </c>
      <c r="C373" s="5" t="s">
        <v>117</v>
      </c>
      <c r="D373" s="5" t="s">
        <v>24</v>
      </c>
      <c r="E373" s="5" t="s">
        <v>1848</v>
      </c>
      <c r="F373" s="5" t="s">
        <v>1849</v>
      </c>
      <c r="G373" s="5" t="s">
        <v>24</v>
      </c>
      <c r="H373" s="5" t="s">
        <v>4252</v>
      </c>
      <c r="I373" s="5" t="s">
        <v>24</v>
      </c>
      <c r="J373" s="5" t="s">
        <v>24</v>
      </c>
      <c r="K373" s="5" t="s">
        <v>24</v>
      </c>
      <c r="L373" s="5" t="s">
        <v>24</v>
      </c>
      <c r="M373" s="5" t="s">
        <v>24</v>
      </c>
      <c r="N373" s="5" t="s">
        <v>24</v>
      </c>
      <c r="O373" s="5" t="s">
        <v>2626</v>
      </c>
      <c r="P373" s="5" t="s">
        <v>24</v>
      </c>
      <c r="Q373" s="5" t="s">
        <v>24</v>
      </c>
      <c r="R373" s="5" t="s">
        <v>24</v>
      </c>
      <c r="S373" s="5" t="s">
        <v>1852</v>
      </c>
      <c r="T373" s="5" t="s">
        <v>3039</v>
      </c>
      <c r="U373" s="5" t="s">
        <v>3039</v>
      </c>
      <c r="V373" s="5" t="s">
        <v>1854</v>
      </c>
      <c r="W373" s="5" t="s">
        <v>24</v>
      </c>
      <c r="X373" s="5" t="s">
        <v>24</v>
      </c>
      <c r="Y373" s="5" t="s">
        <v>4253</v>
      </c>
      <c r="Z373" s="5" t="s">
        <v>4254</v>
      </c>
      <c r="AA373" s="5" t="s">
        <v>4254</v>
      </c>
      <c r="AB373" s="5" t="s">
        <v>4254</v>
      </c>
      <c r="AC373" s="5" t="s">
        <v>24</v>
      </c>
      <c r="AD373" s="5" t="s">
        <v>24</v>
      </c>
      <c r="AE373" s="5" t="s">
        <v>24</v>
      </c>
      <c r="AF373" s="5" t="s">
        <v>24</v>
      </c>
      <c r="AG373" s="5" t="s">
        <v>24</v>
      </c>
      <c r="AH373" s="5" t="s">
        <v>24</v>
      </c>
      <c r="AI373" s="5" t="s">
        <v>24</v>
      </c>
      <c r="AJ373" s="5" t="s">
        <v>24</v>
      </c>
      <c r="AK373" s="5" t="s">
        <v>24</v>
      </c>
      <c r="AL373" s="5" t="str">
        <f>VLOOKUP(mambo!$H373,Sheet1!B:C,2,FALSE)</f>
        <v>#N/A</v>
      </c>
    </row>
    <row r="374" ht="15.75" hidden="1" customHeight="1">
      <c r="A374" s="5" t="s">
        <v>4255</v>
      </c>
      <c r="B374" s="5" t="s">
        <v>4256</v>
      </c>
      <c r="C374" s="5" t="s">
        <v>117</v>
      </c>
      <c r="D374" s="5" t="s">
        <v>24</v>
      </c>
      <c r="E374" s="5" t="s">
        <v>1848</v>
      </c>
      <c r="F374" s="5" t="s">
        <v>1849</v>
      </c>
      <c r="G374" s="5" t="s">
        <v>24</v>
      </c>
      <c r="H374" s="5" t="s">
        <v>4257</v>
      </c>
      <c r="I374" s="5" t="s">
        <v>24</v>
      </c>
      <c r="J374" s="5" t="s">
        <v>24</v>
      </c>
      <c r="K374" s="5" t="s">
        <v>24</v>
      </c>
      <c r="L374" s="5" t="s">
        <v>24</v>
      </c>
      <c r="M374" s="5" t="s">
        <v>1885</v>
      </c>
      <c r="N374" s="5" t="s">
        <v>24</v>
      </c>
      <c r="O374" s="5" t="s">
        <v>4258</v>
      </c>
      <c r="P374" s="5" t="s">
        <v>24</v>
      </c>
      <c r="Q374" s="5" t="s">
        <v>24</v>
      </c>
      <c r="R374" s="5" t="s">
        <v>24</v>
      </c>
      <c r="S374" s="5" t="s">
        <v>1852</v>
      </c>
      <c r="T374" s="5" t="s">
        <v>1964</v>
      </c>
      <c r="U374" s="5" t="s">
        <v>1964</v>
      </c>
      <c r="V374" s="5" t="s">
        <v>1854</v>
      </c>
      <c r="W374" s="5" t="s">
        <v>24</v>
      </c>
      <c r="X374" s="5" t="s">
        <v>24</v>
      </c>
      <c r="Y374" s="5" t="s">
        <v>4259</v>
      </c>
      <c r="Z374" s="5" t="s">
        <v>4260</v>
      </c>
      <c r="AA374" s="5" t="s">
        <v>4260</v>
      </c>
      <c r="AB374" s="5" t="s">
        <v>4260</v>
      </c>
      <c r="AC374" s="5" t="s">
        <v>24</v>
      </c>
      <c r="AD374" s="5" t="s">
        <v>24</v>
      </c>
      <c r="AE374" s="5" t="s">
        <v>24</v>
      </c>
      <c r="AF374" s="5" t="s">
        <v>24</v>
      </c>
      <c r="AG374" s="5" t="s">
        <v>24</v>
      </c>
      <c r="AH374" s="5" t="s">
        <v>24</v>
      </c>
      <c r="AI374" s="5" t="s">
        <v>24</v>
      </c>
      <c r="AJ374" s="5" t="s">
        <v>24</v>
      </c>
      <c r="AK374" s="5" t="s">
        <v>24</v>
      </c>
      <c r="AL374" s="5" t="str">
        <f>VLOOKUP(mambo!$H374,Sheet1!B:C,2,FALSE)</f>
        <v>#N/A</v>
      </c>
    </row>
    <row r="375" ht="15.75" hidden="1" customHeight="1">
      <c r="A375" s="5" t="s">
        <v>4261</v>
      </c>
      <c r="B375" s="5" t="s">
        <v>4262</v>
      </c>
      <c r="C375" s="5" t="s">
        <v>117</v>
      </c>
      <c r="D375" s="5" t="s">
        <v>24</v>
      </c>
      <c r="E375" s="5" t="s">
        <v>1848</v>
      </c>
      <c r="F375" s="5" t="s">
        <v>1849</v>
      </c>
      <c r="G375" s="5" t="s">
        <v>24</v>
      </c>
      <c r="H375" s="5" t="s">
        <v>4263</v>
      </c>
      <c r="I375" s="5" t="s">
        <v>24</v>
      </c>
      <c r="J375" s="5" t="s">
        <v>24</v>
      </c>
      <c r="K375" s="5" t="s">
        <v>24</v>
      </c>
      <c r="L375" s="5" t="s">
        <v>24</v>
      </c>
      <c r="M375" s="5" t="s">
        <v>1885</v>
      </c>
      <c r="N375" s="5" t="s">
        <v>24</v>
      </c>
      <c r="O375" s="5" t="s">
        <v>4258</v>
      </c>
      <c r="P375" s="5" t="s">
        <v>24</v>
      </c>
      <c r="Q375" s="5" t="s">
        <v>24</v>
      </c>
      <c r="R375" s="5" t="s">
        <v>24</v>
      </c>
      <c r="S375" s="5" t="s">
        <v>1852</v>
      </c>
      <c r="T375" s="5" t="s">
        <v>1964</v>
      </c>
      <c r="U375" s="5" t="s">
        <v>1964</v>
      </c>
      <c r="V375" s="5" t="s">
        <v>1854</v>
      </c>
      <c r="W375" s="5" t="s">
        <v>24</v>
      </c>
      <c r="X375" s="5" t="s">
        <v>24</v>
      </c>
      <c r="Y375" s="5" t="s">
        <v>4264</v>
      </c>
      <c r="Z375" s="5" t="s">
        <v>4265</v>
      </c>
      <c r="AA375" s="5" t="s">
        <v>4265</v>
      </c>
      <c r="AB375" s="5" t="s">
        <v>4265</v>
      </c>
      <c r="AC375" s="5" t="s">
        <v>24</v>
      </c>
      <c r="AD375" s="5" t="s">
        <v>24</v>
      </c>
      <c r="AE375" s="5" t="s">
        <v>24</v>
      </c>
      <c r="AF375" s="5" t="s">
        <v>24</v>
      </c>
      <c r="AG375" s="5" t="s">
        <v>24</v>
      </c>
      <c r="AH375" s="5" t="s">
        <v>24</v>
      </c>
      <c r="AI375" s="5" t="s">
        <v>24</v>
      </c>
      <c r="AJ375" s="5" t="s">
        <v>24</v>
      </c>
      <c r="AK375" s="5" t="s">
        <v>24</v>
      </c>
      <c r="AL375" s="5" t="str">
        <f>VLOOKUP(mambo!$H375,Sheet1!B:C,2,FALSE)</f>
        <v>#N/A</v>
      </c>
    </row>
    <row r="376" ht="15.75" hidden="1" customHeight="1">
      <c r="A376" s="5" t="s">
        <v>4266</v>
      </c>
      <c r="B376" s="5" t="s">
        <v>4267</v>
      </c>
      <c r="C376" s="5" t="s">
        <v>117</v>
      </c>
      <c r="D376" s="5" t="s">
        <v>24</v>
      </c>
      <c r="E376" s="5" t="s">
        <v>1848</v>
      </c>
      <c r="F376" s="5" t="s">
        <v>1849</v>
      </c>
      <c r="G376" s="5" t="s">
        <v>24</v>
      </c>
      <c r="H376" s="5" t="s">
        <v>4268</v>
      </c>
      <c r="I376" s="5" t="s">
        <v>24</v>
      </c>
      <c r="J376" s="5" t="s">
        <v>24</v>
      </c>
      <c r="K376" s="5" t="s">
        <v>24</v>
      </c>
      <c r="L376" s="5" t="s">
        <v>24</v>
      </c>
      <c r="M376" s="5" t="s">
        <v>1885</v>
      </c>
      <c r="N376" s="5" t="s">
        <v>24</v>
      </c>
      <c r="O376" s="5" t="s">
        <v>4258</v>
      </c>
      <c r="P376" s="5" t="s">
        <v>24</v>
      </c>
      <c r="Q376" s="5" t="s">
        <v>24</v>
      </c>
      <c r="R376" s="5" t="s">
        <v>24</v>
      </c>
      <c r="S376" s="5" t="s">
        <v>2020</v>
      </c>
      <c r="T376" s="5" t="s">
        <v>2021</v>
      </c>
      <c r="U376" s="5" t="s">
        <v>2021</v>
      </c>
      <c r="V376" s="5" t="s">
        <v>24</v>
      </c>
      <c r="W376" s="5" t="s">
        <v>24</v>
      </c>
      <c r="X376" s="5" t="s">
        <v>24</v>
      </c>
      <c r="Y376" s="5" t="s">
        <v>4269</v>
      </c>
      <c r="Z376" s="5" t="s">
        <v>4270</v>
      </c>
      <c r="AA376" s="5" t="s">
        <v>4270</v>
      </c>
      <c r="AB376" s="5" t="s">
        <v>4270</v>
      </c>
      <c r="AC376" s="5" t="s">
        <v>24</v>
      </c>
      <c r="AD376" s="5" t="s">
        <v>24</v>
      </c>
      <c r="AE376" s="5" t="s">
        <v>24</v>
      </c>
      <c r="AF376" s="5" t="s">
        <v>24</v>
      </c>
      <c r="AG376" s="5" t="s">
        <v>24</v>
      </c>
      <c r="AH376" s="5" t="s">
        <v>24</v>
      </c>
      <c r="AI376" s="5" t="s">
        <v>24</v>
      </c>
      <c r="AJ376" s="5" t="s">
        <v>24</v>
      </c>
      <c r="AK376" s="5" t="s">
        <v>24</v>
      </c>
      <c r="AL376" s="5" t="str">
        <f>VLOOKUP(mambo!$H376,Sheet1!B:C,2,FALSE)</f>
        <v>#N/A</v>
      </c>
    </row>
    <row r="377" ht="15.75" hidden="1" customHeight="1">
      <c r="A377" s="5" t="s">
        <v>4271</v>
      </c>
      <c r="B377" s="5" t="s">
        <v>4272</v>
      </c>
      <c r="C377" s="5" t="s">
        <v>117</v>
      </c>
      <c r="D377" s="5" t="s">
        <v>24</v>
      </c>
      <c r="E377" s="5" t="s">
        <v>1848</v>
      </c>
      <c r="F377" s="5" t="s">
        <v>1849</v>
      </c>
      <c r="G377" s="5" t="s">
        <v>24</v>
      </c>
      <c r="H377" s="5" t="s">
        <v>4273</v>
      </c>
      <c r="I377" s="5" t="s">
        <v>24</v>
      </c>
      <c r="J377" s="5" t="s">
        <v>24</v>
      </c>
      <c r="K377" s="5" t="s">
        <v>24</v>
      </c>
      <c r="L377" s="5" t="s">
        <v>24</v>
      </c>
      <c r="M377" s="5" t="s">
        <v>1885</v>
      </c>
      <c r="N377" s="5" t="s">
        <v>24</v>
      </c>
      <c r="O377" s="5" t="s">
        <v>4258</v>
      </c>
      <c r="P377" s="5" t="s">
        <v>24</v>
      </c>
      <c r="Q377" s="5" t="s">
        <v>24</v>
      </c>
      <c r="R377" s="5" t="s">
        <v>24</v>
      </c>
      <c r="S377" s="5" t="s">
        <v>1852</v>
      </c>
      <c r="T377" s="5" t="s">
        <v>1964</v>
      </c>
      <c r="U377" s="5" t="s">
        <v>1964</v>
      </c>
      <c r="V377" s="5" t="s">
        <v>1854</v>
      </c>
      <c r="W377" s="5" t="s">
        <v>24</v>
      </c>
      <c r="X377" s="5" t="s">
        <v>24</v>
      </c>
      <c r="Y377" s="5" t="s">
        <v>4274</v>
      </c>
      <c r="Z377" s="5" t="s">
        <v>4275</v>
      </c>
      <c r="AA377" s="5" t="s">
        <v>4275</v>
      </c>
      <c r="AB377" s="5" t="s">
        <v>4275</v>
      </c>
      <c r="AC377" s="5" t="s">
        <v>24</v>
      </c>
      <c r="AD377" s="5" t="s">
        <v>24</v>
      </c>
      <c r="AE377" s="5" t="s">
        <v>24</v>
      </c>
      <c r="AF377" s="5" t="s">
        <v>24</v>
      </c>
      <c r="AG377" s="5" t="s">
        <v>24</v>
      </c>
      <c r="AH377" s="5" t="s">
        <v>24</v>
      </c>
      <c r="AI377" s="5" t="s">
        <v>24</v>
      </c>
      <c r="AJ377" s="5" t="s">
        <v>24</v>
      </c>
      <c r="AK377" s="5" t="s">
        <v>24</v>
      </c>
      <c r="AL377" s="5" t="str">
        <f>VLOOKUP(mambo!$H377,Sheet1!B:C,2,FALSE)</f>
        <v>#N/A</v>
      </c>
    </row>
    <row r="378" ht="15.75" hidden="1" customHeight="1">
      <c r="A378" s="5" t="s">
        <v>4276</v>
      </c>
      <c r="B378" s="5" t="s">
        <v>4277</v>
      </c>
      <c r="C378" s="5" t="s">
        <v>117</v>
      </c>
      <c r="D378" s="5" t="s">
        <v>24</v>
      </c>
      <c r="E378" s="5" t="s">
        <v>1848</v>
      </c>
      <c r="F378" s="5" t="s">
        <v>1849</v>
      </c>
      <c r="G378" s="5" t="s">
        <v>24</v>
      </c>
      <c r="H378" s="5" t="s">
        <v>4278</v>
      </c>
      <c r="I378" s="5" t="s">
        <v>24</v>
      </c>
      <c r="J378" s="5" t="s">
        <v>24</v>
      </c>
      <c r="K378" s="5" t="s">
        <v>24</v>
      </c>
      <c r="L378" s="5" t="s">
        <v>24</v>
      </c>
      <c r="M378" s="5" t="s">
        <v>24</v>
      </c>
      <c r="N378" s="5" t="s">
        <v>24</v>
      </c>
      <c r="O378" s="5" t="s">
        <v>3136</v>
      </c>
      <c r="P378" s="5" t="s">
        <v>24</v>
      </c>
      <c r="Q378" s="5" t="s">
        <v>24</v>
      </c>
      <c r="R378" s="5" t="s">
        <v>24</v>
      </c>
      <c r="S378" s="5" t="s">
        <v>1852</v>
      </c>
      <c r="T378" s="5" t="s">
        <v>3760</v>
      </c>
      <c r="U378" s="5" t="s">
        <v>3760</v>
      </c>
      <c r="V378" s="5" t="s">
        <v>1854</v>
      </c>
      <c r="W378" s="5" t="s">
        <v>24</v>
      </c>
      <c r="X378" s="5" t="s">
        <v>24</v>
      </c>
      <c r="Y378" s="5" t="s">
        <v>4279</v>
      </c>
      <c r="Z378" s="5" t="s">
        <v>4280</v>
      </c>
      <c r="AA378" s="5" t="s">
        <v>4280</v>
      </c>
      <c r="AB378" s="5" t="s">
        <v>4280</v>
      </c>
      <c r="AC378" s="5" t="s">
        <v>24</v>
      </c>
      <c r="AD378" s="5" t="s">
        <v>24</v>
      </c>
      <c r="AE378" s="5" t="s">
        <v>24</v>
      </c>
      <c r="AF378" s="5" t="s">
        <v>24</v>
      </c>
      <c r="AG378" s="5" t="s">
        <v>24</v>
      </c>
      <c r="AH378" s="5" t="s">
        <v>24</v>
      </c>
      <c r="AI378" s="5" t="s">
        <v>24</v>
      </c>
      <c r="AJ378" s="5" t="s">
        <v>24</v>
      </c>
      <c r="AK378" s="5" t="s">
        <v>24</v>
      </c>
      <c r="AL378" s="5" t="str">
        <f>VLOOKUP(mambo!$H378,Sheet1!B:C,2,FALSE)</f>
        <v>#N/A</v>
      </c>
    </row>
    <row r="379" ht="15.75" hidden="1" customHeight="1">
      <c r="A379" s="5" t="s">
        <v>4281</v>
      </c>
      <c r="B379" s="5" t="s">
        <v>4282</v>
      </c>
      <c r="C379" s="5" t="s">
        <v>117</v>
      </c>
      <c r="D379" s="5" t="s">
        <v>24</v>
      </c>
      <c r="E379" s="5" t="s">
        <v>1848</v>
      </c>
      <c r="F379" s="5" t="s">
        <v>1849</v>
      </c>
      <c r="G379" s="5" t="s">
        <v>24</v>
      </c>
      <c r="H379" s="5" t="s">
        <v>4283</v>
      </c>
      <c r="I379" s="5" t="s">
        <v>24</v>
      </c>
      <c r="J379" s="5" t="s">
        <v>24</v>
      </c>
      <c r="K379" s="5" t="s">
        <v>24</v>
      </c>
      <c r="L379" s="5" t="s">
        <v>24</v>
      </c>
      <c r="M379" s="5" t="s">
        <v>24</v>
      </c>
      <c r="N379" s="5" t="s">
        <v>24</v>
      </c>
      <c r="O379" s="5" t="s">
        <v>3136</v>
      </c>
      <c r="P379" s="5" t="s">
        <v>24</v>
      </c>
      <c r="Q379" s="5" t="s">
        <v>24</v>
      </c>
      <c r="R379" s="5" t="s">
        <v>24</v>
      </c>
      <c r="S379" s="5" t="s">
        <v>1852</v>
      </c>
      <c r="T379" s="5" t="s">
        <v>3760</v>
      </c>
      <c r="U379" s="5" t="s">
        <v>3760</v>
      </c>
      <c r="V379" s="5" t="s">
        <v>1854</v>
      </c>
      <c r="W379" s="5" t="s">
        <v>24</v>
      </c>
      <c r="X379" s="5" t="s">
        <v>24</v>
      </c>
      <c r="Y379" s="5" t="s">
        <v>4284</v>
      </c>
      <c r="Z379" s="5" t="s">
        <v>4285</v>
      </c>
      <c r="AA379" s="5" t="s">
        <v>4285</v>
      </c>
      <c r="AB379" s="5" t="s">
        <v>4285</v>
      </c>
      <c r="AC379" s="5" t="s">
        <v>24</v>
      </c>
      <c r="AD379" s="5" t="s">
        <v>24</v>
      </c>
      <c r="AE379" s="5" t="s">
        <v>24</v>
      </c>
      <c r="AF379" s="5" t="s">
        <v>24</v>
      </c>
      <c r="AG379" s="5" t="s">
        <v>24</v>
      </c>
      <c r="AH379" s="5" t="s">
        <v>24</v>
      </c>
      <c r="AI379" s="5" t="s">
        <v>24</v>
      </c>
      <c r="AJ379" s="5" t="s">
        <v>24</v>
      </c>
      <c r="AK379" s="5" t="s">
        <v>24</v>
      </c>
      <c r="AL379" s="5" t="str">
        <f>VLOOKUP(mambo!$H379,Sheet1!B:C,2,FALSE)</f>
        <v>#N/A</v>
      </c>
    </row>
    <row r="380" ht="15.75" hidden="1" customHeight="1">
      <c r="A380" s="5" t="s">
        <v>4286</v>
      </c>
      <c r="B380" s="5" t="s">
        <v>4287</v>
      </c>
      <c r="C380" s="5" t="s">
        <v>117</v>
      </c>
      <c r="D380" s="5" t="s">
        <v>24</v>
      </c>
      <c r="E380" s="5" t="s">
        <v>1848</v>
      </c>
      <c r="F380" s="5" t="s">
        <v>1849</v>
      </c>
      <c r="G380" s="5" t="s">
        <v>24</v>
      </c>
      <c r="H380" s="5" t="s">
        <v>4288</v>
      </c>
      <c r="I380" s="5" t="s">
        <v>24</v>
      </c>
      <c r="J380" s="5" t="s">
        <v>24</v>
      </c>
      <c r="K380" s="5" t="s">
        <v>24</v>
      </c>
      <c r="L380" s="5" t="s">
        <v>24</v>
      </c>
      <c r="M380" s="5" t="s">
        <v>1885</v>
      </c>
      <c r="N380" s="5" t="s">
        <v>24</v>
      </c>
      <c r="O380" s="5" t="s">
        <v>4258</v>
      </c>
      <c r="P380" s="5" t="s">
        <v>24</v>
      </c>
      <c r="Q380" s="5" t="s">
        <v>24</v>
      </c>
      <c r="R380" s="5" t="s">
        <v>24</v>
      </c>
      <c r="S380" s="5" t="s">
        <v>1852</v>
      </c>
      <c r="T380" s="5" t="s">
        <v>1964</v>
      </c>
      <c r="U380" s="5" t="s">
        <v>1964</v>
      </c>
      <c r="V380" s="5" t="s">
        <v>1854</v>
      </c>
      <c r="W380" s="5" t="s">
        <v>24</v>
      </c>
      <c r="X380" s="5" t="s">
        <v>24</v>
      </c>
      <c r="Y380" s="5" t="s">
        <v>4289</v>
      </c>
      <c r="Z380" s="5" t="s">
        <v>4290</v>
      </c>
      <c r="AA380" s="5" t="s">
        <v>4290</v>
      </c>
      <c r="AB380" s="5" t="s">
        <v>4290</v>
      </c>
      <c r="AC380" s="5" t="s">
        <v>24</v>
      </c>
      <c r="AD380" s="5" t="s">
        <v>24</v>
      </c>
      <c r="AE380" s="5" t="s">
        <v>24</v>
      </c>
      <c r="AF380" s="5" t="s">
        <v>24</v>
      </c>
      <c r="AG380" s="5" t="s">
        <v>24</v>
      </c>
      <c r="AH380" s="5" t="s">
        <v>24</v>
      </c>
      <c r="AI380" s="5" t="s">
        <v>24</v>
      </c>
      <c r="AJ380" s="5" t="s">
        <v>24</v>
      </c>
      <c r="AK380" s="5" t="s">
        <v>24</v>
      </c>
      <c r="AL380" s="5" t="str">
        <f>VLOOKUP(mambo!$H380,Sheet1!B:C,2,FALSE)</f>
        <v>#N/A</v>
      </c>
    </row>
    <row r="381" ht="15.75" customHeight="1">
      <c r="A381" s="5" t="s">
        <v>4291</v>
      </c>
      <c r="B381" s="5" t="s">
        <v>4292</v>
      </c>
      <c r="C381" s="5" t="s">
        <v>503</v>
      </c>
      <c r="D381" s="5" t="s">
        <v>24</v>
      </c>
      <c r="E381" s="5" t="s">
        <v>1848</v>
      </c>
      <c r="F381" s="5" t="s">
        <v>1849</v>
      </c>
      <c r="G381" s="5" t="s">
        <v>24</v>
      </c>
      <c r="H381" s="5" t="s">
        <v>794</v>
      </c>
      <c r="I381" s="5" t="s">
        <v>24</v>
      </c>
      <c r="J381" s="5" t="s">
        <v>24</v>
      </c>
      <c r="K381" s="5" t="s">
        <v>24</v>
      </c>
      <c r="L381" s="5" t="s">
        <v>24</v>
      </c>
      <c r="M381" s="5" t="s">
        <v>1885</v>
      </c>
      <c r="N381" s="5" t="s">
        <v>24</v>
      </c>
      <c r="O381" s="5" t="s">
        <v>4061</v>
      </c>
      <c r="P381" s="5" t="s">
        <v>24</v>
      </c>
      <c r="Q381" s="5" t="s">
        <v>24</v>
      </c>
      <c r="R381" s="5" t="s">
        <v>24</v>
      </c>
      <c r="S381" s="5" t="s">
        <v>1852</v>
      </c>
      <c r="T381" s="5" t="s">
        <v>2900</v>
      </c>
      <c r="U381" s="5" t="s">
        <v>2900</v>
      </c>
      <c r="V381" s="5" t="s">
        <v>1854</v>
      </c>
      <c r="W381" s="5" t="s">
        <v>24</v>
      </c>
      <c r="X381" s="5" t="s">
        <v>24</v>
      </c>
      <c r="Y381" s="5" t="s">
        <v>4293</v>
      </c>
      <c r="Z381" s="5" t="s">
        <v>4294</v>
      </c>
      <c r="AA381" s="5" t="s">
        <v>4294</v>
      </c>
      <c r="AB381" s="5" t="s">
        <v>4294</v>
      </c>
      <c r="AC381" s="5" t="s">
        <v>4295</v>
      </c>
      <c r="AD381" s="5" t="s">
        <v>4296</v>
      </c>
      <c r="AE381" s="5" t="s">
        <v>4297</v>
      </c>
      <c r="AF381" s="5" t="s">
        <v>4298</v>
      </c>
      <c r="AG381" s="5" t="s">
        <v>4299</v>
      </c>
      <c r="AH381" s="5" t="s">
        <v>4300</v>
      </c>
      <c r="AI381" s="5" t="s">
        <v>4301</v>
      </c>
      <c r="AJ381" s="5" t="s">
        <v>4302</v>
      </c>
      <c r="AK381" s="5" t="s">
        <v>24</v>
      </c>
      <c r="AL381" s="5" t="str">
        <f>VLOOKUP(mambo!$H381,Sheet1!B:C,2,FALSE)</f>
        <v>1391805</v>
      </c>
    </row>
    <row r="382" ht="15.75" customHeight="1">
      <c r="A382" s="5" t="s">
        <v>4303</v>
      </c>
      <c r="B382" s="5" t="s">
        <v>4304</v>
      </c>
      <c r="C382" s="5" t="s">
        <v>503</v>
      </c>
      <c r="D382" s="5" t="s">
        <v>24</v>
      </c>
      <c r="E382" s="5" t="s">
        <v>1848</v>
      </c>
      <c r="F382" s="5" t="s">
        <v>1849</v>
      </c>
      <c r="G382" s="5" t="s">
        <v>24</v>
      </c>
      <c r="H382" s="5" t="s">
        <v>646</v>
      </c>
      <c r="I382" s="5" t="s">
        <v>24</v>
      </c>
      <c r="J382" s="5" t="s">
        <v>24</v>
      </c>
      <c r="K382" s="5" t="s">
        <v>24</v>
      </c>
      <c r="L382" s="5" t="s">
        <v>24</v>
      </c>
      <c r="M382" s="5" t="s">
        <v>1885</v>
      </c>
      <c r="N382" s="5" t="s">
        <v>24</v>
      </c>
      <c r="O382" s="5" t="s">
        <v>4061</v>
      </c>
      <c r="P382" s="5" t="s">
        <v>24</v>
      </c>
      <c r="Q382" s="5" t="s">
        <v>24</v>
      </c>
      <c r="R382" s="5" t="s">
        <v>24</v>
      </c>
      <c r="S382" s="5" t="s">
        <v>1852</v>
      </c>
      <c r="T382" s="5" t="s">
        <v>2900</v>
      </c>
      <c r="U382" s="5" t="s">
        <v>2900</v>
      </c>
      <c r="V382" s="5" t="s">
        <v>1854</v>
      </c>
      <c r="W382" s="5" t="s">
        <v>24</v>
      </c>
      <c r="X382" s="5" t="s">
        <v>24</v>
      </c>
      <c r="Y382" s="5" t="s">
        <v>4305</v>
      </c>
      <c r="Z382" s="5" t="s">
        <v>4306</v>
      </c>
      <c r="AA382" s="5" t="s">
        <v>4306</v>
      </c>
      <c r="AB382" s="5" t="s">
        <v>4306</v>
      </c>
      <c r="AC382" s="5" t="s">
        <v>4307</v>
      </c>
      <c r="AD382" s="5" t="s">
        <v>4308</v>
      </c>
      <c r="AE382" s="5" t="s">
        <v>4309</v>
      </c>
      <c r="AF382" s="5" t="s">
        <v>4310</v>
      </c>
      <c r="AG382" s="5" t="s">
        <v>4311</v>
      </c>
      <c r="AH382" s="5" t="s">
        <v>4312</v>
      </c>
      <c r="AI382" s="5" t="s">
        <v>4313</v>
      </c>
      <c r="AJ382" s="5" t="s">
        <v>4314</v>
      </c>
      <c r="AK382" s="5" t="s">
        <v>24</v>
      </c>
      <c r="AL382" s="5" t="str">
        <f>VLOOKUP(mambo!$H382,Sheet1!B:C,2,FALSE)</f>
        <v>1391803</v>
      </c>
    </row>
    <row r="383" ht="15.75" customHeight="1">
      <c r="A383" s="5" t="s">
        <v>4315</v>
      </c>
      <c r="B383" s="5" t="s">
        <v>4316</v>
      </c>
      <c r="C383" s="5" t="s">
        <v>503</v>
      </c>
      <c r="D383" s="5" t="s">
        <v>24</v>
      </c>
      <c r="E383" s="5" t="s">
        <v>1848</v>
      </c>
      <c r="F383" s="5" t="s">
        <v>1849</v>
      </c>
      <c r="G383" s="5" t="s">
        <v>24</v>
      </c>
      <c r="H383" s="5" t="s">
        <v>682</v>
      </c>
      <c r="I383" s="5" t="s">
        <v>24</v>
      </c>
      <c r="J383" s="5" t="s">
        <v>24</v>
      </c>
      <c r="K383" s="5" t="s">
        <v>24</v>
      </c>
      <c r="L383" s="5" t="s">
        <v>24</v>
      </c>
      <c r="M383" s="5" t="s">
        <v>1885</v>
      </c>
      <c r="N383" s="5" t="s">
        <v>24</v>
      </c>
      <c r="O383" s="5" t="s">
        <v>4061</v>
      </c>
      <c r="P383" s="5" t="s">
        <v>24</v>
      </c>
      <c r="Q383" s="5" t="s">
        <v>24</v>
      </c>
      <c r="R383" s="5" t="s">
        <v>24</v>
      </c>
      <c r="S383" s="5" t="s">
        <v>1852</v>
      </c>
      <c r="T383" s="5" t="s">
        <v>2900</v>
      </c>
      <c r="U383" s="5" t="s">
        <v>2900</v>
      </c>
      <c r="V383" s="5" t="s">
        <v>1854</v>
      </c>
      <c r="W383" s="5" t="s">
        <v>24</v>
      </c>
      <c r="X383" s="5" t="s">
        <v>24</v>
      </c>
      <c r="Y383" s="5" t="s">
        <v>4317</v>
      </c>
      <c r="Z383" s="5" t="s">
        <v>4318</v>
      </c>
      <c r="AA383" s="5" t="s">
        <v>4318</v>
      </c>
      <c r="AB383" s="5" t="s">
        <v>4318</v>
      </c>
      <c r="AC383" s="5" t="s">
        <v>4319</v>
      </c>
      <c r="AD383" s="5" t="s">
        <v>4320</v>
      </c>
      <c r="AE383" s="5" t="s">
        <v>4321</v>
      </c>
      <c r="AF383" s="5" t="s">
        <v>4322</v>
      </c>
      <c r="AG383" s="5" t="s">
        <v>4323</v>
      </c>
      <c r="AH383" s="5" t="s">
        <v>4324</v>
      </c>
      <c r="AI383" s="5" t="s">
        <v>4325</v>
      </c>
      <c r="AJ383" s="5" t="s">
        <v>4326</v>
      </c>
      <c r="AK383" s="5" t="s">
        <v>4327</v>
      </c>
      <c r="AL383" s="5" t="str">
        <f>VLOOKUP(mambo!$H383,Sheet1!B:C,2,FALSE)</f>
        <v>1391804</v>
      </c>
    </row>
    <row r="384" ht="15.75" customHeight="1">
      <c r="A384" s="5" t="s">
        <v>4328</v>
      </c>
      <c r="B384" s="5" t="s">
        <v>4329</v>
      </c>
      <c r="C384" s="5" t="s">
        <v>503</v>
      </c>
      <c r="D384" s="5" t="s">
        <v>24</v>
      </c>
      <c r="E384" s="5" t="s">
        <v>1848</v>
      </c>
      <c r="F384" s="5" t="s">
        <v>1849</v>
      </c>
      <c r="G384" s="5" t="s">
        <v>24</v>
      </c>
      <c r="H384" s="5" t="s">
        <v>829</v>
      </c>
      <c r="I384" s="5" t="s">
        <v>24</v>
      </c>
      <c r="J384" s="5" t="s">
        <v>24</v>
      </c>
      <c r="K384" s="5" t="s">
        <v>24</v>
      </c>
      <c r="L384" s="5" t="s">
        <v>24</v>
      </c>
      <c r="M384" s="5" t="s">
        <v>1885</v>
      </c>
      <c r="N384" s="5" t="s">
        <v>24</v>
      </c>
      <c r="O384" s="5" t="s">
        <v>4061</v>
      </c>
      <c r="P384" s="5" t="s">
        <v>24</v>
      </c>
      <c r="Q384" s="5" t="s">
        <v>24</v>
      </c>
      <c r="R384" s="5" t="s">
        <v>24</v>
      </c>
      <c r="S384" s="5" t="s">
        <v>1852</v>
      </c>
      <c r="T384" s="5" t="s">
        <v>2900</v>
      </c>
      <c r="U384" s="5" t="s">
        <v>2900</v>
      </c>
      <c r="V384" s="5" t="s">
        <v>1854</v>
      </c>
      <c r="W384" s="5" t="s">
        <v>24</v>
      </c>
      <c r="X384" s="5" t="s">
        <v>24</v>
      </c>
      <c r="Y384" s="5" t="s">
        <v>4330</v>
      </c>
      <c r="Z384" s="5" t="s">
        <v>4331</v>
      </c>
      <c r="AA384" s="5" t="s">
        <v>4331</v>
      </c>
      <c r="AB384" s="5" t="s">
        <v>4331</v>
      </c>
      <c r="AC384" s="5" t="s">
        <v>4332</v>
      </c>
      <c r="AD384" s="5" t="s">
        <v>4333</v>
      </c>
      <c r="AE384" s="5" t="s">
        <v>4334</v>
      </c>
      <c r="AF384" s="5" t="s">
        <v>4335</v>
      </c>
      <c r="AG384" s="5" t="s">
        <v>4336</v>
      </c>
      <c r="AH384" s="5" t="s">
        <v>4337</v>
      </c>
      <c r="AI384" s="5" t="s">
        <v>4338</v>
      </c>
      <c r="AJ384" s="5" t="s">
        <v>4339</v>
      </c>
      <c r="AK384" s="5" t="s">
        <v>4340</v>
      </c>
      <c r="AL384" s="5" t="str">
        <f>VLOOKUP(mambo!$H384,Sheet1!B:C,2,FALSE)</f>
        <v>1392086</v>
      </c>
    </row>
    <row r="385" ht="15.75" hidden="1" customHeight="1">
      <c r="A385" s="5" t="s">
        <v>4341</v>
      </c>
      <c r="B385" s="5" t="s">
        <v>4342</v>
      </c>
      <c r="C385" s="5" t="s">
        <v>117</v>
      </c>
      <c r="D385" s="5" t="s">
        <v>24</v>
      </c>
      <c r="E385" s="5" t="s">
        <v>1848</v>
      </c>
      <c r="F385" s="5" t="s">
        <v>1849</v>
      </c>
      <c r="G385" s="5" t="s">
        <v>24</v>
      </c>
      <c r="H385" s="5" t="s">
        <v>4343</v>
      </c>
      <c r="I385" s="5" t="s">
        <v>24</v>
      </c>
      <c r="J385" s="5" t="s">
        <v>24</v>
      </c>
      <c r="K385" s="5" t="s">
        <v>24</v>
      </c>
      <c r="L385" s="5" t="s">
        <v>24</v>
      </c>
      <c r="M385" s="5" t="s">
        <v>24</v>
      </c>
      <c r="N385" s="5" t="s">
        <v>24</v>
      </c>
      <c r="O385" s="5" t="s">
        <v>3136</v>
      </c>
      <c r="P385" s="5" t="s">
        <v>24</v>
      </c>
      <c r="Q385" s="5" t="s">
        <v>24</v>
      </c>
      <c r="R385" s="5" t="s">
        <v>24</v>
      </c>
      <c r="S385" s="5" t="s">
        <v>1852</v>
      </c>
      <c r="T385" s="5" t="s">
        <v>4344</v>
      </c>
      <c r="U385" s="5" t="s">
        <v>4344</v>
      </c>
      <c r="V385" s="5" t="s">
        <v>1854</v>
      </c>
      <c r="W385" s="5" t="s">
        <v>24</v>
      </c>
      <c r="X385" s="5" t="s">
        <v>24</v>
      </c>
      <c r="Y385" s="5" t="s">
        <v>4345</v>
      </c>
      <c r="Z385" s="5" t="s">
        <v>4346</v>
      </c>
      <c r="AA385" s="5" t="s">
        <v>4346</v>
      </c>
      <c r="AB385" s="5" t="s">
        <v>4346</v>
      </c>
      <c r="AC385" s="5" t="s">
        <v>24</v>
      </c>
      <c r="AD385" s="5" t="s">
        <v>24</v>
      </c>
      <c r="AE385" s="5" t="s">
        <v>24</v>
      </c>
      <c r="AF385" s="5" t="s">
        <v>24</v>
      </c>
      <c r="AG385" s="5" t="s">
        <v>24</v>
      </c>
      <c r="AH385" s="5" t="s">
        <v>24</v>
      </c>
      <c r="AI385" s="5" t="s">
        <v>24</v>
      </c>
      <c r="AJ385" s="5" t="s">
        <v>24</v>
      </c>
      <c r="AK385" s="5" t="s">
        <v>24</v>
      </c>
      <c r="AL385" s="5" t="str">
        <f>VLOOKUP(mambo!$H385,Sheet1!B:C,2,FALSE)</f>
        <v>#N/A</v>
      </c>
    </row>
    <row r="386" ht="15.75" hidden="1" customHeight="1">
      <c r="A386" s="5" t="s">
        <v>4347</v>
      </c>
      <c r="B386" s="5" t="s">
        <v>4348</v>
      </c>
      <c r="C386" s="5" t="s">
        <v>117</v>
      </c>
      <c r="D386" s="5" t="s">
        <v>24</v>
      </c>
      <c r="E386" s="5" t="s">
        <v>1848</v>
      </c>
      <c r="F386" s="5" t="s">
        <v>1849</v>
      </c>
      <c r="G386" s="5" t="s">
        <v>24</v>
      </c>
      <c r="H386" s="5" t="s">
        <v>4349</v>
      </c>
      <c r="I386" s="5" t="s">
        <v>24</v>
      </c>
      <c r="J386" s="5" t="s">
        <v>24</v>
      </c>
      <c r="K386" s="5" t="s">
        <v>24</v>
      </c>
      <c r="L386" s="5" t="s">
        <v>24</v>
      </c>
      <c r="M386" s="5" t="s">
        <v>24</v>
      </c>
      <c r="N386" s="5" t="s">
        <v>24</v>
      </c>
      <c r="O386" s="5" t="s">
        <v>1851</v>
      </c>
      <c r="P386" s="5" t="s">
        <v>24</v>
      </c>
      <c r="Q386" s="5" t="s">
        <v>24</v>
      </c>
      <c r="R386" s="5" t="s">
        <v>24</v>
      </c>
      <c r="S386" s="5" t="s">
        <v>1852</v>
      </c>
      <c r="T386" s="5" t="s">
        <v>4350</v>
      </c>
      <c r="U386" s="5" t="s">
        <v>4350</v>
      </c>
      <c r="V386" s="5" t="s">
        <v>1854</v>
      </c>
      <c r="W386" s="5" t="s">
        <v>24</v>
      </c>
      <c r="X386" s="5" t="s">
        <v>24</v>
      </c>
      <c r="Y386" s="5" t="s">
        <v>4351</v>
      </c>
      <c r="Z386" s="5" t="s">
        <v>4352</v>
      </c>
      <c r="AA386" s="5" t="s">
        <v>4352</v>
      </c>
      <c r="AB386" s="5" t="s">
        <v>4352</v>
      </c>
      <c r="AC386" s="5" t="s">
        <v>24</v>
      </c>
      <c r="AD386" s="5" t="s">
        <v>24</v>
      </c>
      <c r="AE386" s="5" t="s">
        <v>24</v>
      </c>
      <c r="AF386" s="5" t="s">
        <v>24</v>
      </c>
      <c r="AG386" s="5" t="s">
        <v>24</v>
      </c>
      <c r="AH386" s="5" t="s">
        <v>24</v>
      </c>
      <c r="AI386" s="5" t="s">
        <v>24</v>
      </c>
      <c r="AJ386" s="5" t="s">
        <v>24</v>
      </c>
      <c r="AK386" s="5" t="s">
        <v>24</v>
      </c>
      <c r="AL386" s="5" t="str">
        <f>VLOOKUP(mambo!$H386,Sheet1!B:C,2,FALSE)</f>
        <v>#N/A</v>
      </c>
    </row>
    <row r="387" ht="15.75" customHeight="1">
      <c r="A387" s="5" t="s">
        <v>4353</v>
      </c>
      <c r="B387" s="5" t="s">
        <v>4354</v>
      </c>
      <c r="C387" s="5" t="s">
        <v>227</v>
      </c>
      <c r="D387" s="5" t="s">
        <v>24</v>
      </c>
      <c r="E387" s="5" t="s">
        <v>1848</v>
      </c>
      <c r="F387" s="5" t="s">
        <v>1849</v>
      </c>
      <c r="G387" s="5" t="s">
        <v>24</v>
      </c>
      <c r="H387" s="5" t="s">
        <v>804</v>
      </c>
      <c r="I387" s="5" t="s">
        <v>24</v>
      </c>
      <c r="J387" s="5" t="s">
        <v>24</v>
      </c>
      <c r="K387" s="5" t="s">
        <v>24</v>
      </c>
      <c r="L387" s="5" t="s">
        <v>24</v>
      </c>
      <c r="M387" s="5" t="s">
        <v>24</v>
      </c>
      <c r="N387" s="5" t="s">
        <v>24</v>
      </c>
      <c r="O387" s="5" t="s">
        <v>1933</v>
      </c>
      <c r="P387" s="5" t="s">
        <v>24</v>
      </c>
      <c r="Q387" s="5" t="s">
        <v>24</v>
      </c>
      <c r="R387" s="5" t="s">
        <v>24</v>
      </c>
      <c r="S387" s="5" t="s">
        <v>1852</v>
      </c>
      <c r="T387" s="5" t="s">
        <v>2502</v>
      </c>
      <c r="U387" s="5" t="s">
        <v>2502</v>
      </c>
      <c r="V387" s="5" t="s">
        <v>1854</v>
      </c>
      <c r="W387" s="5" t="s">
        <v>24</v>
      </c>
      <c r="X387" s="5" t="s">
        <v>24</v>
      </c>
      <c r="Y387" s="5" t="s">
        <v>4355</v>
      </c>
      <c r="Z387" s="5" t="s">
        <v>4356</v>
      </c>
      <c r="AA387" s="5" t="s">
        <v>4356</v>
      </c>
      <c r="AB387" s="5" t="s">
        <v>4356</v>
      </c>
      <c r="AC387" s="5" t="s">
        <v>4357</v>
      </c>
      <c r="AD387" s="5" t="s">
        <v>4358</v>
      </c>
      <c r="AE387" s="5" t="s">
        <v>4359</v>
      </c>
      <c r="AF387" s="5" t="s">
        <v>4360</v>
      </c>
      <c r="AG387" s="5" t="s">
        <v>4361</v>
      </c>
      <c r="AH387" s="5" t="s">
        <v>24</v>
      </c>
      <c r="AI387" s="5" t="s">
        <v>24</v>
      </c>
      <c r="AJ387" s="5" t="s">
        <v>24</v>
      </c>
      <c r="AK387" s="5" t="s">
        <v>24</v>
      </c>
      <c r="AL387" s="5" t="str">
        <f>VLOOKUP(mambo!$H387,Sheet1!B:C,2,FALSE)</f>
        <v>1391020</v>
      </c>
    </row>
    <row r="388" ht="15.75" customHeight="1">
      <c r="A388" s="5" t="s">
        <v>4362</v>
      </c>
      <c r="B388" s="5" t="s">
        <v>4363</v>
      </c>
      <c r="C388" s="5" t="s">
        <v>227</v>
      </c>
      <c r="D388" s="5" t="s">
        <v>24</v>
      </c>
      <c r="E388" s="5" t="s">
        <v>1848</v>
      </c>
      <c r="F388" s="5" t="s">
        <v>1849</v>
      </c>
      <c r="G388" s="5" t="s">
        <v>24</v>
      </c>
      <c r="H388" s="5" t="s">
        <v>765</v>
      </c>
      <c r="I388" s="5" t="s">
        <v>24</v>
      </c>
      <c r="J388" s="5" t="s">
        <v>24</v>
      </c>
      <c r="K388" s="5" t="s">
        <v>24</v>
      </c>
      <c r="L388" s="5" t="s">
        <v>24</v>
      </c>
      <c r="M388" s="5" t="s">
        <v>24</v>
      </c>
      <c r="N388" s="5" t="s">
        <v>24</v>
      </c>
      <c r="O388" s="5" t="s">
        <v>1933</v>
      </c>
      <c r="P388" s="5" t="s">
        <v>24</v>
      </c>
      <c r="Q388" s="5" t="s">
        <v>24</v>
      </c>
      <c r="R388" s="5" t="s">
        <v>24</v>
      </c>
      <c r="S388" s="5" t="s">
        <v>1852</v>
      </c>
      <c r="T388" s="5" t="s">
        <v>2502</v>
      </c>
      <c r="U388" s="5" t="s">
        <v>2502</v>
      </c>
      <c r="V388" s="5" t="s">
        <v>1854</v>
      </c>
      <c r="W388" s="5" t="s">
        <v>24</v>
      </c>
      <c r="X388" s="5" t="s">
        <v>24</v>
      </c>
      <c r="Y388" s="5" t="s">
        <v>4364</v>
      </c>
      <c r="Z388" s="5" t="s">
        <v>4365</v>
      </c>
      <c r="AA388" s="5" t="s">
        <v>4365</v>
      </c>
      <c r="AB388" s="5" t="s">
        <v>4365</v>
      </c>
      <c r="AC388" s="5" t="s">
        <v>24</v>
      </c>
      <c r="AD388" s="5" t="s">
        <v>24</v>
      </c>
      <c r="AE388" s="5" t="s">
        <v>24</v>
      </c>
      <c r="AF388" s="5" t="s">
        <v>24</v>
      </c>
      <c r="AG388" s="5" t="s">
        <v>24</v>
      </c>
      <c r="AH388" s="5" t="s">
        <v>24</v>
      </c>
      <c r="AI388" s="5" t="s">
        <v>24</v>
      </c>
      <c r="AJ388" s="5" t="s">
        <v>24</v>
      </c>
      <c r="AK388" s="5" t="s">
        <v>24</v>
      </c>
      <c r="AL388" s="5" t="str">
        <f>VLOOKUP(mambo!$H388,Sheet1!B:C,2,FALSE)</f>
        <v>1391007</v>
      </c>
    </row>
    <row r="389" ht="15.75" customHeight="1">
      <c r="A389" s="5" t="s">
        <v>4366</v>
      </c>
      <c r="B389" s="5" t="s">
        <v>4367</v>
      </c>
      <c r="C389" s="5" t="s">
        <v>227</v>
      </c>
      <c r="D389" s="5" t="s">
        <v>24</v>
      </c>
      <c r="E389" s="5" t="s">
        <v>1848</v>
      </c>
      <c r="F389" s="5" t="s">
        <v>1849</v>
      </c>
      <c r="G389" s="5" t="s">
        <v>24</v>
      </c>
      <c r="H389" s="5" t="s">
        <v>743</v>
      </c>
      <c r="I389" s="5" t="s">
        <v>24</v>
      </c>
      <c r="J389" s="5" t="s">
        <v>24</v>
      </c>
      <c r="K389" s="5" t="s">
        <v>24</v>
      </c>
      <c r="L389" s="5" t="s">
        <v>24</v>
      </c>
      <c r="M389" s="5" t="s">
        <v>24</v>
      </c>
      <c r="N389" s="5" t="s">
        <v>24</v>
      </c>
      <c r="O389" s="5" t="s">
        <v>1933</v>
      </c>
      <c r="P389" s="5" t="s">
        <v>24</v>
      </c>
      <c r="Q389" s="5" t="s">
        <v>24</v>
      </c>
      <c r="R389" s="5" t="s">
        <v>24</v>
      </c>
      <c r="S389" s="5" t="s">
        <v>1852</v>
      </c>
      <c r="T389" s="5" t="s">
        <v>2502</v>
      </c>
      <c r="U389" s="5" t="s">
        <v>2502</v>
      </c>
      <c r="V389" s="5" t="s">
        <v>1854</v>
      </c>
      <c r="W389" s="5" t="s">
        <v>24</v>
      </c>
      <c r="X389" s="5" t="s">
        <v>24</v>
      </c>
      <c r="Y389" s="5" t="s">
        <v>4368</v>
      </c>
      <c r="Z389" s="5" t="s">
        <v>4369</v>
      </c>
      <c r="AA389" s="5" t="s">
        <v>4369</v>
      </c>
      <c r="AB389" s="5" t="s">
        <v>4369</v>
      </c>
      <c r="AC389" s="5" t="s">
        <v>24</v>
      </c>
      <c r="AD389" s="5" t="s">
        <v>24</v>
      </c>
      <c r="AE389" s="5" t="s">
        <v>24</v>
      </c>
      <c r="AF389" s="5" t="s">
        <v>24</v>
      </c>
      <c r="AG389" s="5" t="s">
        <v>24</v>
      </c>
      <c r="AH389" s="5" t="s">
        <v>24</v>
      </c>
      <c r="AI389" s="5" t="s">
        <v>24</v>
      </c>
      <c r="AJ389" s="5" t="s">
        <v>24</v>
      </c>
      <c r="AK389" s="5" t="s">
        <v>24</v>
      </c>
      <c r="AL389" s="5" t="str">
        <f>VLOOKUP(mambo!$H389,Sheet1!B:C,2,FALSE)</f>
        <v>1391021</v>
      </c>
    </row>
    <row r="390" ht="15.75" customHeight="1">
      <c r="A390" s="5" t="s">
        <v>4370</v>
      </c>
      <c r="B390" s="5" t="s">
        <v>4371</v>
      </c>
      <c r="C390" s="5" t="s">
        <v>227</v>
      </c>
      <c r="D390" s="5" t="s">
        <v>24</v>
      </c>
      <c r="E390" s="5" t="s">
        <v>1848</v>
      </c>
      <c r="F390" s="5" t="s">
        <v>1849</v>
      </c>
      <c r="G390" s="5" t="s">
        <v>24</v>
      </c>
      <c r="H390" s="5" t="s">
        <v>718</v>
      </c>
      <c r="I390" s="5" t="s">
        <v>24</v>
      </c>
      <c r="J390" s="5" t="s">
        <v>24</v>
      </c>
      <c r="K390" s="5" t="s">
        <v>24</v>
      </c>
      <c r="L390" s="5" t="s">
        <v>24</v>
      </c>
      <c r="M390" s="5" t="s">
        <v>24</v>
      </c>
      <c r="N390" s="5" t="s">
        <v>4372</v>
      </c>
      <c r="O390" s="5" t="s">
        <v>1933</v>
      </c>
      <c r="P390" s="5" t="s">
        <v>24</v>
      </c>
      <c r="Q390" s="5" t="s">
        <v>24</v>
      </c>
      <c r="R390" s="5" t="s">
        <v>24</v>
      </c>
      <c r="S390" s="5" t="s">
        <v>1852</v>
      </c>
      <c r="T390" s="5" t="s">
        <v>2502</v>
      </c>
      <c r="U390" s="5" t="s">
        <v>2502</v>
      </c>
      <c r="V390" s="5" t="s">
        <v>1854</v>
      </c>
      <c r="W390" s="5" t="s">
        <v>24</v>
      </c>
      <c r="X390" s="5" t="s">
        <v>24</v>
      </c>
      <c r="Y390" s="5" t="s">
        <v>4373</v>
      </c>
      <c r="Z390" s="5" t="s">
        <v>4374</v>
      </c>
      <c r="AA390" s="5" t="s">
        <v>4374</v>
      </c>
      <c r="AB390" s="5" t="s">
        <v>4374</v>
      </c>
      <c r="AC390" s="5" t="s">
        <v>24</v>
      </c>
      <c r="AD390" s="5" t="s">
        <v>24</v>
      </c>
      <c r="AE390" s="5" t="s">
        <v>24</v>
      </c>
      <c r="AF390" s="5" t="s">
        <v>24</v>
      </c>
      <c r="AG390" s="5" t="s">
        <v>24</v>
      </c>
      <c r="AH390" s="5" t="s">
        <v>24</v>
      </c>
      <c r="AI390" s="5" t="s">
        <v>24</v>
      </c>
      <c r="AJ390" s="5" t="s">
        <v>24</v>
      </c>
      <c r="AK390" s="5" t="s">
        <v>24</v>
      </c>
      <c r="AL390" s="5" t="str">
        <f>VLOOKUP(mambo!$H390,Sheet1!B:C,2,FALSE)</f>
        <v>1391009</v>
      </c>
    </row>
    <row r="391" ht="15.75" hidden="1" customHeight="1">
      <c r="A391" s="5" t="s">
        <v>4375</v>
      </c>
      <c r="B391" s="5" t="s">
        <v>4376</v>
      </c>
      <c r="C391" s="5" t="s">
        <v>227</v>
      </c>
      <c r="D391" s="5" t="s">
        <v>24</v>
      </c>
      <c r="E391" s="5" t="s">
        <v>1848</v>
      </c>
      <c r="F391" s="5" t="s">
        <v>1849</v>
      </c>
      <c r="G391" s="5" t="s">
        <v>24</v>
      </c>
      <c r="H391" s="5" t="s">
        <v>4377</v>
      </c>
      <c r="I391" s="5" t="s">
        <v>24</v>
      </c>
      <c r="J391" s="5" t="s">
        <v>24</v>
      </c>
      <c r="K391" s="5" t="s">
        <v>24</v>
      </c>
      <c r="L391" s="5" t="s">
        <v>24</v>
      </c>
      <c r="M391" s="5" t="s">
        <v>24</v>
      </c>
      <c r="N391" s="5" t="s">
        <v>24</v>
      </c>
      <c r="O391" s="5" t="s">
        <v>4139</v>
      </c>
      <c r="P391" s="5" t="s">
        <v>24</v>
      </c>
      <c r="Q391" s="5" t="s">
        <v>24</v>
      </c>
      <c r="R391" s="5" t="s">
        <v>24</v>
      </c>
      <c r="S391" s="5" t="s">
        <v>1852</v>
      </c>
      <c r="T391" s="5" t="s">
        <v>4378</v>
      </c>
      <c r="U391" s="5" t="s">
        <v>4378</v>
      </c>
      <c r="V391" s="5" t="s">
        <v>1854</v>
      </c>
      <c r="W391" s="5" t="s">
        <v>24</v>
      </c>
      <c r="X391" s="5" t="s">
        <v>24</v>
      </c>
      <c r="Y391" s="5" t="s">
        <v>4379</v>
      </c>
      <c r="Z391" s="5" t="s">
        <v>4380</v>
      </c>
      <c r="AA391" s="5" t="s">
        <v>4380</v>
      </c>
      <c r="AB391" s="5" t="s">
        <v>4380</v>
      </c>
      <c r="AC391" s="5" t="s">
        <v>24</v>
      </c>
      <c r="AD391" s="5" t="s">
        <v>24</v>
      </c>
      <c r="AE391" s="5" t="s">
        <v>24</v>
      </c>
      <c r="AF391" s="5" t="s">
        <v>24</v>
      </c>
      <c r="AG391" s="5" t="s">
        <v>24</v>
      </c>
      <c r="AH391" s="5" t="s">
        <v>24</v>
      </c>
      <c r="AI391" s="5" t="s">
        <v>24</v>
      </c>
      <c r="AJ391" s="5" t="s">
        <v>24</v>
      </c>
      <c r="AK391" s="5" t="s">
        <v>24</v>
      </c>
      <c r="AL391" s="5" t="str">
        <f>VLOOKUP(mambo!$H391,Sheet1!B:C,2,FALSE)</f>
        <v>#N/A</v>
      </c>
    </row>
    <row r="392" ht="15.75" hidden="1" customHeight="1">
      <c r="A392" s="5" t="s">
        <v>4381</v>
      </c>
      <c r="B392" s="5" t="s">
        <v>4382</v>
      </c>
      <c r="C392" s="5" t="s">
        <v>503</v>
      </c>
      <c r="D392" s="5" t="s">
        <v>24</v>
      </c>
      <c r="E392" s="5" t="s">
        <v>1848</v>
      </c>
      <c r="F392" s="5" t="s">
        <v>1849</v>
      </c>
      <c r="G392" s="5" t="s">
        <v>24</v>
      </c>
      <c r="H392" s="5" t="s">
        <v>4383</v>
      </c>
      <c r="I392" s="5" t="s">
        <v>24</v>
      </c>
      <c r="J392" s="5" t="s">
        <v>24</v>
      </c>
      <c r="K392" s="5" t="s">
        <v>24</v>
      </c>
      <c r="L392" s="5" t="s">
        <v>24</v>
      </c>
      <c r="M392" s="5" t="s">
        <v>24</v>
      </c>
      <c r="N392" s="5" t="s">
        <v>24</v>
      </c>
      <c r="O392" s="5" t="s">
        <v>2984</v>
      </c>
      <c r="P392" s="5" t="s">
        <v>24</v>
      </c>
      <c r="Q392" s="5" t="s">
        <v>24</v>
      </c>
      <c r="R392" s="5" t="s">
        <v>24</v>
      </c>
      <c r="S392" s="5" t="s">
        <v>1852</v>
      </c>
      <c r="T392" s="5" t="s">
        <v>3223</v>
      </c>
      <c r="U392" s="5" t="s">
        <v>3223</v>
      </c>
      <c r="V392" s="5" t="s">
        <v>1854</v>
      </c>
      <c r="W392" s="5" t="s">
        <v>24</v>
      </c>
      <c r="X392" s="5" t="s">
        <v>24</v>
      </c>
      <c r="Y392" s="5" t="s">
        <v>4384</v>
      </c>
      <c r="Z392" s="5" t="s">
        <v>4385</v>
      </c>
      <c r="AA392" s="5" t="s">
        <v>4385</v>
      </c>
      <c r="AB392" s="5" t="s">
        <v>4385</v>
      </c>
      <c r="AC392" s="5" t="s">
        <v>4386</v>
      </c>
      <c r="AD392" s="5" t="s">
        <v>4387</v>
      </c>
      <c r="AE392" s="5" t="s">
        <v>4388</v>
      </c>
      <c r="AF392" s="5" t="s">
        <v>4389</v>
      </c>
      <c r="AG392" s="5" t="s">
        <v>24</v>
      </c>
      <c r="AH392" s="5" t="s">
        <v>24</v>
      </c>
      <c r="AI392" s="5" t="s">
        <v>24</v>
      </c>
      <c r="AJ392" s="5" t="s">
        <v>24</v>
      </c>
      <c r="AK392" s="5" t="s">
        <v>24</v>
      </c>
      <c r="AL392" s="5" t="str">
        <f>VLOOKUP(mambo!$H392,Sheet1!B:C,2,FALSE)</f>
        <v>#N/A</v>
      </c>
    </row>
    <row r="393" ht="15.75" customHeight="1">
      <c r="A393" s="5" t="s">
        <v>4390</v>
      </c>
      <c r="B393" s="5" t="s">
        <v>4391</v>
      </c>
      <c r="C393" s="5" t="s">
        <v>1240</v>
      </c>
      <c r="D393" s="5" t="s">
        <v>24</v>
      </c>
      <c r="E393" s="5" t="s">
        <v>1848</v>
      </c>
      <c r="F393" s="5" t="s">
        <v>1849</v>
      </c>
      <c r="G393" s="5" t="s">
        <v>24</v>
      </c>
      <c r="H393" s="5" t="s">
        <v>1777</v>
      </c>
      <c r="I393" s="5" t="s">
        <v>24</v>
      </c>
      <c r="J393" s="5" t="s">
        <v>24</v>
      </c>
      <c r="K393" s="5" t="s">
        <v>24</v>
      </c>
      <c r="L393" s="5" t="s">
        <v>24</v>
      </c>
      <c r="M393" s="5" t="s">
        <v>4223</v>
      </c>
      <c r="N393" s="5" t="s">
        <v>24</v>
      </c>
      <c r="O393" s="5" t="s">
        <v>4392</v>
      </c>
      <c r="P393" s="5" t="s">
        <v>24</v>
      </c>
      <c r="Q393" s="5" t="s">
        <v>24</v>
      </c>
      <c r="R393" s="5" t="s">
        <v>24</v>
      </c>
      <c r="S393" s="5" t="s">
        <v>1852</v>
      </c>
      <c r="T393" s="5" t="s">
        <v>1861</v>
      </c>
      <c r="U393" s="5" t="s">
        <v>1861</v>
      </c>
      <c r="V393" s="5" t="s">
        <v>1854</v>
      </c>
      <c r="W393" s="5" t="s">
        <v>24</v>
      </c>
      <c r="X393" s="5" t="s">
        <v>24</v>
      </c>
      <c r="Y393" s="5" t="s">
        <v>4393</v>
      </c>
      <c r="Z393" s="5" t="s">
        <v>4394</v>
      </c>
      <c r="AA393" s="5" t="s">
        <v>4394</v>
      </c>
      <c r="AB393" s="5" t="s">
        <v>4394</v>
      </c>
      <c r="AC393" s="5" t="s">
        <v>24</v>
      </c>
      <c r="AD393" s="5" t="s">
        <v>24</v>
      </c>
      <c r="AE393" s="5" t="s">
        <v>24</v>
      </c>
      <c r="AF393" s="5" t="s">
        <v>24</v>
      </c>
      <c r="AG393" s="5" t="s">
        <v>24</v>
      </c>
      <c r="AH393" s="5" t="s">
        <v>24</v>
      </c>
      <c r="AI393" s="5" t="s">
        <v>24</v>
      </c>
      <c r="AJ393" s="5" t="s">
        <v>24</v>
      </c>
      <c r="AK393" s="5" t="s">
        <v>24</v>
      </c>
      <c r="AL393" s="5" t="str">
        <f>VLOOKUP(mambo!$H393,Sheet1!B:C,2,FALSE)</f>
        <v>1410941</v>
      </c>
    </row>
    <row r="394" ht="15.75" hidden="1" customHeight="1">
      <c r="A394" s="5" t="s">
        <v>4395</v>
      </c>
      <c r="B394" s="5" t="s">
        <v>4396</v>
      </c>
      <c r="C394" s="5" t="s">
        <v>1240</v>
      </c>
      <c r="D394" s="5" t="s">
        <v>24</v>
      </c>
      <c r="E394" s="5" t="s">
        <v>1848</v>
      </c>
      <c r="F394" s="5" t="s">
        <v>1849</v>
      </c>
      <c r="G394" s="5" t="s">
        <v>24</v>
      </c>
      <c r="H394" s="5" t="s">
        <v>4397</v>
      </c>
      <c r="I394" s="5" t="s">
        <v>24</v>
      </c>
      <c r="J394" s="5" t="s">
        <v>24</v>
      </c>
      <c r="K394" s="5" t="s">
        <v>24</v>
      </c>
      <c r="L394" s="5" t="s">
        <v>24</v>
      </c>
      <c r="M394" s="5" t="s">
        <v>4223</v>
      </c>
      <c r="N394" s="5" t="s">
        <v>24</v>
      </c>
      <c r="O394" s="5" t="s">
        <v>4392</v>
      </c>
      <c r="P394" s="5" t="s">
        <v>24</v>
      </c>
      <c r="Q394" s="5" t="s">
        <v>24</v>
      </c>
      <c r="R394" s="5" t="s">
        <v>24</v>
      </c>
      <c r="S394" s="5" t="s">
        <v>1852</v>
      </c>
      <c r="T394" s="5" t="s">
        <v>1861</v>
      </c>
      <c r="U394" s="5" t="s">
        <v>1861</v>
      </c>
      <c r="V394" s="5" t="s">
        <v>1854</v>
      </c>
      <c r="W394" s="5" t="s">
        <v>24</v>
      </c>
      <c r="X394" s="5" t="s">
        <v>24</v>
      </c>
      <c r="Y394" s="5" t="s">
        <v>4398</v>
      </c>
      <c r="Z394" s="5" t="s">
        <v>4399</v>
      </c>
      <c r="AA394" s="5" t="s">
        <v>4399</v>
      </c>
      <c r="AB394" s="5" t="s">
        <v>4399</v>
      </c>
      <c r="AC394" s="5" t="s">
        <v>24</v>
      </c>
      <c r="AD394" s="5" t="s">
        <v>24</v>
      </c>
      <c r="AE394" s="5" t="s">
        <v>24</v>
      </c>
      <c r="AF394" s="5" t="s">
        <v>24</v>
      </c>
      <c r="AG394" s="5" t="s">
        <v>24</v>
      </c>
      <c r="AH394" s="5" t="s">
        <v>24</v>
      </c>
      <c r="AI394" s="5" t="s">
        <v>24</v>
      </c>
      <c r="AJ394" s="5" t="s">
        <v>24</v>
      </c>
      <c r="AK394" s="5" t="s">
        <v>24</v>
      </c>
      <c r="AL394" s="5" t="str">
        <f>VLOOKUP(mambo!$H394,Sheet1!B:C,2,FALSE)</f>
        <v>#N/A</v>
      </c>
    </row>
    <row r="395" ht="15.75" hidden="1" customHeight="1">
      <c r="A395" s="5" t="s">
        <v>4400</v>
      </c>
      <c r="B395" s="5" t="s">
        <v>4401</v>
      </c>
      <c r="C395" s="5" t="s">
        <v>4402</v>
      </c>
      <c r="D395" s="5" t="s">
        <v>24</v>
      </c>
      <c r="E395" s="5" t="s">
        <v>1848</v>
      </c>
      <c r="F395" s="5" t="s">
        <v>1849</v>
      </c>
      <c r="G395" s="5" t="s">
        <v>24</v>
      </c>
      <c r="H395" s="5" t="s">
        <v>4403</v>
      </c>
      <c r="I395" s="5" t="s">
        <v>24</v>
      </c>
      <c r="J395" s="5" t="s">
        <v>24</v>
      </c>
      <c r="K395" s="5" t="s">
        <v>24</v>
      </c>
      <c r="L395" s="5" t="s">
        <v>24</v>
      </c>
      <c r="M395" s="5" t="s">
        <v>24</v>
      </c>
      <c r="N395" s="5" t="s">
        <v>24</v>
      </c>
      <c r="O395" s="5" t="s">
        <v>1933</v>
      </c>
      <c r="P395" s="5" t="s">
        <v>24</v>
      </c>
      <c r="Q395" s="5" t="s">
        <v>24</v>
      </c>
      <c r="R395" s="5" t="s">
        <v>24</v>
      </c>
      <c r="S395" s="5" t="s">
        <v>1852</v>
      </c>
      <c r="T395" s="5" t="s">
        <v>4404</v>
      </c>
      <c r="U395" s="5" t="s">
        <v>4404</v>
      </c>
      <c r="V395" s="5" t="s">
        <v>1854</v>
      </c>
      <c r="W395" s="5" t="s">
        <v>24</v>
      </c>
      <c r="X395" s="5" t="s">
        <v>24</v>
      </c>
      <c r="Y395" s="5" t="s">
        <v>4405</v>
      </c>
      <c r="Z395" s="5" t="s">
        <v>4406</v>
      </c>
      <c r="AA395" s="5" t="s">
        <v>4406</v>
      </c>
      <c r="AB395" s="5" t="s">
        <v>4406</v>
      </c>
      <c r="AC395" s="5" t="s">
        <v>24</v>
      </c>
      <c r="AD395" s="5" t="s">
        <v>24</v>
      </c>
      <c r="AE395" s="5" t="s">
        <v>24</v>
      </c>
      <c r="AF395" s="5" t="s">
        <v>24</v>
      </c>
      <c r="AG395" s="5" t="s">
        <v>24</v>
      </c>
      <c r="AH395" s="5" t="s">
        <v>24</v>
      </c>
      <c r="AI395" s="5" t="s">
        <v>24</v>
      </c>
      <c r="AJ395" s="5" t="s">
        <v>24</v>
      </c>
      <c r="AK395" s="5" t="s">
        <v>24</v>
      </c>
      <c r="AL395" s="5" t="str">
        <f>VLOOKUP(mambo!$H395,Sheet1!B:C,2,FALSE)</f>
        <v>#N/A</v>
      </c>
    </row>
    <row r="396" ht="15.75" hidden="1" customHeight="1">
      <c r="A396" s="5" t="s">
        <v>4407</v>
      </c>
      <c r="B396" s="5" t="s">
        <v>4408</v>
      </c>
      <c r="C396" s="5" t="s">
        <v>4402</v>
      </c>
      <c r="D396" s="5" t="s">
        <v>24</v>
      </c>
      <c r="E396" s="5" t="s">
        <v>1848</v>
      </c>
      <c r="F396" s="5" t="s">
        <v>1849</v>
      </c>
      <c r="G396" s="5" t="s">
        <v>24</v>
      </c>
      <c r="H396" s="5" t="s">
        <v>4409</v>
      </c>
      <c r="I396" s="5" t="s">
        <v>24</v>
      </c>
      <c r="J396" s="5" t="s">
        <v>24</v>
      </c>
      <c r="K396" s="5" t="s">
        <v>24</v>
      </c>
      <c r="L396" s="5" t="s">
        <v>24</v>
      </c>
      <c r="M396" s="5" t="s">
        <v>24</v>
      </c>
      <c r="N396" s="5" t="s">
        <v>24</v>
      </c>
      <c r="O396" s="5" t="s">
        <v>1933</v>
      </c>
      <c r="P396" s="5" t="s">
        <v>24</v>
      </c>
      <c r="Q396" s="5" t="s">
        <v>24</v>
      </c>
      <c r="R396" s="5" t="s">
        <v>24</v>
      </c>
      <c r="S396" s="5" t="s">
        <v>1852</v>
      </c>
      <c r="T396" s="5" t="s">
        <v>2066</v>
      </c>
      <c r="U396" s="5" t="s">
        <v>2066</v>
      </c>
      <c r="V396" s="5" t="s">
        <v>1854</v>
      </c>
      <c r="W396" s="5" t="s">
        <v>24</v>
      </c>
      <c r="X396" s="5" t="s">
        <v>24</v>
      </c>
      <c r="Y396" s="5" t="s">
        <v>4410</v>
      </c>
      <c r="Z396" s="5" t="s">
        <v>4411</v>
      </c>
      <c r="AA396" s="5" t="s">
        <v>4411</v>
      </c>
      <c r="AB396" s="5" t="s">
        <v>4411</v>
      </c>
      <c r="AC396" s="5" t="s">
        <v>24</v>
      </c>
      <c r="AD396" s="5" t="s">
        <v>24</v>
      </c>
      <c r="AE396" s="5" t="s">
        <v>24</v>
      </c>
      <c r="AF396" s="5" t="s">
        <v>24</v>
      </c>
      <c r="AG396" s="5" t="s">
        <v>24</v>
      </c>
      <c r="AH396" s="5" t="s">
        <v>24</v>
      </c>
      <c r="AI396" s="5" t="s">
        <v>24</v>
      </c>
      <c r="AJ396" s="5" t="s">
        <v>24</v>
      </c>
      <c r="AK396" s="5" t="s">
        <v>24</v>
      </c>
      <c r="AL396" s="5" t="str">
        <f>VLOOKUP(mambo!$H396,Sheet1!B:C,2,FALSE)</f>
        <v>#N/A</v>
      </c>
    </row>
    <row r="397" ht="15.75" hidden="1" customHeight="1">
      <c r="A397" s="5" t="s">
        <v>4412</v>
      </c>
      <c r="B397" s="5" t="s">
        <v>4413</v>
      </c>
      <c r="C397" s="5" t="s">
        <v>3302</v>
      </c>
      <c r="D397" s="5" t="s">
        <v>24</v>
      </c>
      <c r="E397" s="5" t="s">
        <v>1848</v>
      </c>
      <c r="F397" s="5" t="s">
        <v>1849</v>
      </c>
      <c r="G397" s="5" t="s">
        <v>24</v>
      </c>
      <c r="H397" s="5" t="s">
        <v>4414</v>
      </c>
      <c r="I397" s="5" t="s">
        <v>24</v>
      </c>
      <c r="J397" s="5" t="s">
        <v>24</v>
      </c>
      <c r="K397" s="5" t="s">
        <v>24</v>
      </c>
      <c r="L397" s="5" t="s">
        <v>24</v>
      </c>
      <c r="M397" s="5" t="s">
        <v>1885</v>
      </c>
      <c r="N397" s="5" t="s">
        <v>24</v>
      </c>
      <c r="O397" s="5" t="s">
        <v>1917</v>
      </c>
      <c r="P397" s="5" t="s">
        <v>24</v>
      </c>
      <c r="Q397" s="5" t="s">
        <v>24</v>
      </c>
      <c r="R397" s="5" t="s">
        <v>24</v>
      </c>
      <c r="S397" s="5" t="s">
        <v>1852</v>
      </c>
      <c r="T397" s="5" t="s">
        <v>3319</v>
      </c>
      <c r="U397" s="5" t="s">
        <v>3319</v>
      </c>
      <c r="V397" s="5" t="s">
        <v>1854</v>
      </c>
      <c r="W397" s="5" t="s">
        <v>24</v>
      </c>
      <c r="X397" s="5" t="s">
        <v>24</v>
      </c>
      <c r="Y397" s="5" t="s">
        <v>4415</v>
      </c>
      <c r="Z397" s="5" t="s">
        <v>4416</v>
      </c>
      <c r="AA397" s="5" t="s">
        <v>4416</v>
      </c>
      <c r="AB397" s="5" t="s">
        <v>4416</v>
      </c>
      <c r="AC397" s="5" t="s">
        <v>24</v>
      </c>
      <c r="AD397" s="5" t="s">
        <v>24</v>
      </c>
      <c r="AE397" s="5" t="s">
        <v>24</v>
      </c>
      <c r="AF397" s="5" t="s">
        <v>24</v>
      </c>
      <c r="AG397" s="5" t="s">
        <v>24</v>
      </c>
      <c r="AH397" s="5" t="s">
        <v>24</v>
      </c>
      <c r="AI397" s="5" t="s">
        <v>24</v>
      </c>
      <c r="AJ397" s="5" t="s">
        <v>24</v>
      </c>
      <c r="AK397" s="5" t="s">
        <v>24</v>
      </c>
      <c r="AL397" s="5" t="str">
        <f>VLOOKUP(mambo!$H397,Sheet1!B:C,2,FALSE)</f>
        <v>#N/A</v>
      </c>
    </row>
    <row r="398" ht="15.75" hidden="1" customHeight="1">
      <c r="A398" s="5" t="s">
        <v>4417</v>
      </c>
      <c r="B398" s="5" t="s">
        <v>4418</v>
      </c>
      <c r="C398" s="5" t="s">
        <v>227</v>
      </c>
      <c r="D398" s="5" t="s">
        <v>24</v>
      </c>
      <c r="E398" s="5" t="s">
        <v>1848</v>
      </c>
      <c r="F398" s="5" t="s">
        <v>1849</v>
      </c>
      <c r="G398" s="5" t="s">
        <v>24</v>
      </c>
      <c r="H398" s="5" t="s">
        <v>4419</v>
      </c>
      <c r="I398" s="5" t="s">
        <v>24</v>
      </c>
      <c r="J398" s="5" t="s">
        <v>24</v>
      </c>
      <c r="K398" s="5" t="s">
        <v>24</v>
      </c>
      <c r="L398" s="5" t="s">
        <v>24</v>
      </c>
      <c r="M398" s="5" t="s">
        <v>24</v>
      </c>
      <c r="N398" s="5" t="s">
        <v>4372</v>
      </c>
      <c r="O398" s="5" t="s">
        <v>1933</v>
      </c>
      <c r="P398" s="5" t="s">
        <v>24</v>
      </c>
      <c r="Q398" s="5" t="s">
        <v>24</v>
      </c>
      <c r="R398" s="5" t="s">
        <v>24</v>
      </c>
      <c r="S398" s="5" t="s">
        <v>1852</v>
      </c>
      <c r="T398" s="5" t="s">
        <v>2502</v>
      </c>
      <c r="U398" s="5" t="s">
        <v>2502</v>
      </c>
      <c r="V398" s="5" t="s">
        <v>1854</v>
      </c>
      <c r="W398" s="5" t="s">
        <v>24</v>
      </c>
      <c r="X398" s="5" t="s">
        <v>24</v>
      </c>
      <c r="Y398" s="5" t="s">
        <v>4420</v>
      </c>
      <c r="Z398" s="5" t="s">
        <v>4421</v>
      </c>
      <c r="AA398" s="5" t="s">
        <v>4421</v>
      </c>
      <c r="AB398" s="5" t="s">
        <v>4421</v>
      </c>
      <c r="AC398" s="5" t="s">
        <v>24</v>
      </c>
      <c r="AD398" s="5" t="s">
        <v>24</v>
      </c>
      <c r="AE398" s="5" t="s">
        <v>24</v>
      </c>
      <c r="AF398" s="5" t="s">
        <v>24</v>
      </c>
      <c r="AG398" s="5" t="s">
        <v>24</v>
      </c>
      <c r="AH398" s="5" t="s">
        <v>24</v>
      </c>
      <c r="AI398" s="5" t="s">
        <v>24</v>
      </c>
      <c r="AJ398" s="5" t="s">
        <v>24</v>
      </c>
      <c r="AK398" s="5" t="s">
        <v>24</v>
      </c>
      <c r="AL398" s="5" t="str">
        <f>VLOOKUP(mambo!$H398,Sheet1!B:C,2,FALSE)</f>
        <v>#N/A</v>
      </c>
    </row>
    <row r="399" ht="15.75" hidden="1" customHeight="1">
      <c r="A399" s="5" t="s">
        <v>4422</v>
      </c>
      <c r="B399" s="5" t="s">
        <v>4423</v>
      </c>
      <c r="C399" s="5" t="s">
        <v>227</v>
      </c>
      <c r="D399" s="5" t="s">
        <v>24</v>
      </c>
      <c r="E399" s="5" t="s">
        <v>1848</v>
      </c>
      <c r="F399" s="5" t="s">
        <v>1849</v>
      </c>
      <c r="G399" s="5" t="s">
        <v>24</v>
      </c>
      <c r="H399" s="5" t="s">
        <v>4424</v>
      </c>
      <c r="I399" s="5" t="s">
        <v>24</v>
      </c>
      <c r="J399" s="5" t="s">
        <v>24</v>
      </c>
      <c r="K399" s="5" t="s">
        <v>24</v>
      </c>
      <c r="L399" s="5" t="s">
        <v>24</v>
      </c>
      <c r="M399" s="5" t="s">
        <v>24</v>
      </c>
      <c r="N399" s="5" t="s">
        <v>24</v>
      </c>
      <c r="O399" s="5" t="s">
        <v>1933</v>
      </c>
      <c r="P399" s="5" t="s">
        <v>24</v>
      </c>
      <c r="Q399" s="5" t="s">
        <v>24</v>
      </c>
      <c r="R399" s="5" t="s">
        <v>24</v>
      </c>
      <c r="S399" s="5" t="s">
        <v>1852</v>
      </c>
      <c r="T399" s="5" t="s">
        <v>2502</v>
      </c>
      <c r="U399" s="5" t="s">
        <v>2502</v>
      </c>
      <c r="V399" s="5" t="s">
        <v>1854</v>
      </c>
      <c r="W399" s="5" t="s">
        <v>24</v>
      </c>
      <c r="X399" s="5" t="s">
        <v>24</v>
      </c>
      <c r="Y399" s="5" t="s">
        <v>4425</v>
      </c>
      <c r="Z399" s="5" t="s">
        <v>4426</v>
      </c>
      <c r="AA399" s="5" t="s">
        <v>4426</v>
      </c>
      <c r="AB399" s="5" t="s">
        <v>4426</v>
      </c>
      <c r="AC399" s="5" t="s">
        <v>24</v>
      </c>
      <c r="AD399" s="5" t="s">
        <v>24</v>
      </c>
      <c r="AE399" s="5" t="s">
        <v>24</v>
      </c>
      <c r="AF399" s="5" t="s">
        <v>24</v>
      </c>
      <c r="AG399" s="5" t="s">
        <v>24</v>
      </c>
      <c r="AH399" s="5" t="s">
        <v>24</v>
      </c>
      <c r="AI399" s="5" t="s">
        <v>24</v>
      </c>
      <c r="AJ399" s="5" t="s">
        <v>24</v>
      </c>
      <c r="AK399" s="5" t="s">
        <v>24</v>
      </c>
      <c r="AL399" s="5" t="str">
        <f>VLOOKUP(mambo!$H399,Sheet1!B:C,2,FALSE)</f>
        <v>#N/A</v>
      </c>
    </row>
    <row r="400" ht="15.75" hidden="1" customHeight="1">
      <c r="A400" s="5" t="s">
        <v>4427</v>
      </c>
      <c r="B400" s="5" t="s">
        <v>4428</v>
      </c>
      <c r="C400" s="5" t="s">
        <v>227</v>
      </c>
      <c r="D400" s="5" t="s">
        <v>24</v>
      </c>
      <c r="E400" s="5" t="s">
        <v>1848</v>
      </c>
      <c r="F400" s="5" t="s">
        <v>1849</v>
      </c>
      <c r="G400" s="5" t="s">
        <v>24</v>
      </c>
      <c r="H400" s="5" t="s">
        <v>4429</v>
      </c>
      <c r="I400" s="5" t="s">
        <v>24</v>
      </c>
      <c r="J400" s="5" t="s">
        <v>24</v>
      </c>
      <c r="K400" s="5" t="s">
        <v>24</v>
      </c>
      <c r="L400" s="5" t="s">
        <v>24</v>
      </c>
      <c r="M400" s="5" t="s">
        <v>24</v>
      </c>
      <c r="N400" s="5" t="s">
        <v>24</v>
      </c>
      <c r="O400" s="5" t="s">
        <v>1933</v>
      </c>
      <c r="P400" s="5" t="s">
        <v>24</v>
      </c>
      <c r="Q400" s="5" t="s">
        <v>24</v>
      </c>
      <c r="R400" s="5" t="s">
        <v>24</v>
      </c>
      <c r="S400" s="5" t="s">
        <v>1852</v>
      </c>
      <c r="T400" s="5" t="s">
        <v>2502</v>
      </c>
      <c r="U400" s="5" t="s">
        <v>2502</v>
      </c>
      <c r="V400" s="5" t="s">
        <v>1854</v>
      </c>
      <c r="W400" s="5" t="s">
        <v>24</v>
      </c>
      <c r="X400" s="5" t="s">
        <v>24</v>
      </c>
      <c r="Y400" s="5" t="s">
        <v>4430</v>
      </c>
      <c r="Z400" s="5" t="s">
        <v>4431</v>
      </c>
      <c r="AA400" s="5" t="s">
        <v>4431</v>
      </c>
      <c r="AB400" s="5" t="s">
        <v>4431</v>
      </c>
      <c r="AC400" s="5" t="s">
        <v>24</v>
      </c>
      <c r="AD400" s="5" t="s">
        <v>24</v>
      </c>
      <c r="AE400" s="5" t="s">
        <v>24</v>
      </c>
      <c r="AF400" s="5" t="s">
        <v>24</v>
      </c>
      <c r="AG400" s="5" t="s">
        <v>24</v>
      </c>
      <c r="AH400" s="5" t="s">
        <v>24</v>
      </c>
      <c r="AI400" s="5" t="s">
        <v>24</v>
      </c>
      <c r="AJ400" s="5" t="s">
        <v>24</v>
      </c>
      <c r="AK400" s="5" t="s">
        <v>24</v>
      </c>
      <c r="AL400" s="5" t="str">
        <f>VLOOKUP(mambo!$H400,Sheet1!B:C,2,FALSE)</f>
        <v>#N/A</v>
      </c>
    </row>
    <row r="401" ht="15.75" hidden="1" customHeight="1">
      <c r="A401" s="5" t="s">
        <v>4432</v>
      </c>
      <c r="B401" s="5" t="s">
        <v>4433</v>
      </c>
      <c r="C401" s="5" t="s">
        <v>227</v>
      </c>
      <c r="D401" s="5" t="s">
        <v>24</v>
      </c>
      <c r="E401" s="5" t="s">
        <v>1848</v>
      </c>
      <c r="F401" s="5" t="s">
        <v>1849</v>
      </c>
      <c r="G401" s="5" t="s">
        <v>24</v>
      </c>
      <c r="H401" s="5" t="s">
        <v>4434</v>
      </c>
      <c r="I401" s="5" t="s">
        <v>24</v>
      </c>
      <c r="J401" s="5" t="s">
        <v>24</v>
      </c>
      <c r="K401" s="5" t="s">
        <v>24</v>
      </c>
      <c r="L401" s="5" t="s">
        <v>24</v>
      </c>
      <c r="M401" s="5" t="s">
        <v>24</v>
      </c>
      <c r="N401" s="5" t="s">
        <v>24</v>
      </c>
      <c r="O401" s="5" t="s">
        <v>1933</v>
      </c>
      <c r="P401" s="5" t="s">
        <v>24</v>
      </c>
      <c r="Q401" s="5" t="s">
        <v>24</v>
      </c>
      <c r="R401" s="5" t="s">
        <v>24</v>
      </c>
      <c r="S401" s="5" t="s">
        <v>1852</v>
      </c>
      <c r="T401" s="5" t="s">
        <v>2502</v>
      </c>
      <c r="U401" s="5" t="s">
        <v>2502</v>
      </c>
      <c r="V401" s="5" t="s">
        <v>1854</v>
      </c>
      <c r="W401" s="5" t="s">
        <v>24</v>
      </c>
      <c r="X401" s="5" t="s">
        <v>24</v>
      </c>
      <c r="Y401" s="5" t="s">
        <v>4435</v>
      </c>
      <c r="Z401" s="5" t="s">
        <v>4436</v>
      </c>
      <c r="AA401" s="5" t="s">
        <v>4436</v>
      </c>
      <c r="AB401" s="5" t="s">
        <v>4436</v>
      </c>
      <c r="AC401" s="5" t="s">
        <v>24</v>
      </c>
      <c r="AD401" s="5" t="s">
        <v>24</v>
      </c>
      <c r="AE401" s="5" t="s">
        <v>24</v>
      </c>
      <c r="AF401" s="5" t="s">
        <v>24</v>
      </c>
      <c r="AG401" s="5" t="s">
        <v>24</v>
      </c>
      <c r="AH401" s="5" t="s">
        <v>24</v>
      </c>
      <c r="AI401" s="5" t="s">
        <v>24</v>
      </c>
      <c r="AJ401" s="5" t="s">
        <v>24</v>
      </c>
      <c r="AK401" s="5" t="s">
        <v>24</v>
      </c>
      <c r="AL401" s="5" t="str">
        <f>VLOOKUP(mambo!$H401,Sheet1!B:C,2,FALSE)</f>
        <v>#N/A</v>
      </c>
    </row>
    <row r="402" ht="15.75" customHeight="1">
      <c r="A402" s="5" t="s">
        <v>4437</v>
      </c>
      <c r="B402" s="5" t="s">
        <v>4438</v>
      </c>
      <c r="C402" s="5" t="s">
        <v>227</v>
      </c>
      <c r="D402" s="5" t="s">
        <v>24</v>
      </c>
      <c r="E402" s="5" t="s">
        <v>1848</v>
      </c>
      <c r="F402" s="5" t="s">
        <v>1849</v>
      </c>
      <c r="G402" s="5" t="s">
        <v>24</v>
      </c>
      <c r="H402" s="5" t="s">
        <v>1596</v>
      </c>
      <c r="I402" s="5" t="s">
        <v>24</v>
      </c>
      <c r="J402" s="5" t="s">
        <v>24</v>
      </c>
      <c r="K402" s="5" t="s">
        <v>24</v>
      </c>
      <c r="L402" s="5" t="s">
        <v>24</v>
      </c>
      <c r="M402" s="5" t="s">
        <v>24</v>
      </c>
      <c r="N402" s="5" t="s">
        <v>24</v>
      </c>
      <c r="O402" s="5" t="s">
        <v>3136</v>
      </c>
      <c r="P402" s="5" t="s">
        <v>24</v>
      </c>
      <c r="Q402" s="5" t="s">
        <v>24</v>
      </c>
      <c r="R402" s="5" t="s">
        <v>24</v>
      </c>
      <c r="S402" s="5" t="s">
        <v>1852</v>
      </c>
      <c r="T402" s="5" t="s">
        <v>3655</v>
      </c>
      <c r="U402" s="5" t="s">
        <v>3655</v>
      </c>
      <c r="V402" s="5" t="s">
        <v>1854</v>
      </c>
      <c r="W402" s="5" t="s">
        <v>24</v>
      </c>
      <c r="X402" s="5" t="s">
        <v>24</v>
      </c>
      <c r="Y402" s="5" t="s">
        <v>4439</v>
      </c>
      <c r="Z402" s="5" t="s">
        <v>4440</v>
      </c>
      <c r="AA402" s="5" t="s">
        <v>4440</v>
      </c>
      <c r="AB402" s="5" t="s">
        <v>4440</v>
      </c>
      <c r="AC402" s="5" t="s">
        <v>24</v>
      </c>
      <c r="AD402" s="5" t="s">
        <v>24</v>
      </c>
      <c r="AE402" s="5" t="s">
        <v>24</v>
      </c>
      <c r="AF402" s="5" t="s">
        <v>24</v>
      </c>
      <c r="AG402" s="5" t="s">
        <v>24</v>
      </c>
      <c r="AH402" s="5" t="s">
        <v>24</v>
      </c>
      <c r="AI402" s="5" t="s">
        <v>24</v>
      </c>
      <c r="AJ402" s="5" t="s">
        <v>24</v>
      </c>
      <c r="AK402" s="5" t="s">
        <v>24</v>
      </c>
      <c r="AL402" s="5" t="str">
        <f>VLOOKUP(mambo!$H402,Sheet1!B:C,2,FALSE)</f>
        <v>1395814</v>
      </c>
    </row>
    <row r="403" ht="15.75" hidden="1" customHeight="1">
      <c r="A403" s="5" t="s">
        <v>4441</v>
      </c>
      <c r="B403" s="5" t="s">
        <v>4442</v>
      </c>
      <c r="C403" s="5" t="s">
        <v>3302</v>
      </c>
      <c r="D403" s="5" t="s">
        <v>24</v>
      </c>
      <c r="E403" s="5" t="s">
        <v>1848</v>
      </c>
      <c r="F403" s="5" t="s">
        <v>1849</v>
      </c>
      <c r="G403" s="5" t="s">
        <v>24</v>
      </c>
      <c r="H403" s="5" t="s">
        <v>4443</v>
      </c>
      <c r="I403" s="5" t="s">
        <v>24</v>
      </c>
      <c r="J403" s="5" t="s">
        <v>24</v>
      </c>
      <c r="K403" s="5" t="s">
        <v>24</v>
      </c>
      <c r="L403" s="5" t="s">
        <v>24</v>
      </c>
      <c r="M403" s="5" t="s">
        <v>24</v>
      </c>
      <c r="N403" s="5" t="s">
        <v>24</v>
      </c>
      <c r="O403" s="5" t="s">
        <v>1933</v>
      </c>
      <c r="P403" s="5" t="s">
        <v>24</v>
      </c>
      <c r="Q403" s="5" t="s">
        <v>24</v>
      </c>
      <c r="R403" s="5" t="s">
        <v>24</v>
      </c>
      <c r="S403" s="5" t="s">
        <v>1852</v>
      </c>
      <c r="T403" s="5" t="s">
        <v>2408</v>
      </c>
      <c r="U403" s="5" t="s">
        <v>2408</v>
      </c>
      <c r="V403" s="5" t="s">
        <v>1854</v>
      </c>
      <c r="W403" s="5" t="s">
        <v>24</v>
      </c>
      <c r="X403" s="5" t="s">
        <v>24</v>
      </c>
      <c r="Y403" s="5" t="s">
        <v>4444</v>
      </c>
      <c r="Z403" s="5" t="s">
        <v>4445</v>
      </c>
      <c r="AA403" s="5" t="s">
        <v>4445</v>
      </c>
      <c r="AB403" s="5" t="s">
        <v>4445</v>
      </c>
      <c r="AC403" s="5" t="s">
        <v>24</v>
      </c>
      <c r="AD403" s="5" t="s">
        <v>24</v>
      </c>
      <c r="AE403" s="5" t="s">
        <v>24</v>
      </c>
      <c r="AF403" s="5" t="s">
        <v>24</v>
      </c>
      <c r="AG403" s="5" t="s">
        <v>24</v>
      </c>
      <c r="AH403" s="5" t="s">
        <v>24</v>
      </c>
      <c r="AI403" s="5" t="s">
        <v>24</v>
      </c>
      <c r="AJ403" s="5" t="s">
        <v>24</v>
      </c>
      <c r="AK403" s="5" t="s">
        <v>24</v>
      </c>
      <c r="AL403" s="5" t="str">
        <f>VLOOKUP(mambo!$H403,Sheet1!B:C,2,FALSE)</f>
        <v>#N/A</v>
      </c>
    </row>
    <row r="404" ht="15.75" hidden="1" customHeight="1">
      <c r="A404" s="5" t="s">
        <v>4446</v>
      </c>
      <c r="B404" s="5" t="s">
        <v>4447</v>
      </c>
      <c r="C404" s="5" t="s">
        <v>4448</v>
      </c>
      <c r="D404" s="5" t="s">
        <v>24</v>
      </c>
      <c r="E404" s="5" t="s">
        <v>1848</v>
      </c>
      <c r="F404" s="5" t="s">
        <v>1849</v>
      </c>
      <c r="G404" s="5" t="s">
        <v>24</v>
      </c>
      <c r="H404" s="5" t="s">
        <v>4449</v>
      </c>
      <c r="I404" s="5" t="s">
        <v>24</v>
      </c>
      <c r="J404" s="5" t="s">
        <v>24</v>
      </c>
      <c r="K404" s="5" t="s">
        <v>24</v>
      </c>
      <c r="L404" s="5" t="s">
        <v>24</v>
      </c>
      <c r="M404" s="5" t="s">
        <v>24</v>
      </c>
      <c r="N404" s="5" t="s">
        <v>24</v>
      </c>
      <c r="O404" s="5" t="s">
        <v>2148</v>
      </c>
      <c r="P404" s="5" t="s">
        <v>24</v>
      </c>
      <c r="Q404" s="5" t="s">
        <v>24</v>
      </c>
      <c r="R404" s="5" t="s">
        <v>24</v>
      </c>
      <c r="S404" s="5" t="s">
        <v>1852</v>
      </c>
      <c r="T404" s="5" t="s">
        <v>4450</v>
      </c>
      <c r="U404" s="5" t="s">
        <v>4450</v>
      </c>
      <c r="V404" s="5" t="s">
        <v>1854</v>
      </c>
      <c r="W404" s="5" t="s">
        <v>24</v>
      </c>
      <c r="X404" s="5" t="s">
        <v>24</v>
      </c>
      <c r="Y404" s="5" t="s">
        <v>4451</v>
      </c>
      <c r="Z404" s="5" t="s">
        <v>4452</v>
      </c>
      <c r="AA404" s="5" t="s">
        <v>4452</v>
      </c>
      <c r="AB404" s="5" t="s">
        <v>4452</v>
      </c>
      <c r="AC404" s="5" t="s">
        <v>24</v>
      </c>
      <c r="AD404" s="5" t="s">
        <v>24</v>
      </c>
      <c r="AE404" s="5" t="s">
        <v>24</v>
      </c>
      <c r="AF404" s="5" t="s">
        <v>24</v>
      </c>
      <c r="AG404" s="5" t="s">
        <v>24</v>
      </c>
      <c r="AH404" s="5" t="s">
        <v>24</v>
      </c>
      <c r="AI404" s="5" t="s">
        <v>24</v>
      </c>
      <c r="AJ404" s="5" t="s">
        <v>24</v>
      </c>
      <c r="AK404" s="5" t="s">
        <v>24</v>
      </c>
      <c r="AL404" s="5" t="str">
        <f>VLOOKUP(mambo!$H404,Sheet1!B:C,2,FALSE)</f>
        <v>#N/A</v>
      </c>
    </row>
    <row r="405" ht="15.75" customHeight="1">
      <c r="A405" s="5" t="s">
        <v>4453</v>
      </c>
      <c r="B405" s="5" t="s">
        <v>4454</v>
      </c>
      <c r="C405" s="5" t="s">
        <v>227</v>
      </c>
      <c r="D405" s="5" t="s">
        <v>24</v>
      </c>
      <c r="E405" s="5" t="s">
        <v>1848</v>
      </c>
      <c r="F405" s="5" t="s">
        <v>1849</v>
      </c>
      <c r="G405" s="5" t="s">
        <v>24</v>
      </c>
      <c r="H405" s="5" t="s">
        <v>814</v>
      </c>
      <c r="I405" s="5" t="s">
        <v>24</v>
      </c>
      <c r="J405" s="5" t="s">
        <v>24</v>
      </c>
      <c r="K405" s="5" t="s">
        <v>24</v>
      </c>
      <c r="L405" s="5" t="s">
        <v>24</v>
      </c>
      <c r="M405" s="5" t="s">
        <v>1885</v>
      </c>
      <c r="N405" s="5" t="s">
        <v>24</v>
      </c>
      <c r="O405" s="5" t="s">
        <v>3902</v>
      </c>
      <c r="P405" s="5" t="s">
        <v>24</v>
      </c>
      <c r="Q405" s="5" t="s">
        <v>24</v>
      </c>
      <c r="R405" s="5" t="s">
        <v>24</v>
      </c>
      <c r="S405" s="5" t="s">
        <v>1852</v>
      </c>
      <c r="T405" s="5" t="s">
        <v>3485</v>
      </c>
      <c r="U405" s="5" t="s">
        <v>3485</v>
      </c>
      <c r="V405" s="5" t="s">
        <v>1854</v>
      </c>
      <c r="W405" s="5" t="s">
        <v>24</v>
      </c>
      <c r="X405" s="5" t="s">
        <v>24</v>
      </c>
      <c r="Y405" s="5" t="s">
        <v>4455</v>
      </c>
      <c r="Z405" s="5" t="s">
        <v>4456</v>
      </c>
      <c r="AA405" s="5" t="s">
        <v>4456</v>
      </c>
      <c r="AB405" s="5" t="s">
        <v>4456</v>
      </c>
      <c r="AC405" s="5" t="s">
        <v>24</v>
      </c>
      <c r="AD405" s="5" t="s">
        <v>24</v>
      </c>
      <c r="AE405" s="5" t="s">
        <v>24</v>
      </c>
      <c r="AF405" s="5" t="s">
        <v>24</v>
      </c>
      <c r="AG405" s="5" t="s">
        <v>24</v>
      </c>
      <c r="AH405" s="5" t="s">
        <v>24</v>
      </c>
      <c r="AI405" s="5" t="s">
        <v>24</v>
      </c>
      <c r="AJ405" s="5" t="s">
        <v>24</v>
      </c>
      <c r="AK405" s="5" t="s">
        <v>24</v>
      </c>
      <c r="AL405" s="5" t="str">
        <f>VLOOKUP(mambo!$H405,Sheet1!B:C,2,FALSE)</f>
        <v>1395878</v>
      </c>
    </row>
    <row r="406" ht="15.75" hidden="1" customHeight="1">
      <c r="A406" s="5" t="s">
        <v>4457</v>
      </c>
      <c r="B406" s="5" t="s">
        <v>4458</v>
      </c>
      <c r="C406" s="5" t="s">
        <v>4448</v>
      </c>
      <c r="D406" s="5" t="s">
        <v>24</v>
      </c>
      <c r="E406" s="5" t="s">
        <v>1848</v>
      </c>
      <c r="F406" s="5" t="s">
        <v>1849</v>
      </c>
      <c r="G406" s="5" t="s">
        <v>24</v>
      </c>
      <c r="H406" s="5" t="s">
        <v>4459</v>
      </c>
      <c r="I406" s="5" t="s">
        <v>24</v>
      </c>
      <c r="J406" s="5" t="s">
        <v>24</v>
      </c>
      <c r="K406" s="5" t="s">
        <v>24</v>
      </c>
      <c r="L406" s="5" t="s">
        <v>24</v>
      </c>
      <c r="M406" s="5" t="s">
        <v>24</v>
      </c>
      <c r="N406" s="5" t="s">
        <v>24</v>
      </c>
      <c r="O406" s="5" t="s">
        <v>1851</v>
      </c>
      <c r="P406" s="5" t="s">
        <v>24</v>
      </c>
      <c r="Q406" s="5" t="s">
        <v>24</v>
      </c>
      <c r="R406" s="5" t="s">
        <v>24</v>
      </c>
      <c r="S406" s="5" t="s">
        <v>1852</v>
      </c>
      <c r="T406" s="5" t="s">
        <v>4460</v>
      </c>
      <c r="U406" s="5" t="s">
        <v>4460</v>
      </c>
      <c r="V406" s="5" t="s">
        <v>1854</v>
      </c>
      <c r="W406" s="5" t="s">
        <v>24</v>
      </c>
      <c r="X406" s="5" t="s">
        <v>24</v>
      </c>
      <c r="Y406" s="5" t="s">
        <v>4461</v>
      </c>
      <c r="Z406" s="5" t="s">
        <v>4462</v>
      </c>
      <c r="AA406" s="5" t="s">
        <v>4462</v>
      </c>
      <c r="AB406" s="5" t="s">
        <v>4462</v>
      </c>
      <c r="AC406" s="5" t="s">
        <v>24</v>
      </c>
      <c r="AD406" s="5" t="s">
        <v>24</v>
      </c>
      <c r="AE406" s="5" t="s">
        <v>24</v>
      </c>
      <c r="AF406" s="5" t="s">
        <v>24</v>
      </c>
      <c r="AG406" s="5" t="s">
        <v>24</v>
      </c>
      <c r="AH406" s="5" t="s">
        <v>24</v>
      </c>
      <c r="AI406" s="5" t="s">
        <v>24</v>
      </c>
      <c r="AJ406" s="5" t="s">
        <v>24</v>
      </c>
      <c r="AK406" s="5" t="s">
        <v>24</v>
      </c>
      <c r="AL406" s="5" t="str">
        <f>VLOOKUP(mambo!$H406,Sheet1!B:C,2,FALSE)</f>
        <v>#N/A</v>
      </c>
    </row>
    <row r="407" ht="15.75" hidden="1" customHeight="1">
      <c r="A407" s="5" t="s">
        <v>4463</v>
      </c>
      <c r="B407" s="5" t="s">
        <v>4464</v>
      </c>
      <c r="C407" s="5" t="s">
        <v>3302</v>
      </c>
      <c r="D407" s="5" t="s">
        <v>24</v>
      </c>
      <c r="E407" s="5" t="s">
        <v>1848</v>
      </c>
      <c r="F407" s="5" t="s">
        <v>1849</v>
      </c>
      <c r="G407" s="5" t="s">
        <v>24</v>
      </c>
      <c r="H407" s="5" t="s">
        <v>4465</v>
      </c>
      <c r="I407" s="5" t="s">
        <v>24</v>
      </c>
      <c r="J407" s="5" t="s">
        <v>24</v>
      </c>
      <c r="K407" s="5" t="s">
        <v>24</v>
      </c>
      <c r="L407" s="5" t="s">
        <v>24</v>
      </c>
      <c r="M407" s="5" t="s">
        <v>24</v>
      </c>
      <c r="N407" s="5" t="s">
        <v>24</v>
      </c>
      <c r="O407" s="5" t="s">
        <v>1933</v>
      </c>
      <c r="P407" s="5" t="s">
        <v>24</v>
      </c>
      <c r="Q407" s="5" t="s">
        <v>24</v>
      </c>
      <c r="R407" s="5" t="s">
        <v>24</v>
      </c>
      <c r="S407" s="5" t="s">
        <v>1852</v>
      </c>
      <c r="T407" s="5" t="s">
        <v>3089</v>
      </c>
      <c r="U407" s="5" t="s">
        <v>3089</v>
      </c>
      <c r="V407" s="5" t="s">
        <v>1854</v>
      </c>
      <c r="W407" s="5" t="s">
        <v>24</v>
      </c>
      <c r="X407" s="5" t="s">
        <v>24</v>
      </c>
      <c r="Y407" s="5" t="s">
        <v>4466</v>
      </c>
      <c r="Z407" s="5" t="s">
        <v>4467</v>
      </c>
      <c r="AA407" s="5" t="s">
        <v>4467</v>
      </c>
      <c r="AB407" s="5" t="s">
        <v>4467</v>
      </c>
      <c r="AC407" s="5" t="s">
        <v>24</v>
      </c>
      <c r="AD407" s="5" t="s">
        <v>24</v>
      </c>
      <c r="AE407" s="5" t="s">
        <v>24</v>
      </c>
      <c r="AF407" s="5" t="s">
        <v>24</v>
      </c>
      <c r="AG407" s="5" t="s">
        <v>24</v>
      </c>
      <c r="AH407" s="5" t="s">
        <v>24</v>
      </c>
      <c r="AI407" s="5" t="s">
        <v>24</v>
      </c>
      <c r="AJ407" s="5" t="s">
        <v>24</v>
      </c>
      <c r="AK407" s="5" t="s">
        <v>24</v>
      </c>
      <c r="AL407" s="5" t="str">
        <f>VLOOKUP(mambo!$H407,Sheet1!B:C,2,FALSE)</f>
        <v>#N/A</v>
      </c>
    </row>
    <row r="408" ht="15.75" hidden="1" customHeight="1">
      <c r="A408" s="5" t="s">
        <v>4468</v>
      </c>
      <c r="B408" s="5" t="s">
        <v>4469</v>
      </c>
      <c r="C408" s="5" t="s">
        <v>2146</v>
      </c>
      <c r="D408" s="5" t="s">
        <v>24</v>
      </c>
      <c r="E408" s="5" t="s">
        <v>1848</v>
      </c>
      <c r="F408" s="5" t="s">
        <v>1849</v>
      </c>
      <c r="G408" s="5" t="s">
        <v>24</v>
      </c>
      <c r="H408" s="5" t="s">
        <v>4470</v>
      </c>
      <c r="I408" s="5" t="s">
        <v>24</v>
      </c>
      <c r="J408" s="5" t="s">
        <v>24</v>
      </c>
      <c r="K408" s="5" t="s">
        <v>24</v>
      </c>
      <c r="L408" s="5" t="s">
        <v>24</v>
      </c>
      <c r="M408" s="5" t="s">
        <v>24</v>
      </c>
      <c r="N408" s="5" t="s">
        <v>24</v>
      </c>
      <c r="O408" s="5" t="s">
        <v>1933</v>
      </c>
      <c r="P408" s="5" t="s">
        <v>24</v>
      </c>
      <c r="Q408" s="5" t="s">
        <v>24</v>
      </c>
      <c r="R408" s="5" t="s">
        <v>24</v>
      </c>
      <c r="S408" s="5" t="s">
        <v>1852</v>
      </c>
      <c r="T408" s="5" t="s">
        <v>4471</v>
      </c>
      <c r="U408" s="5" t="s">
        <v>4471</v>
      </c>
      <c r="V408" s="5" t="s">
        <v>1854</v>
      </c>
      <c r="W408" s="5" t="s">
        <v>24</v>
      </c>
      <c r="X408" s="5" t="s">
        <v>24</v>
      </c>
      <c r="Y408" s="5" t="s">
        <v>4472</v>
      </c>
      <c r="Z408" s="5" t="s">
        <v>4473</v>
      </c>
      <c r="AA408" s="5" t="s">
        <v>4473</v>
      </c>
      <c r="AB408" s="5" t="s">
        <v>4473</v>
      </c>
      <c r="AC408" s="5" t="s">
        <v>24</v>
      </c>
      <c r="AD408" s="5" t="s">
        <v>24</v>
      </c>
      <c r="AE408" s="5" t="s">
        <v>24</v>
      </c>
      <c r="AF408" s="5" t="s">
        <v>24</v>
      </c>
      <c r="AG408" s="5" t="s">
        <v>24</v>
      </c>
      <c r="AH408" s="5" t="s">
        <v>24</v>
      </c>
      <c r="AI408" s="5" t="s">
        <v>24</v>
      </c>
      <c r="AJ408" s="5" t="s">
        <v>24</v>
      </c>
      <c r="AK408" s="5" t="s">
        <v>24</v>
      </c>
      <c r="AL408" s="5" t="str">
        <f>VLOOKUP(mambo!$H408,Sheet1!B:C,2,FALSE)</f>
        <v>#N/A</v>
      </c>
    </row>
    <row r="409" ht="15.75" hidden="1" customHeight="1">
      <c r="A409" s="5" t="s">
        <v>4474</v>
      </c>
      <c r="B409" s="5" t="s">
        <v>4475</v>
      </c>
      <c r="C409" s="5" t="s">
        <v>227</v>
      </c>
      <c r="D409" s="5" t="s">
        <v>24</v>
      </c>
      <c r="E409" s="5" t="s">
        <v>1848</v>
      </c>
      <c r="F409" s="5" t="s">
        <v>1849</v>
      </c>
      <c r="G409" s="5" t="s">
        <v>24</v>
      </c>
      <c r="H409" s="5" t="s">
        <v>4476</v>
      </c>
      <c r="I409" s="5" t="s">
        <v>24</v>
      </c>
      <c r="J409" s="5" t="s">
        <v>24</v>
      </c>
      <c r="K409" s="5" t="s">
        <v>24</v>
      </c>
      <c r="L409" s="5" t="s">
        <v>24</v>
      </c>
      <c r="M409" s="5" t="s">
        <v>1885</v>
      </c>
      <c r="N409" s="5" t="s">
        <v>24</v>
      </c>
      <c r="O409" s="5" t="s">
        <v>1978</v>
      </c>
      <c r="P409" s="5" t="s">
        <v>24</v>
      </c>
      <c r="Q409" s="5" t="s">
        <v>24</v>
      </c>
      <c r="R409" s="5" t="s">
        <v>24</v>
      </c>
      <c r="S409" s="5" t="s">
        <v>1852</v>
      </c>
      <c r="T409" s="5" t="s">
        <v>1970</v>
      </c>
      <c r="U409" s="5" t="s">
        <v>1970</v>
      </c>
      <c r="V409" s="5" t="s">
        <v>1854</v>
      </c>
      <c r="W409" s="5" t="s">
        <v>24</v>
      </c>
      <c r="X409" s="5" t="s">
        <v>24</v>
      </c>
      <c r="Y409" s="5" t="s">
        <v>4477</v>
      </c>
      <c r="Z409" s="5" t="s">
        <v>4478</v>
      </c>
      <c r="AA409" s="5" t="s">
        <v>4478</v>
      </c>
      <c r="AB409" s="5" t="s">
        <v>4478</v>
      </c>
      <c r="AC409" s="5" t="s">
        <v>24</v>
      </c>
      <c r="AD409" s="5" t="s">
        <v>24</v>
      </c>
      <c r="AE409" s="5" t="s">
        <v>24</v>
      </c>
      <c r="AF409" s="5" t="s">
        <v>24</v>
      </c>
      <c r="AG409" s="5" t="s">
        <v>24</v>
      </c>
      <c r="AH409" s="5" t="s">
        <v>24</v>
      </c>
      <c r="AI409" s="5" t="s">
        <v>24</v>
      </c>
      <c r="AJ409" s="5" t="s">
        <v>24</v>
      </c>
      <c r="AK409" s="5" t="s">
        <v>24</v>
      </c>
      <c r="AL409" s="5" t="str">
        <f>VLOOKUP(mambo!$H409,Sheet1!B:C,2,FALSE)</f>
        <v>#N/A</v>
      </c>
    </row>
    <row r="410" ht="15.75" customHeight="1">
      <c r="A410" s="5" t="s">
        <v>4479</v>
      </c>
      <c r="B410" s="5" t="s">
        <v>4480</v>
      </c>
      <c r="C410" s="5" t="s">
        <v>503</v>
      </c>
      <c r="D410" s="5" t="s">
        <v>24</v>
      </c>
      <c r="E410" s="5" t="s">
        <v>1848</v>
      </c>
      <c r="F410" s="5" t="s">
        <v>1849</v>
      </c>
      <c r="G410" s="5" t="s">
        <v>24</v>
      </c>
      <c r="H410" s="5" t="s">
        <v>864</v>
      </c>
      <c r="I410" s="5" t="s">
        <v>24</v>
      </c>
      <c r="J410" s="5" t="s">
        <v>24</v>
      </c>
      <c r="K410" s="5" t="s">
        <v>24</v>
      </c>
      <c r="L410" s="5" t="s">
        <v>24</v>
      </c>
      <c r="M410" s="5" t="s">
        <v>24</v>
      </c>
      <c r="N410" s="5" t="s">
        <v>24</v>
      </c>
      <c r="O410" s="5" t="s">
        <v>1894</v>
      </c>
      <c r="P410" s="5" t="s">
        <v>24</v>
      </c>
      <c r="Q410" s="5" t="s">
        <v>24</v>
      </c>
      <c r="R410" s="5" t="s">
        <v>24</v>
      </c>
      <c r="S410" s="5" t="s">
        <v>2020</v>
      </c>
      <c r="T410" s="5" t="s">
        <v>2021</v>
      </c>
      <c r="U410" s="5" t="s">
        <v>2021</v>
      </c>
      <c r="V410" s="5" t="s">
        <v>24</v>
      </c>
      <c r="W410" s="5" t="s">
        <v>24</v>
      </c>
      <c r="X410" s="5" t="s">
        <v>24</v>
      </c>
      <c r="Y410" s="5" t="s">
        <v>4481</v>
      </c>
      <c r="Z410" s="5" t="s">
        <v>4482</v>
      </c>
      <c r="AA410" s="5" t="s">
        <v>4482</v>
      </c>
      <c r="AB410" s="5" t="s">
        <v>4482</v>
      </c>
      <c r="AC410" s="5" t="s">
        <v>4483</v>
      </c>
      <c r="AD410" s="5" t="s">
        <v>4484</v>
      </c>
      <c r="AE410" s="5" t="s">
        <v>4485</v>
      </c>
      <c r="AF410" s="5" t="s">
        <v>4486</v>
      </c>
      <c r="AG410" s="5" t="s">
        <v>4487</v>
      </c>
      <c r="AH410" s="5" t="s">
        <v>4488</v>
      </c>
      <c r="AI410" s="5" t="s">
        <v>4489</v>
      </c>
      <c r="AJ410" s="5" t="s">
        <v>24</v>
      </c>
      <c r="AK410" s="5" t="s">
        <v>24</v>
      </c>
      <c r="AL410" s="5" t="str">
        <f>VLOOKUP(mambo!$H410,Sheet1!B:C,2,FALSE)</f>
        <v>1399361</v>
      </c>
    </row>
    <row r="411" ht="15.75" hidden="1" customHeight="1">
      <c r="A411" s="5" t="s">
        <v>4490</v>
      </c>
      <c r="B411" s="5" t="s">
        <v>4491</v>
      </c>
      <c r="C411" s="5" t="s">
        <v>4492</v>
      </c>
      <c r="D411" s="5" t="s">
        <v>24</v>
      </c>
      <c r="E411" s="5" t="s">
        <v>1848</v>
      </c>
      <c r="F411" s="5" t="s">
        <v>1849</v>
      </c>
      <c r="G411" s="5" t="s">
        <v>24</v>
      </c>
      <c r="H411" s="5" t="s">
        <v>4493</v>
      </c>
      <c r="I411" s="5" t="s">
        <v>24</v>
      </c>
      <c r="J411" s="5" t="s">
        <v>24</v>
      </c>
      <c r="K411" s="5" t="s">
        <v>24</v>
      </c>
      <c r="L411" s="5" t="s">
        <v>24</v>
      </c>
      <c r="M411" s="5" t="s">
        <v>24</v>
      </c>
      <c r="N411" s="5" t="s">
        <v>24</v>
      </c>
      <c r="O411" s="5" t="s">
        <v>1851</v>
      </c>
      <c r="P411" s="5" t="s">
        <v>24</v>
      </c>
      <c r="Q411" s="5" t="s">
        <v>24</v>
      </c>
      <c r="R411" s="5" t="s">
        <v>24</v>
      </c>
      <c r="S411" s="5" t="s">
        <v>2020</v>
      </c>
      <c r="T411" s="5" t="s">
        <v>2021</v>
      </c>
      <c r="U411" s="5" t="s">
        <v>2021</v>
      </c>
      <c r="V411" s="5" t="s">
        <v>24</v>
      </c>
      <c r="W411" s="5" t="s">
        <v>24</v>
      </c>
      <c r="X411" s="5" t="s">
        <v>24</v>
      </c>
      <c r="Y411" s="5" t="s">
        <v>4494</v>
      </c>
      <c r="Z411" s="5" t="s">
        <v>4495</v>
      </c>
      <c r="AA411" s="5" t="s">
        <v>4495</v>
      </c>
      <c r="AB411" s="5" t="s">
        <v>4495</v>
      </c>
      <c r="AC411" s="5" t="s">
        <v>24</v>
      </c>
      <c r="AD411" s="5" t="s">
        <v>24</v>
      </c>
      <c r="AE411" s="5" t="s">
        <v>24</v>
      </c>
      <c r="AF411" s="5" t="s">
        <v>24</v>
      </c>
      <c r="AG411" s="5" t="s">
        <v>24</v>
      </c>
      <c r="AH411" s="5" t="s">
        <v>24</v>
      </c>
      <c r="AI411" s="5" t="s">
        <v>24</v>
      </c>
      <c r="AJ411" s="5" t="s">
        <v>24</v>
      </c>
      <c r="AK411" s="5" t="s">
        <v>24</v>
      </c>
      <c r="AL411" s="5" t="str">
        <f>VLOOKUP(mambo!$H411,Sheet1!B:C,2,FALSE)</f>
        <v>#N/A</v>
      </c>
    </row>
    <row r="412" ht="15.75" hidden="1" customHeight="1">
      <c r="A412" s="5" t="s">
        <v>4496</v>
      </c>
      <c r="B412" s="5" t="s">
        <v>4497</v>
      </c>
      <c r="C412" s="5" t="s">
        <v>4448</v>
      </c>
      <c r="D412" s="5" t="s">
        <v>24</v>
      </c>
      <c r="E412" s="5" t="s">
        <v>1848</v>
      </c>
      <c r="F412" s="5" t="s">
        <v>1849</v>
      </c>
      <c r="G412" s="5" t="s">
        <v>24</v>
      </c>
      <c r="H412" s="5" t="s">
        <v>4498</v>
      </c>
      <c r="I412" s="5" t="s">
        <v>24</v>
      </c>
      <c r="J412" s="5" t="s">
        <v>24</v>
      </c>
      <c r="K412" s="5" t="s">
        <v>24</v>
      </c>
      <c r="L412" s="5" t="s">
        <v>24</v>
      </c>
      <c r="M412" s="5" t="s">
        <v>1885</v>
      </c>
      <c r="N412" s="5" t="s">
        <v>24</v>
      </c>
      <c r="O412" s="5" t="s">
        <v>1917</v>
      </c>
      <c r="P412" s="5" t="s">
        <v>24</v>
      </c>
      <c r="Q412" s="5" t="s">
        <v>24</v>
      </c>
      <c r="R412" s="5" t="s">
        <v>24</v>
      </c>
      <c r="S412" s="5" t="s">
        <v>1852</v>
      </c>
      <c r="T412" s="5" t="s">
        <v>2042</v>
      </c>
      <c r="U412" s="5" t="s">
        <v>2042</v>
      </c>
      <c r="V412" s="5" t="s">
        <v>1854</v>
      </c>
      <c r="W412" s="5" t="s">
        <v>24</v>
      </c>
      <c r="X412" s="5" t="s">
        <v>24</v>
      </c>
      <c r="Y412" s="5" t="s">
        <v>4499</v>
      </c>
      <c r="Z412" s="5" t="s">
        <v>4500</v>
      </c>
      <c r="AA412" s="5" t="s">
        <v>4500</v>
      </c>
      <c r="AB412" s="5" t="s">
        <v>4500</v>
      </c>
      <c r="AC412" s="5" t="s">
        <v>24</v>
      </c>
      <c r="AD412" s="5" t="s">
        <v>24</v>
      </c>
      <c r="AE412" s="5" t="s">
        <v>24</v>
      </c>
      <c r="AF412" s="5" t="s">
        <v>24</v>
      </c>
      <c r="AG412" s="5" t="s">
        <v>24</v>
      </c>
      <c r="AH412" s="5" t="s">
        <v>24</v>
      </c>
      <c r="AI412" s="5" t="s">
        <v>24</v>
      </c>
      <c r="AJ412" s="5" t="s">
        <v>24</v>
      </c>
      <c r="AK412" s="5" t="s">
        <v>24</v>
      </c>
      <c r="AL412" s="5" t="str">
        <f>VLOOKUP(mambo!$H412,Sheet1!B:C,2,FALSE)</f>
        <v>#N/A</v>
      </c>
    </row>
    <row r="413" ht="15.75" hidden="1" customHeight="1">
      <c r="A413" s="5" t="s">
        <v>4501</v>
      </c>
      <c r="B413" s="5" t="s">
        <v>4502</v>
      </c>
      <c r="C413" s="5" t="s">
        <v>336</v>
      </c>
      <c r="D413" s="5" t="s">
        <v>24</v>
      </c>
      <c r="E413" s="5" t="s">
        <v>1848</v>
      </c>
      <c r="F413" s="5" t="s">
        <v>1849</v>
      </c>
      <c r="G413" s="5" t="s">
        <v>24</v>
      </c>
      <c r="H413" s="5" t="s">
        <v>4503</v>
      </c>
      <c r="I413" s="5" t="s">
        <v>24</v>
      </c>
      <c r="J413" s="5" t="s">
        <v>24</v>
      </c>
      <c r="K413" s="5" t="s">
        <v>24</v>
      </c>
      <c r="L413" s="5" t="s">
        <v>24</v>
      </c>
      <c r="M413" s="5" t="s">
        <v>4504</v>
      </c>
      <c r="N413" s="5" t="s">
        <v>24</v>
      </c>
      <c r="O413" s="5" t="s">
        <v>4505</v>
      </c>
      <c r="P413" s="5" t="s">
        <v>24</v>
      </c>
      <c r="Q413" s="5" t="s">
        <v>24</v>
      </c>
      <c r="R413" s="5" t="s">
        <v>24</v>
      </c>
      <c r="S413" s="5" t="s">
        <v>1852</v>
      </c>
      <c r="T413" s="5" t="s">
        <v>4506</v>
      </c>
      <c r="U413" s="5" t="s">
        <v>4506</v>
      </c>
      <c r="V413" s="5" t="s">
        <v>1854</v>
      </c>
      <c r="W413" s="5" t="s">
        <v>24</v>
      </c>
      <c r="X413" s="5" t="s">
        <v>24</v>
      </c>
      <c r="Y413" s="5" t="s">
        <v>4507</v>
      </c>
      <c r="Z413" s="5" t="s">
        <v>4508</v>
      </c>
      <c r="AA413" s="5" t="s">
        <v>4508</v>
      </c>
      <c r="AB413" s="5" t="s">
        <v>4508</v>
      </c>
      <c r="AC413" s="5" t="s">
        <v>24</v>
      </c>
      <c r="AD413" s="5" t="s">
        <v>24</v>
      </c>
      <c r="AE413" s="5" t="s">
        <v>24</v>
      </c>
      <c r="AF413" s="5" t="s">
        <v>24</v>
      </c>
      <c r="AG413" s="5" t="s">
        <v>24</v>
      </c>
      <c r="AH413" s="5" t="s">
        <v>24</v>
      </c>
      <c r="AI413" s="5" t="s">
        <v>24</v>
      </c>
      <c r="AJ413" s="5" t="s">
        <v>24</v>
      </c>
      <c r="AK413" s="5" t="s">
        <v>24</v>
      </c>
      <c r="AL413" s="5" t="str">
        <f>VLOOKUP(mambo!$H413,Sheet1!B:C,2,FALSE)</f>
        <v>#N/A</v>
      </c>
    </row>
    <row r="414" ht="15.75" hidden="1" customHeight="1">
      <c r="A414" s="5" t="s">
        <v>4509</v>
      </c>
      <c r="B414" s="5" t="s">
        <v>4510</v>
      </c>
      <c r="C414" s="5" t="s">
        <v>336</v>
      </c>
      <c r="D414" s="5" t="s">
        <v>24</v>
      </c>
      <c r="E414" s="5" t="s">
        <v>1848</v>
      </c>
      <c r="F414" s="5" t="s">
        <v>1849</v>
      </c>
      <c r="G414" s="5" t="s">
        <v>24</v>
      </c>
      <c r="H414" s="5" t="s">
        <v>4511</v>
      </c>
      <c r="I414" s="5" t="s">
        <v>24</v>
      </c>
      <c r="J414" s="5" t="s">
        <v>24</v>
      </c>
      <c r="K414" s="5" t="s">
        <v>24</v>
      </c>
      <c r="L414" s="5" t="s">
        <v>24</v>
      </c>
      <c r="M414" s="5" t="s">
        <v>4504</v>
      </c>
      <c r="N414" s="5" t="s">
        <v>24</v>
      </c>
      <c r="O414" s="5" t="s">
        <v>4505</v>
      </c>
      <c r="P414" s="5" t="s">
        <v>24</v>
      </c>
      <c r="Q414" s="5" t="s">
        <v>24</v>
      </c>
      <c r="R414" s="5" t="s">
        <v>24</v>
      </c>
      <c r="S414" s="5" t="s">
        <v>1852</v>
      </c>
      <c r="T414" s="5" t="s">
        <v>4506</v>
      </c>
      <c r="U414" s="5" t="s">
        <v>4506</v>
      </c>
      <c r="V414" s="5" t="s">
        <v>1854</v>
      </c>
      <c r="W414" s="5" t="s">
        <v>24</v>
      </c>
      <c r="X414" s="5" t="s">
        <v>24</v>
      </c>
      <c r="Y414" s="5" t="s">
        <v>4512</v>
      </c>
      <c r="Z414" s="5" t="s">
        <v>4513</v>
      </c>
      <c r="AA414" s="5" t="s">
        <v>4513</v>
      </c>
      <c r="AB414" s="5" t="s">
        <v>4513</v>
      </c>
      <c r="AC414" s="5" t="s">
        <v>24</v>
      </c>
      <c r="AD414" s="5" t="s">
        <v>24</v>
      </c>
      <c r="AE414" s="5" t="s">
        <v>24</v>
      </c>
      <c r="AF414" s="5" t="s">
        <v>24</v>
      </c>
      <c r="AG414" s="5" t="s">
        <v>24</v>
      </c>
      <c r="AH414" s="5" t="s">
        <v>24</v>
      </c>
      <c r="AI414" s="5" t="s">
        <v>24</v>
      </c>
      <c r="AJ414" s="5" t="s">
        <v>24</v>
      </c>
      <c r="AK414" s="5" t="s">
        <v>24</v>
      </c>
      <c r="AL414" s="5" t="str">
        <f>VLOOKUP(mambo!$H414,Sheet1!B:C,2,FALSE)</f>
        <v>#N/A</v>
      </c>
    </row>
    <row r="415" ht="15.75" hidden="1" customHeight="1">
      <c r="A415" s="5" t="s">
        <v>4514</v>
      </c>
      <c r="B415" s="5" t="s">
        <v>4515</v>
      </c>
      <c r="C415" s="5" t="s">
        <v>336</v>
      </c>
      <c r="D415" s="5" t="s">
        <v>24</v>
      </c>
      <c r="E415" s="5" t="s">
        <v>1848</v>
      </c>
      <c r="F415" s="5" t="s">
        <v>1849</v>
      </c>
      <c r="G415" s="5" t="s">
        <v>24</v>
      </c>
      <c r="H415" s="5" t="s">
        <v>4516</v>
      </c>
      <c r="I415" s="5" t="s">
        <v>24</v>
      </c>
      <c r="J415" s="5" t="s">
        <v>24</v>
      </c>
      <c r="K415" s="5" t="s">
        <v>24</v>
      </c>
      <c r="L415" s="5" t="s">
        <v>24</v>
      </c>
      <c r="M415" s="5" t="s">
        <v>4504</v>
      </c>
      <c r="N415" s="5" t="s">
        <v>24</v>
      </c>
      <c r="O415" s="5" t="s">
        <v>4505</v>
      </c>
      <c r="P415" s="5" t="s">
        <v>24</v>
      </c>
      <c r="Q415" s="5" t="s">
        <v>24</v>
      </c>
      <c r="R415" s="5" t="s">
        <v>24</v>
      </c>
      <c r="S415" s="5" t="s">
        <v>1852</v>
      </c>
      <c r="T415" s="5" t="s">
        <v>4506</v>
      </c>
      <c r="U415" s="5" t="s">
        <v>4506</v>
      </c>
      <c r="V415" s="5" t="s">
        <v>1854</v>
      </c>
      <c r="W415" s="5" t="s">
        <v>24</v>
      </c>
      <c r="X415" s="5" t="s">
        <v>24</v>
      </c>
      <c r="Y415" s="5" t="s">
        <v>4517</v>
      </c>
      <c r="Z415" s="5" t="s">
        <v>4518</v>
      </c>
      <c r="AA415" s="5" t="s">
        <v>4518</v>
      </c>
      <c r="AB415" s="5" t="s">
        <v>4518</v>
      </c>
      <c r="AC415" s="5" t="s">
        <v>24</v>
      </c>
      <c r="AD415" s="5" t="s">
        <v>24</v>
      </c>
      <c r="AE415" s="5" t="s">
        <v>24</v>
      </c>
      <c r="AF415" s="5" t="s">
        <v>24</v>
      </c>
      <c r="AG415" s="5" t="s">
        <v>24</v>
      </c>
      <c r="AH415" s="5" t="s">
        <v>24</v>
      </c>
      <c r="AI415" s="5" t="s">
        <v>24</v>
      </c>
      <c r="AJ415" s="5" t="s">
        <v>24</v>
      </c>
      <c r="AK415" s="5" t="s">
        <v>24</v>
      </c>
      <c r="AL415" s="5" t="str">
        <f>VLOOKUP(mambo!$H415,Sheet1!B:C,2,FALSE)</f>
        <v>#N/A</v>
      </c>
    </row>
    <row r="416" ht="15.75" customHeight="1">
      <c r="A416" s="5" t="s">
        <v>4519</v>
      </c>
      <c r="B416" s="5" t="s">
        <v>4520</v>
      </c>
      <c r="C416" s="5" t="s">
        <v>336</v>
      </c>
      <c r="D416" s="5" t="s">
        <v>24</v>
      </c>
      <c r="E416" s="5" t="s">
        <v>1848</v>
      </c>
      <c r="F416" s="5" t="s">
        <v>1849</v>
      </c>
      <c r="G416" s="5" t="s">
        <v>24</v>
      </c>
      <c r="H416" s="5" t="s">
        <v>1782</v>
      </c>
      <c r="I416" s="5" t="s">
        <v>24</v>
      </c>
      <c r="J416" s="5" t="s">
        <v>24</v>
      </c>
      <c r="K416" s="5" t="s">
        <v>24</v>
      </c>
      <c r="L416" s="5" t="s">
        <v>24</v>
      </c>
      <c r="M416" s="5" t="s">
        <v>24</v>
      </c>
      <c r="N416" s="5" t="s">
        <v>24</v>
      </c>
      <c r="O416" s="5" t="s">
        <v>2715</v>
      </c>
      <c r="P416" s="5" t="s">
        <v>24</v>
      </c>
      <c r="Q416" s="5" t="s">
        <v>24</v>
      </c>
      <c r="R416" s="5" t="s">
        <v>24</v>
      </c>
      <c r="S416" s="5" t="s">
        <v>1852</v>
      </c>
      <c r="T416" s="5" t="s">
        <v>1895</v>
      </c>
      <c r="U416" s="5" t="s">
        <v>1895</v>
      </c>
      <c r="V416" s="5" t="s">
        <v>1854</v>
      </c>
      <c r="W416" s="5" t="s">
        <v>24</v>
      </c>
      <c r="X416" s="5" t="s">
        <v>24</v>
      </c>
      <c r="Y416" s="5" t="s">
        <v>4521</v>
      </c>
      <c r="Z416" s="5" t="s">
        <v>4522</v>
      </c>
      <c r="AA416" s="5" t="s">
        <v>4522</v>
      </c>
      <c r="AB416" s="5" t="s">
        <v>4522</v>
      </c>
      <c r="AC416" s="5" t="s">
        <v>24</v>
      </c>
      <c r="AD416" s="5" t="s">
        <v>24</v>
      </c>
      <c r="AE416" s="5" t="s">
        <v>24</v>
      </c>
      <c r="AF416" s="5" t="s">
        <v>24</v>
      </c>
      <c r="AG416" s="5" t="s">
        <v>24</v>
      </c>
      <c r="AH416" s="5" t="s">
        <v>24</v>
      </c>
      <c r="AI416" s="5" t="s">
        <v>24</v>
      </c>
      <c r="AJ416" s="5" t="s">
        <v>24</v>
      </c>
      <c r="AK416" s="5" t="s">
        <v>24</v>
      </c>
      <c r="AL416" s="5" t="str">
        <f>VLOOKUP(mambo!$H416,Sheet1!B:C,2,FALSE)</f>
        <v>1403836</v>
      </c>
    </row>
    <row r="417" ht="15.75" hidden="1" customHeight="1">
      <c r="A417" s="5" t="s">
        <v>4523</v>
      </c>
      <c r="B417" s="5" t="s">
        <v>4524</v>
      </c>
      <c r="C417" s="5" t="s">
        <v>1961</v>
      </c>
      <c r="D417" s="5" t="s">
        <v>24</v>
      </c>
      <c r="E417" s="5" t="s">
        <v>1848</v>
      </c>
      <c r="F417" s="5" t="s">
        <v>1849</v>
      </c>
      <c r="G417" s="5" t="s">
        <v>24</v>
      </c>
      <c r="H417" s="5" t="s">
        <v>4525</v>
      </c>
      <c r="I417" s="5" t="s">
        <v>24</v>
      </c>
      <c r="J417" s="5" t="s">
        <v>24</v>
      </c>
      <c r="K417" s="5" t="s">
        <v>24</v>
      </c>
      <c r="L417" s="5" t="s">
        <v>24</v>
      </c>
      <c r="M417" s="5" t="s">
        <v>1885</v>
      </c>
      <c r="N417" s="5" t="s">
        <v>24</v>
      </c>
      <c r="O417" s="5" t="s">
        <v>2337</v>
      </c>
      <c r="P417" s="5" t="s">
        <v>24</v>
      </c>
      <c r="Q417" s="5" t="s">
        <v>24</v>
      </c>
      <c r="R417" s="5" t="s">
        <v>24</v>
      </c>
      <c r="S417" s="5" t="s">
        <v>1852</v>
      </c>
      <c r="T417" s="5" t="s">
        <v>4526</v>
      </c>
      <c r="U417" s="5" t="s">
        <v>4526</v>
      </c>
      <c r="V417" s="5" t="s">
        <v>1854</v>
      </c>
      <c r="W417" s="5" t="s">
        <v>24</v>
      </c>
      <c r="X417" s="5" t="s">
        <v>24</v>
      </c>
      <c r="Y417" s="5" t="s">
        <v>4527</v>
      </c>
      <c r="Z417" s="5" t="s">
        <v>4528</v>
      </c>
      <c r="AA417" s="5" t="s">
        <v>4528</v>
      </c>
      <c r="AB417" s="5" t="s">
        <v>4528</v>
      </c>
      <c r="AC417" s="5" t="s">
        <v>24</v>
      </c>
      <c r="AD417" s="5" t="s">
        <v>24</v>
      </c>
      <c r="AE417" s="5" t="s">
        <v>24</v>
      </c>
      <c r="AF417" s="5" t="s">
        <v>24</v>
      </c>
      <c r="AG417" s="5" t="s">
        <v>24</v>
      </c>
      <c r="AH417" s="5" t="s">
        <v>24</v>
      </c>
      <c r="AI417" s="5" t="s">
        <v>24</v>
      </c>
      <c r="AJ417" s="5" t="s">
        <v>24</v>
      </c>
      <c r="AK417" s="5" t="s">
        <v>24</v>
      </c>
      <c r="AL417" s="5" t="str">
        <f>VLOOKUP(mambo!$H417,Sheet1!B:C,2,FALSE)</f>
        <v>#N/A</v>
      </c>
    </row>
    <row r="418" ht="15.75" hidden="1" customHeight="1">
      <c r="A418" s="5" t="s">
        <v>4529</v>
      </c>
      <c r="B418" s="5" t="s">
        <v>4530</v>
      </c>
      <c r="C418" s="5" t="s">
        <v>1961</v>
      </c>
      <c r="D418" s="5" t="s">
        <v>24</v>
      </c>
      <c r="E418" s="5" t="s">
        <v>1848</v>
      </c>
      <c r="F418" s="5" t="s">
        <v>1849</v>
      </c>
      <c r="G418" s="5" t="s">
        <v>24</v>
      </c>
      <c r="H418" s="5" t="s">
        <v>4531</v>
      </c>
      <c r="I418" s="5" t="s">
        <v>24</v>
      </c>
      <c r="J418" s="5" t="s">
        <v>24</v>
      </c>
      <c r="K418" s="5" t="s">
        <v>24</v>
      </c>
      <c r="L418" s="5" t="s">
        <v>24</v>
      </c>
      <c r="M418" s="5" t="s">
        <v>1885</v>
      </c>
      <c r="N418" s="5" t="s">
        <v>24</v>
      </c>
      <c r="O418" s="5" t="s">
        <v>1917</v>
      </c>
      <c r="P418" s="5" t="s">
        <v>24</v>
      </c>
      <c r="Q418" s="5" t="s">
        <v>24</v>
      </c>
      <c r="R418" s="5" t="s">
        <v>24</v>
      </c>
      <c r="S418" s="5" t="s">
        <v>1852</v>
      </c>
      <c r="T418" s="5" t="s">
        <v>2458</v>
      </c>
      <c r="U418" s="5" t="s">
        <v>2458</v>
      </c>
      <c r="V418" s="5" t="s">
        <v>1854</v>
      </c>
      <c r="W418" s="5" t="s">
        <v>24</v>
      </c>
      <c r="X418" s="5" t="s">
        <v>24</v>
      </c>
      <c r="Y418" s="5" t="s">
        <v>4532</v>
      </c>
      <c r="Z418" s="5" t="s">
        <v>4533</v>
      </c>
      <c r="AA418" s="5" t="s">
        <v>4533</v>
      </c>
      <c r="AB418" s="5" t="s">
        <v>4533</v>
      </c>
      <c r="AC418" s="5" t="s">
        <v>24</v>
      </c>
      <c r="AD418" s="5" t="s">
        <v>24</v>
      </c>
      <c r="AE418" s="5" t="s">
        <v>24</v>
      </c>
      <c r="AF418" s="5" t="s">
        <v>24</v>
      </c>
      <c r="AG418" s="5" t="s">
        <v>24</v>
      </c>
      <c r="AH418" s="5" t="s">
        <v>24</v>
      </c>
      <c r="AI418" s="5" t="s">
        <v>24</v>
      </c>
      <c r="AJ418" s="5" t="s">
        <v>24</v>
      </c>
      <c r="AK418" s="5" t="s">
        <v>24</v>
      </c>
      <c r="AL418" s="5" t="str">
        <f>VLOOKUP(mambo!$H418,Sheet1!B:C,2,FALSE)</f>
        <v>#N/A</v>
      </c>
    </row>
    <row r="419" ht="15.75" customHeight="1">
      <c r="A419" s="5" t="s">
        <v>4534</v>
      </c>
      <c r="B419" s="5" t="s">
        <v>4535</v>
      </c>
      <c r="C419" s="5" t="s">
        <v>874</v>
      </c>
      <c r="D419" s="5" t="s">
        <v>24</v>
      </c>
      <c r="E419" s="5" t="s">
        <v>1848</v>
      </c>
      <c r="F419" s="5" t="s">
        <v>1849</v>
      </c>
      <c r="G419" s="5" t="s">
        <v>24</v>
      </c>
      <c r="H419" s="5" t="s">
        <v>1089</v>
      </c>
      <c r="I419" s="5" t="s">
        <v>24</v>
      </c>
      <c r="J419" s="5" t="s">
        <v>24</v>
      </c>
      <c r="K419" s="5" t="s">
        <v>24</v>
      </c>
      <c r="L419" s="5" t="s">
        <v>24</v>
      </c>
      <c r="M419" s="5" t="s">
        <v>1885</v>
      </c>
      <c r="N419" s="5" t="s">
        <v>24</v>
      </c>
      <c r="O419" s="5" t="s">
        <v>2085</v>
      </c>
      <c r="P419" s="5" t="s">
        <v>24</v>
      </c>
      <c r="Q419" s="5" t="s">
        <v>24</v>
      </c>
      <c r="R419" s="5" t="s">
        <v>24</v>
      </c>
      <c r="S419" s="5" t="s">
        <v>1852</v>
      </c>
      <c r="T419" s="5" t="s">
        <v>2403</v>
      </c>
      <c r="U419" s="5" t="s">
        <v>2403</v>
      </c>
      <c r="V419" s="5" t="s">
        <v>1854</v>
      </c>
      <c r="W419" s="5" t="s">
        <v>24</v>
      </c>
      <c r="X419" s="5" t="s">
        <v>24</v>
      </c>
      <c r="Y419" s="5" t="s">
        <v>4536</v>
      </c>
      <c r="Z419" s="5" t="s">
        <v>4537</v>
      </c>
      <c r="AA419" s="5" t="s">
        <v>4537</v>
      </c>
      <c r="AB419" s="5" t="s">
        <v>4537</v>
      </c>
      <c r="AC419" s="5" t="s">
        <v>24</v>
      </c>
      <c r="AD419" s="5" t="s">
        <v>24</v>
      </c>
      <c r="AE419" s="5" t="s">
        <v>24</v>
      </c>
      <c r="AF419" s="5" t="s">
        <v>24</v>
      </c>
      <c r="AG419" s="5" t="s">
        <v>24</v>
      </c>
      <c r="AH419" s="5" t="s">
        <v>24</v>
      </c>
      <c r="AI419" s="5" t="s">
        <v>24</v>
      </c>
      <c r="AJ419" s="5" t="s">
        <v>24</v>
      </c>
      <c r="AK419" s="5" t="s">
        <v>24</v>
      </c>
      <c r="AL419" s="5" t="str">
        <f>VLOOKUP(mambo!$H419,Sheet1!B:C,2,FALSE)</f>
        <v>1405512</v>
      </c>
    </row>
    <row r="420" ht="15.75" customHeight="1">
      <c r="A420" s="5" t="s">
        <v>4538</v>
      </c>
      <c r="B420" s="5" t="s">
        <v>4539</v>
      </c>
      <c r="C420" s="5" t="s">
        <v>874</v>
      </c>
      <c r="D420" s="5" t="s">
        <v>24</v>
      </c>
      <c r="E420" s="5" t="s">
        <v>1848</v>
      </c>
      <c r="F420" s="5" t="s">
        <v>1849</v>
      </c>
      <c r="G420" s="5" t="s">
        <v>24</v>
      </c>
      <c r="H420" s="5" t="s">
        <v>1261</v>
      </c>
      <c r="I420" s="5" t="s">
        <v>24</v>
      </c>
      <c r="J420" s="5" t="s">
        <v>24</v>
      </c>
      <c r="K420" s="5" t="s">
        <v>24</v>
      </c>
      <c r="L420" s="5" t="s">
        <v>24</v>
      </c>
      <c r="M420" s="5" t="s">
        <v>24</v>
      </c>
      <c r="N420" s="5" t="s">
        <v>24</v>
      </c>
      <c r="O420" s="5" t="s">
        <v>2148</v>
      </c>
      <c r="P420" s="5" t="s">
        <v>24</v>
      </c>
      <c r="Q420" s="5" t="s">
        <v>24</v>
      </c>
      <c r="R420" s="5" t="s">
        <v>24</v>
      </c>
      <c r="S420" s="5" t="s">
        <v>1852</v>
      </c>
      <c r="T420" s="5" t="s">
        <v>4540</v>
      </c>
      <c r="U420" s="5" t="s">
        <v>4540</v>
      </c>
      <c r="V420" s="5" t="s">
        <v>1854</v>
      </c>
      <c r="W420" s="5" t="s">
        <v>24</v>
      </c>
      <c r="X420" s="5" t="s">
        <v>24</v>
      </c>
      <c r="Y420" s="5" t="s">
        <v>4541</v>
      </c>
      <c r="Z420" s="5" t="s">
        <v>4542</v>
      </c>
      <c r="AA420" s="5" t="s">
        <v>4542</v>
      </c>
      <c r="AB420" s="5" t="s">
        <v>4542</v>
      </c>
      <c r="AC420" s="5" t="s">
        <v>24</v>
      </c>
      <c r="AD420" s="5" t="s">
        <v>24</v>
      </c>
      <c r="AE420" s="5" t="s">
        <v>24</v>
      </c>
      <c r="AF420" s="5" t="s">
        <v>24</v>
      </c>
      <c r="AG420" s="5" t="s">
        <v>24</v>
      </c>
      <c r="AH420" s="5" t="s">
        <v>24</v>
      </c>
      <c r="AI420" s="5" t="s">
        <v>24</v>
      </c>
      <c r="AJ420" s="5" t="s">
        <v>24</v>
      </c>
      <c r="AK420" s="5" t="s">
        <v>24</v>
      </c>
      <c r="AL420" s="5" t="str">
        <f>VLOOKUP(mambo!$H420,Sheet1!B:C,2,FALSE)</f>
        <v>1407374</v>
      </c>
    </row>
    <row r="421" ht="15.75" customHeight="1">
      <c r="A421" s="5" t="s">
        <v>4543</v>
      </c>
      <c r="B421" s="5" t="s">
        <v>4544</v>
      </c>
      <c r="C421" s="5" t="s">
        <v>2126</v>
      </c>
      <c r="D421" s="5" t="s">
        <v>24</v>
      </c>
      <c r="E421" s="5" t="s">
        <v>1848</v>
      </c>
      <c r="F421" s="5" t="s">
        <v>1849</v>
      </c>
      <c r="G421" s="5" t="s">
        <v>24</v>
      </c>
      <c r="H421" s="5" t="s">
        <v>844</v>
      </c>
      <c r="I421" s="5" t="s">
        <v>24</v>
      </c>
      <c r="J421" s="5" t="s">
        <v>24</v>
      </c>
      <c r="K421" s="5" t="s">
        <v>24</v>
      </c>
      <c r="L421" s="5" t="s">
        <v>24</v>
      </c>
      <c r="M421" s="5" t="s">
        <v>24</v>
      </c>
      <c r="N421" s="5" t="s">
        <v>24</v>
      </c>
      <c r="O421" s="5" t="s">
        <v>3654</v>
      </c>
      <c r="P421" s="5" t="s">
        <v>24</v>
      </c>
      <c r="Q421" s="5" t="s">
        <v>24</v>
      </c>
      <c r="R421" s="5" t="s">
        <v>24</v>
      </c>
      <c r="S421" s="5" t="s">
        <v>1852</v>
      </c>
      <c r="T421" s="5" t="s">
        <v>3655</v>
      </c>
      <c r="U421" s="5" t="s">
        <v>3655</v>
      </c>
      <c r="V421" s="5" t="s">
        <v>1854</v>
      </c>
      <c r="W421" s="5" t="s">
        <v>24</v>
      </c>
      <c r="X421" s="5" t="s">
        <v>24</v>
      </c>
      <c r="Y421" s="5" t="s">
        <v>4545</v>
      </c>
      <c r="Z421" s="5" t="s">
        <v>4546</v>
      </c>
      <c r="AA421" s="5" t="s">
        <v>4546</v>
      </c>
      <c r="AB421" s="5" t="s">
        <v>4546</v>
      </c>
      <c r="AC421" s="5" t="s">
        <v>24</v>
      </c>
      <c r="AD421" s="5" t="s">
        <v>24</v>
      </c>
      <c r="AE421" s="5" t="s">
        <v>24</v>
      </c>
      <c r="AF421" s="5" t="s">
        <v>24</v>
      </c>
      <c r="AG421" s="5" t="s">
        <v>24</v>
      </c>
      <c r="AH421" s="5" t="s">
        <v>24</v>
      </c>
      <c r="AI421" s="5" t="s">
        <v>24</v>
      </c>
      <c r="AJ421" s="5" t="s">
        <v>24</v>
      </c>
      <c r="AK421" s="5" t="s">
        <v>24</v>
      </c>
      <c r="AL421" s="5" t="str">
        <f>VLOOKUP(mambo!$H421,Sheet1!B:C,2,FALSE)</f>
        <v>1406104</v>
      </c>
    </row>
    <row r="422" ht="15.75" customHeight="1">
      <c r="A422" s="5" t="s">
        <v>4547</v>
      </c>
      <c r="B422" s="5" t="s">
        <v>4548</v>
      </c>
      <c r="C422" s="5" t="s">
        <v>2126</v>
      </c>
      <c r="D422" s="5" t="s">
        <v>24</v>
      </c>
      <c r="E422" s="5" t="s">
        <v>1848</v>
      </c>
      <c r="F422" s="5" t="s">
        <v>1849</v>
      </c>
      <c r="G422" s="5" t="s">
        <v>24</v>
      </c>
      <c r="H422" s="5" t="s">
        <v>1762</v>
      </c>
      <c r="I422" s="5" t="s">
        <v>24</v>
      </c>
      <c r="J422" s="5" t="s">
        <v>24</v>
      </c>
      <c r="K422" s="5" t="s">
        <v>24</v>
      </c>
      <c r="L422" s="5" t="s">
        <v>24</v>
      </c>
      <c r="M422" s="5" t="s">
        <v>1885</v>
      </c>
      <c r="N422" s="5" t="s">
        <v>24</v>
      </c>
      <c r="O422" s="5" t="s">
        <v>2085</v>
      </c>
      <c r="P422" s="5" t="s">
        <v>24</v>
      </c>
      <c r="Q422" s="5" t="s">
        <v>24</v>
      </c>
      <c r="R422" s="5" t="s">
        <v>24</v>
      </c>
      <c r="S422" s="5" t="s">
        <v>1852</v>
      </c>
      <c r="T422" s="5" t="s">
        <v>3109</v>
      </c>
      <c r="U422" s="5" t="s">
        <v>3109</v>
      </c>
      <c r="V422" s="5" t="s">
        <v>1854</v>
      </c>
      <c r="W422" s="5" t="s">
        <v>24</v>
      </c>
      <c r="X422" s="5" t="s">
        <v>24</v>
      </c>
      <c r="Y422" s="5" t="s">
        <v>4549</v>
      </c>
      <c r="Z422" s="5" t="s">
        <v>4550</v>
      </c>
      <c r="AA422" s="5" t="s">
        <v>4550</v>
      </c>
      <c r="AB422" s="5" t="s">
        <v>4550</v>
      </c>
      <c r="AC422" s="5" t="s">
        <v>24</v>
      </c>
      <c r="AD422" s="5" t="s">
        <v>24</v>
      </c>
      <c r="AE422" s="5" t="s">
        <v>24</v>
      </c>
      <c r="AF422" s="5" t="s">
        <v>24</v>
      </c>
      <c r="AG422" s="5" t="s">
        <v>24</v>
      </c>
      <c r="AH422" s="5" t="s">
        <v>24</v>
      </c>
      <c r="AI422" s="5" t="s">
        <v>24</v>
      </c>
      <c r="AJ422" s="5" t="s">
        <v>24</v>
      </c>
      <c r="AK422" s="5" t="s">
        <v>24</v>
      </c>
      <c r="AL422" s="5" t="str">
        <f>VLOOKUP(mambo!$H422,Sheet1!B:C,2,FALSE)</f>
        <v>1405999</v>
      </c>
    </row>
    <row r="423" ht="15.75" customHeight="1">
      <c r="A423" s="5" t="s">
        <v>4551</v>
      </c>
      <c r="B423" s="5" t="s">
        <v>4552</v>
      </c>
      <c r="C423" s="5" t="s">
        <v>2126</v>
      </c>
      <c r="D423" s="5" t="s">
        <v>24</v>
      </c>
      <c r="E423" s="5" t="s">
        <v>1848</v>
      </c>
      <c r="F423" s="5" t="s">
        <v>1849</v>
      </c>
      <c r="G423" s="5" t="s">
        <v>24</v>
      </c>
      <c r="H423" s="5" t="s">
        <v>1153</v>
      </c>
      <c r="I423" s="5" t="s">
        <v>24</v>
      </c>
      <c r="J423" s="5" t="s">
        <v>24</v>
      </c>
      <c r="K423" s="5" t="s">
        <v>24</v>
      </c>
      <c r="L423" s="5" t="s">
        <v>24</v>
      </c>
      <c r="M423" s="5" t="s">
        <v>1885</v>
      </c>
      <c r="N423" s="5" t="s">
        <v>24</v>
      </c>
      <c r="O423" s="5" t="s">
        <v>2085</v>
      </c>
      <c r="P423" s="5" t="s">
        <v>24</v>
      </c>
      <c r="Q423" s="5" t="s">
        <v>24</v>
      </c>
      <c r="R423" s="5" t="s">
        <v>24</v>
      </c>
      <c r="S423" s="5" t="s">
        <v>2020</v>
      </c>
      <c r="T423" s="5" t="s">
        <v>2021</v>
      </c>
      <c r="U423" s="5" t="s">
        <v>2021</v>
      </c>
      <c r="V423" s="5" t="s">
        <v>24</v>
      </c>
      <c r="W423" s="5" t="s">
        <v>24</v>
      </c>
      <c r="X423" s="5" t="s">
        <v>24</v>
      </c>
      <c r="Y423" s="5" t="s">
        <v>4553</v>
      </c>
      <c r="Z423" s="5" t="s">
        <v>4554</v>
      </c>
      <c r="AA423" s="5" t="s">
        <v>4554</v>
      </c>
      <c r="AB423" s="5" t="s">
        <v>4554</v>
      </c>
      <c r="AC423" s="5" t="s">
        <v>24</v>
      </c>
      <c r="AD423" s="5" t="s">
        <v>24</v>
      </c>
      <c r="AE423" s="5" t="s">
        <v>24</v>
      </c>
      <c r="AF423" s="5" t="s">
        <v>24</v>
      </c>
      <c r="AG423" s="5" t="s">
        <v>24</v>
      </c>
      <c r="AH423" s="5" t="s">
        <v>24</v>
      </c>
      <c r="AI423" s="5" t="s">
        <v>24</v>
      </c>
      <c r="AJ423" s="5" t="s">
        <v>24</v>
      </c>
      <c r="AK423" s="5" t="s">
        <v>24</v>
      </c>
      <c r="AL423" s="5" t="str">
        <f>VLOOKUP(mambo!$H423,Sheet1!B:C,2,FALSE)</f>
        <v>1405994</v>
      </c>
    </row>
    <row r="424" ht="15.75" customHeight="1">
      <c r="A424" s="5" t="s">
        <v>4555</v>
      </c>
      <c r="B424" s="5" t="s">
        <v>4556</v>
      </c>
      <c r="C424" s="5" t="s">
        <v>2126</v>
      </c>
      <c r="D424" s="5" t="s">
        <v>24</v>
      </c>
      <c r="E424" s="5" t="s">
        <v>1848</v>
      </c>
      <c r="F424" s="5" t="s">
        <v>1849</v>
      </c>
      <c r="G424" s="5" t="s">
        <v>24</v>
      </c>
      <c r="H424" s="5" t="s">
        <v>1281</v>
      </c>
      <c r="I424" s="5" t="s">
        <v>24</v>
      </c>
      <c r="J424" s="5" t="s">
        <v>24</v>
      </c>
      <c r="K424" s="5" t="s">
        <v>24</v>
      </c>
      <c r="L424" s="5" t="s">
        <v>24</v>
      </c>
      <c r="M424" s="5" t="s">
        <v>1885</v>
      </c>
      <c r="N424" s="5" t="s">
        <v>24</v>
      </c>
      <c r="O424" s="5" t="s">
        <v>2085</v>
      </c>
      <c r="P424" s="5" t="s">
        <v>24</v>
      </c>
      <c r="Q424" s="5" t="s">
        <v>24</v>
      </c>
      <c r="R424" s="5" t="s">
        <v>24</v>
      </c>
      <c r="S424" s="5" t="s">
        <v>1852</v>
      </c>
      <c r="T424" s="5" t="s">
        <v>2127</v>
      </c>
      <c r="U424" s="5" t="s">
        <v>2127</v>
      </c>
      <c r="V424" s="5" t="s">
        <v>1854</v>
      </c>
      <c r="W424" s="5" t="s">
        <v>24</v>
      </c>
      <c r="X424" s="5" t="s">
        <v>24</v>
      </c>
      <c r="Y424" s="5" t="s">
        <v>4557</v>
      </c>
      <c r="Z424" s="5" t="s">
        <v>4558</v>
      </c>
      <c r="AA424" s="5" t="s">
        <v>4558</v>
      </c>
      <c r="AB424" s="5" t="s">
        <v>4558</v>
      </c>
      <c r="AC424" s="5" t="s">
        <v>24</v>
      </c>
      <c r="AD424" s="5" t="s">
        <v>24</v>
      </c>
      <c r="AE424" s="5" t="s">
        <v>24</v>
      </c>
      <c r="AF424" s="5" t="s">
        <v>24</v>
      </c>
      <c r="AG424" s="5" t="s">
        <v>24</v>
      </c>
      <c r="AH424" s="5" t="s">
        <v>24</v>
      </c>
      <c r="AI424" s="5" t="s">
        <v>24</v>
      </c>
      <c r="AJ424" s="5" t="s">
        <v>24</v>
      </c>
      <c r="AK424" s="5" t="s">
        <v>24</v>
      </c>
      <c r="AL424" s="5" t="str">
        <f>VLOOKUP(mambo!$H424,Sheet1!B:C,2,FALSE)</f>
        <v>1405993</v>
      </c>
    </row>
    <row r="425" ht="15.75" hidden="1" customHeight="1">
      <c r="A425" s="5" t="s">
        <v>4559</v>
      </c>
      <c r="B425" s="5" t="s">
        <v>4560</v>
      </c>
      <c r="C425" s="5" t="s">
        <v>3266</v>
      </c>
      <c r="D425" s="5" t="s">
        <v>24</v>
      </c>
      <c r="E425" s="5" t="s">
        <v>1848</v>
      </c>
      <c r="F425" s="5" t="s">
        <v>1849</v>
      </c>
      <c r="G425" s="5" t="s">
        <v>24</v>
      </c>
      <c r="H425" s="5" t="s">
        <v>4561</v>
      </c>
      <c r="I425" s="5" t="s">
        <v>24</v>
      </c>
      <c r="J425" s="5" t="s">
        <v>24</v>
      </c>
      <c r="K425" s="5" t="s">
        <v>24</v>
      </c>
      <c r="L425" s="5" t="s">
        <v>24</v>
      </c>
      <c r="M425" s="5" t="s">
        <v>1885</v>
      </c>
      <c r="N425" s="5" t="s">
        <v>24</v>
      </c>
      <c r="O425" s="5" t="s">
        <v>2085</v>
      </c>
      <c r="P425" s="5" t="s">
        <v>24</v>
      </c>
      <c r="Q425" s="5" t="s">
        <v>24</v>
      </c>
      <c r="R425" s="5" t="s">
        <v>24</v>
      </c>
      <c r="S425" s="5" t="s">
        <v>1852</v>
      </c>
      <c r="T425" s="5" t="s">
        <v>4562</v>
      </c>
      <c r="U425" s="5" t="s">
        <v>4562</v>
      </c>
      <c r="V425" s="5" t="s">
        <v>1854</v>
      </c>
      <c r="W425" s="5" t="s">
        <v>24</v>
      </c>
      <c r="X425" s="5" t="s">
        <v>24</v>
      </c>
      <c r="Y425" s="5" t="s">
        <v>4563</v>
      </c>
      <c r="Z425" s="5" t="s">
        <v>4564</v>
      </c>
      <c r="AA425" s="5" t="s">
        <v>4564</v>
      </c>
      <c r="AB425" s="5" t="s">
        <v>4564</v>
      </c>
      <c r="AC425" s="5" t="s">
        <v>24</v>
      </c>
      <c r="AD425" s="5" t="s">
        <v>24</v>
      </c>
      <c r="AE425" s="5" t="s">
        <v>24</v>
      </c>
      <c r="AF425" s="5" t="s">
        <v>24</v>
      </c>
      <c r="AG425" s="5" t="s">
        <v>24</v>
      </c>
      <c r="AH425" s="5" t="s">
        <v>24</v>
      </c>
      <c r="AI425" s="5" t="s">
        <v>24</v>
      </c>
      <c r="AJ425" s="5" t="s">
        <v>24</v>
      </c>
      <c r="AK425" s="5" t="s">
        <v>24</v>
      </c>
      <c r="AL425" s="5" t="str">
        <f>VLOOKUP(mambo!$H425,Sheet1!B:C,2,FALSE)</f>
        <v>#N/A</v>
      </c>
    </row>
    <row r="426" ht="15.75" hidden="1" customHeight="1">
      <c r="A426" s="5" t="s">
        <v>4565</v>
      </c>
      <c r="B426" s="5" t="s">
        <v>4566</v>
      </c>
      <c r="C426" s="5" t="s">
        <v>3266</v>
      </c>
      <c r="D426" s="5" t="s">
        <v>24</v>
      </c>
      <c r="E426" s="5" t="s">
        <v>1848</v>
      </c>
      <c r="F426" s="5" t="s">
        <v>1849</v>
      </c>
      <c r="G426" s="5" t="s">
        <v>24</v>
      </c>
      <c r="H426" s="5" t="s">
        <v>4567</v>
      </c>
      <c r="I426" s="5" t="s">
        <v>24</v>
      </c>
      <c r="J426" s="5" t="s">
        <v>24</v>
      </c>
      <c r="K426" s="5" t="s">
        <v>24</v>
      </c>
      <c r="L426" s="5" t="s">
        <v>24</v>
      </c>
      <c r="M426" s="5" t="s">
        <v>1885</v>
      </c>
      <c r="N426" s="5" t="s">
        <v>24</v>
      </c>
      <c r="O426" s="5" t="s">
        <v>2085</v>
      </c>
      <c r="P426" s="5" t="s">
        <v>24</v>
      </c>
      <c r="Q426" s="5" t="s">
        <v>24</v>
      </c>
      <c r="R426" s="5" t="s">
        <v>24</v>
      </c>
      <c r="S426" s="5" t="s">
        <v>1852</v>
      </c>
      <c r="T426" s="5" t="s">
        <v>4562</v>
      </c>
      <c r="U426" s="5" t="s">
        <v>4562</v>
      </c>
      <c r="V426" s="5" t="s">
        <v>1854</v>
      </c>
      <c r="W426" s="5" t="s">
        <v>24</v>
      </c>
      <c r="X426" s="5" t="s">
        <v>24</v>
      </c>
      <c r="Y426" s="5" t="s">
        <v>4568</v>
      </c>
      <c r="Z426" s="5" t="s">
        <v>4569</v>
      </c>
      <c r="AA426" s="5" t="s">
        <v>4569</v>
      </c>
      <c r="AB426" s="5" t="s">
        <v>4569</v>
      </c>
      <c r="AC426" s="5" t="s">
        <v>24</v>
      </c>
      <c r="AD426" s="5" t="s">
        <v>24</v>
      </c>
      <c r="AE426" s="5" t="s">
        <v>24</v>
      </c>
      <c r="AF426" s="5" t="s">
        <v>24</v>
      </c>
      <c r="AG426" s="5" t="s">
        <v>24</v>
      </c>
      <c r="AH426" s="5" t="s">
        <v>24</v>
      </c>
      <c r="AI426" s="5" t="s">
        <v>24</v>
      </c>
      <c r="AJ426" s="5" t="s">
        <v>24</v>
      </c>
      <c r="AK426" s="5" t="s">
        <v>24</v>
      </c>
      <c r="AL426" s="5" t="str">
        <f>VLOOKUP(mambo!$H426,Sheet1!B:C,2,FALSE)</f>
        <v>#N/A</v>
      </c>
    </row>
    <row r="427" ht="15.75" hidden="1" customHeight="1">
      <c r="A427" s="5" t="s">
        <v>4570</v>
      </c>
      <c r="B427" s="5" t="s">
        <v>4571</v>
      </c>
      <c r="C427" s="5" t="s">
        <v>3266</v>
      </c>
      <c r="D427" s="5" t="s">
        <v>24</v>
      </c>
      <c r="E427" s="5" t="s">
        <v>1848</v>
      </c>
      <c r="F427" s="5" t="s">
        <v>1849</v>
      </c>
      <c r="G427" s="5" t="s">
        <v>24</v>
      </c>
      <c r="H427" s="5" t="s">
        <v>4572</v>
      </c>
      <c r="I427" s="5" t="s">
        <v>24</v>
      </c>
      <c r="J427" s="5" t="s">
        <v>24</v>
      </c>
      <c r="K427" s="5" t="s">
        <v>24</v>
      </c>
      <c r="L427" s="5" t="s">
        <v>24</v>
      </c>
      <c r="M427" s="5" t="s">
        <v>1885</v>
      </c>
      <c r="N427" s="5" t="s">
        <v>24</v>
      </c>
      <c r="O427" s="5" t="s">
        <v>2085</v>
      </c>
      <c r="P427" s="5" t="s">
        <v>24</v>
      </c>
      <c r="Q427" s="5" t="s">
        <v>24</v>
      </c>
      <c r="R427" s="5" t="s">
        <v>24</v>
      </c>
      <c r="S427" s="5" t="s">
        <v>1852</v>
      </c>
      <c r="T427" s="5" t="s">
        <v>4562</v>
      </c>
      <c r="U427" s="5" t="s">
        <v>4562</v>
      </c>
      <c r="V427" s="5" t="s">
        <v>1854</v>
      </c>
      <c r="W427" s="5" t="s">
        <v>24</v>
      </c>
      <c r="X427" s="5" t="s">
        <v>24</v>
      </c>
      <c r="Y427" s="5" t="s">
        <v>4573</v>
      </c>
      <c r="Z427" s="5" t="s">
        <v>4574</v>
      </c>
      <c r="AA427" s="5" t="s">
        <v>4574</v>
      </c>
      <c r="AB427" s="5" t="s">
        <v>4574</v>
      </c>
      <c r="AC427" s="5" t="s">
        <v>24</v>
      </c>
      <c r="AD427" s="5" t="s">
        <v>24</v>
      </c>
      <c r="AE427" s="5" t="s">
        <v>24</v>
      </c>
      <c r="AF427" s="5" t="s">
        <v>24</v>
      </c>
      <c r="AG427" s="5" t="s">
        <v>24</v>
      </c>
      <c r="AH427" s="5" t="s">
        <v>24</v>
      </c>
      <c r="AI427" s="5" t="s">
        <v>24</v>
      </c>
      <c r="AJ427" s="5" t="s">
        <v>24</v>
      </c>
      <c r="AK427" s="5" t="s">
        <v>24</v>
      </c>
      <c r="AL427" s="5" t="str">
        <f>VLOOKUP(mambo!$H427,Sheet1!B:C,2,FALSE)</f>
        <v>#N/A</v>
      </c>
    </row>
    <row r="428" ht="15.75" hidden="1" customHeight="1">
      <c r="A428" s="5" t="s">
        <v>4575</v>
      </c>
      <c r="B428" s="5" t="s">
        <v>4576</v>
      </c>
      <c r="C428" s="5" t="s">
        <v>3266</v>
      </c>
      <c r="D428" s="5" t="s">
        <v>24</v>
      </c>
      <c r="E428" s="5" t="s">
        <v>1848</v>
      </c>
      <c r="F428" s="5" t="s">
        <v>1849</v>
      </c>
      <c r="G428" s="5" t="s">
        <v>24</v>
      </c>
      <c r="H428" s="5" t="s">
        <v>4577</v>
      </c>
      <c r="I428" s="5" t="s">
        <v>24</v>
      </c>
      <c r="J428" s="5" t="s">
        <v>24</v>
      </c>
      <c r="K428" s="5" t="s">
        <v>24</v>
      </c>
      <c r="L428" s="5" t="s">
        <v>24</v>
      </c>
      <c r="M428" s="5" t="s">
        <v>1885</v>
      </c>
      <c r="N428" s="5" t="s">
        <v>24</v>
      </c>
      <c r="O428" s="5" t="s">
        <v>2085</v>
      </c>
      <c r="P428" s="5" t="s">
        <v>24</v>
      </c>
      <c r="Q428" s="5" t="s">
        <v>24</v>
      </c>
      <c r="R428" s="5" t="s">
        <v>24</v>
      </c>
      <c r="S428" s="5" t="s">
        <v>1852</v>
      </c>
      <c r="T428" s="5" t="s">
        <v>4562</v>
      </c>
      <c r="U428" s="5" t="s">
        <v>4562</v>
      </c>
      <c r="V428" s="5" t="s">
        <v>1854</v>
      </c>
      <c r="W428" s="5" t="s">
        <v>24</v>
      </c>
      <c r="X428" s="5" t="s">
        <v>24</v>
      </c>
      <c r="Y428" s="5" t="s">
        <v>4578</v>
      </c>
      <c r="Z428" s="5" t="s">
        <v>4579</v>
      </c>
      <c r="AA428" s="5" t="s">
        <v>4579</v>
      </c>
      <c r="AB428" s="5" t="s">
        <v>4579</v>
      </c>
      <c r="AC428" s="5" t="s">
        <v>24</v>
      </c>
      <c r="AD428" s="5" t="s">
        <v>24</v>
      </c>
      <c r="AE428" s="5" t="s">
        <v>24</v>
      </c>
      <c r="AF428" s="5" t="s">
        <v>24</v>
      </c>
      <c r="AG428" s="5" t="s">
        <v>24</v>
      </c>
      <c r="AH428" s="5" t="s">
        <v>24</v>
      </c>
      <c r="AI428" s="5" t="s">
        <v>24</v>
      </c>
      <c r="AJ428" s="5" t="s">
        <v>24</v>
      </c>
      <c r="AK428" s="5" t="s">
        <v>24</v>
      </c>
      <c r="AL428" s="5" t="str">
        <f>VLOOKUP(mambo!$H428,Sheet1!B:C,2,FALSE)</f>
        <v>#N/A</v>
      </c>
    </row>
    <row r="429" ht="15.75" hidden="1" customHeight="1">
      <c r="A429" s="5" t="s">
        <v>4580</v>
      </c>
      <c r="B429" s="5" t="s">
        <v>4581</v>
      </c>
      <c r="C429" s="5" t="s">
        <v>294</v>
      </c>
      <c r="D429" s="5" t="s">
        <v>24</v>
      </c>
      <c r="E429" s="5" t="s">
        <v>1848</v>
      </c>
      <c r="F429" s="5" t="s">
        <v>1849</v>
      </c>
      <c r="G429" s="5" t="s">
        <v>24</v>
      </c>
      <c r="H429" s="5" t="s">
        <v>4582</v>
      </c>
      <c r="I429" s="5" t="s">
        <v>24</v>
      </c>
      <c r="J429" s="5" t="s">
        <v>24</v>
      </c>
      <c r="K429" s="5" t="s">
        <v>24</v>
      </c>
      <c r="L429" s="5" t="s">
        <v>24</v>
      </c>
      <c r="M429" s="5" t="s">
        <v>1885</v>
      </c>
      <c r="N429" s="5" t="s">
        <v>24</v>
      </c>
      <c r="O429" s="5" t="s">
        <v>3745</v>
      </c>
      <c r="P429" s="5" t="s">
        <v>24</v>
      </c>
      <c r="Q429" s="5" t="s">
        <v>24</v>
      </c>
      <c r="R429" s="5" t="s">
        <v>24</v>
      </c>
      <c r="S429" s="5" t="s">
        <v>1852</v>
      </c>
      <c r="T429" s="5" t="s">
        <v>2636</v>
      </c>
      <c r="U429" s="5" t="s">
        <v>2636</v>
      </c>
      <c r="V429" s="5" t="s">
        <v>1854</v>
      </c>
      <c r="W429" s="5" t="s">
        <v>24</v>
      </c>
      <c r="X429" s="5" t="s">
        <v>24</v>
      </c>
      <c r="Y429" s="5" t="s">
        <v>4583</v>
      </c>
      <c r="Z429" s="5" t="s">
        <v>4584</v>
      </c>
      <c r="AA429" s="5" t="s">
        <v>4584</v>
      </c>
      <c r="AB429" s="5" t="s">
        <v>4584</v>
      </c>
      <c r="AC429" s="5" t="s">
        <v>24</v>
      </c>
      <c r="AD429" s="5" t="s">
        <v>24</v>
      </c>
      <c r="AE429" s="5" t="s">
        <v>24</v>
      </c>
      <c r="AF429" s="5" t="s">
        <v>24</v>
      </c>
      <c r="AG429" s="5" t="s">
        <v>24</v>
      </c>
      <c r="AH429" s="5" t="s">
        <v>24</v>
      </c>
      <c r="AI429" s="5" t="s">
        <v>24</v>
      </c>
      <c r="AJ429" s="5" t="s">
        <v>24</v>
      </c>
      <c r="AK429" s="5" t="s">
        <v>24</v>
      </c>
      <c r="AL429" s="5" t="str">
        <f>VLOOKUP(mambo!$H429,Sheet1!B:C,2,FALSE)</f>
        <v>#N/A</v>
      </c>
    </row>
    <row r="430" ht="15.75" hidden="1" customHeight="1">
      <c r="A430" s="5" t="s">
        <v>4585</v>
      </c>
      <c r="B430" s="5" t="s">
        <v>4586</v>
      </c>
      <c r="C430" s="5" t="s">
        <v>294</v>
      </c>
      <c r="D430" s="5" t="s">
        <v>24</v>
      </c>
      <c r="E430" s="5" t="s">
        <v>1848</v>
      </c>
      <c r="F430" s="5" t="s">
        <v>1849</v>
      </c>
      <c r="G430" s="5" t="s">
        <v>24</v>
      </c>
      <c r="H430" s="5" t="s">
        <v>4587</v>
      </c>
      <c r="I430" s="5" t="s">
        <v>24</v>
      </c>
      <c r="J430" s="5" t="s">
        <v>24</v>
      </c>
      <c r="K430" s="5" t="s">
        <v>24</v>
      </c>
      <c r="L430" s="5" t="s">
        <v>24</v>
      </c>
      <c r="M430" s="5" t="s">
        <v>1885</v>
      </c>
      <c r="N430" s="5" t="s">
        <v>24</v>
      </c>
      <c r="O430" s="5" t="s">
        <v>3745</v>
      </c>
      <c r="P430" s="5" t="s">
        <v>24</v>
      </c>
      <c r="Q430" s="5" t="s">
        <v>24</v>
      </c>
      <c r="R430" s="5" t="s">
        <v>24</v>
      </c>
      <c r="S430" s="5" t="s">
        <v>1852</v>
      </c>
      <c r="T430" s="5" t="s">
        <v>2636</v>
      </c>
      <c r="U430" s="5" t="s">
        <v>2636</v>
      </c>
      <c r="V430" s="5" t="s">
        <v>1854</v>
      </c>
      <c r="W430" s="5" t="s">
        <v>24</v>
      </c>
      <c r="X430" s="5" t="s">
        <v>24</v>
      </c>
      <c r="Y430" s="5" t="s">
        <v>4588</v>
      </c>
      <c r="Z430" s="5" t="s">
        <v>4589</v>
      </c>
      <c r="AA430" s="5" t="s">
        <v>4589</v>
      </c>
      <c r="AB430" s="5" t="s">
        <v>4589</v>
      </c>
      <c r="AC430" s="5" t="s">
        <v>24</v>
      </c>
      <c r="AD430" s="5" t="s">
        <v>24</v>
      </c>
      <c r="AE430" s="5" t="s">
        <v>24</v>
      </c>
      <c r="AF430" s="5" t="s">
        <v>24</v>
      </c>
      <c r="AG430" s="5" t="s">
        <v>24</v>
      </c>
      <c r="AH430" s="5" t="s">
        <v>24</v>
      </c>
      <c r="AI430" s="5" t="s">
        <v>24</v>
      </c>
      <c r="AJ430" s="5" t="s">
        <v>24</v>
      </c>
      <c r="AK430" s="5" t="s">
        <v>24</v>
      </c>
      <c r="AL430" s="5" t="str">
        <f>VLOOKUP(mambo!$H430,Sheet1!B:C,2,FALSE)</f>
        <v>#N/A</v>
      </c>
    </row>
    <row r="431" ht="15.75" hidden="1" customHeight="1">
      <c r="A431" s="5" t="s">
        <v>4590</v>
      </c>
      <c r="B431" s="5" t="s">
        <v>4591</v>
      </c>
      <c r="C431" s="5" t="s">
        <v>294</v>
      </c>
      <c r="D431" s="5" t="s">
        <v>24</v>
      </c>
      <c r="E431" s="5" t="s">
        <v>1848</v>
      </c>
      <c r="F431" s="5" t="s">
        <v>1849</v>
      </c>
      <c r="G431" s="5" t="s">
        <v>24</v>
      </c>
      <c r="H431" s="5" t="s">
        <v>4592</v>
      </c>
      <c r="I431" s="5" t="s">
        <v>24</v>
      </c>
      <c r="J431" s="5" t="s">
        <v>24</v>
      </c>
      <c r="K431" s="5" t="s">
        <v>24</v>
      </c>
      <c r="L431" s="5" t="s">
        <v>24</v>
      </c>
      <c r="M431" s="5" t="s">
        <v>1885</v>
      </c>
      <c r="N431" s="5" t="s">
        <v>24</v>
      </c>
      <c r="O431" s="5" t="s">
        <v>3745</v>
      </c>
      <c r="P431" s="5" t="s">
        <v>24</v>
      </c>
      <c r="Q431" s="5" t="s">
        <v>24</v>
      </c>
      <c r="R431" s="5" t="s">
        <v>24</v>
      </c>
      <c r="S431" s="5" t="s">
        <v>1852</v>
      </c>
      <c r="T431" s="5" t="s">
        <v>2636</v>
      </c>
      <c r="U431" s="5" t="s">
        <v>2636</v>
      </c>
      <c r="V431" s="5" t="s">
        <v>1854</v>
      </c>
      <c r="W431" s="5" t="s">
        <v>24</v>
      </c>
      <c r="X431" s="5" t="s">
        <v>24</v>
      </c>
      <c r="Y431" s="5" t="s">
        <v>4593</v>
      </c>
      <c r="Z431" s="5" t="s">
        <v>4594</v>
      </c>
      <c r="AA431" s="5" t="s">
        <v>4594</v>
      </c>
      <c r="AB431" s="5" t="s">
        <v>4594</v>
      </c>
      <c r="AC431" s="5" t="s">
        <v>24</v>
      </c>
      <c r="AD431" s="5" t="s">
        <v>24</v>
      </c>
      <c r="AE431" s="5" t="s">
        <v>24</v>
      </c>
      <c r="AF431" s="5" t="s">
        <v>24</v>
      </c>
      <c r="AG431" s="5" t="s">
        <v>24</v>
      </c>
      <c r="AH431" s="5" t="s">
        <v>24</v>
      </c>
      <c r="AI431" s="5" t="s">
        <v>24</v>
      </c>
      <c r="AJ431" s="5" t="s">
        <v>24</v>
      </c>
      <c r="AK431" s="5" t="s">
        <v>24</v>
      </c>
      <c r="AL431" s="5" t="str">
        <f>VLOOKUP(mambo!$H431,Sheet1!B:C,2,FALSE)</f>
        <v>#N/A</v>
      </c>
    </row>
    <row r="432" ht="15.75" hidden="1" customHeight="1">
      <c r="A432" s="5" t="s">
        <v>4595</v>
      </c>
      <c r="B432" s="5" t="s">
        <v>4596</v>
      </c>
      <c r="C432" s="5" t="s">
        <v>294</v>
      </c>
      <c r="D432" s="5" t="s">
        <v>24</v>
      </c>
      <c r="E432" s="5" t="s">
        <v>1848</v>
      </c>
      <c r="F432" s="5" t="s">
        <v>1849</v>
      </c>
      <c r="G432" s="5" t="s">
        <v>24</v>
      </c>
      <c r="H432" s="5" t="s">
        <v>4597</v>
      </c>
      <c r="I432" s="5" t="s">
        <v>24</v>
      </c>
      <c r="J432" s="5" t="s">
        <v>24</v>
      </c>
      <c r="K432" s="5" t="s">
        <v>24</v>
      </c>
      <c r="L432" s="5" t="s">
        <v>24</v>
      </c>
      <c r="M432" s="5" t="s">
        <v>1885</v>
      </c>
      <c r="N432" s="5" t="s">
        <v>24</v>
      </c>
      <c r="O432" s="5" t="s">
        <v>3745</v>
      </c>
      <c r="P432" s="5" t="s">
        <v>24</v>
      </c>
      <c r="Q432" s="5" t="s">
        <v>24</v>
      </c>
      <c r="R432" s="5" t="s">
        <v>24</v>
      </c>
      <c r="S432" s="5" t="s">
        <v>1852</v>
      </c>
      <c r="T432" s="5" t="s">
        <v>2636</v>
      </c>
      <c r="U432" s="5" t="s">
        <v>2636</v>
      </c>
      <c r="V432" s="5" t="s">
        <v>1854</v>
      </c>
      <c r="W432" s="5" t="s">
        <v>24</v>
      </c>
      <c r="X432" s="5" t="s">
        <v>24</v>
      </c>
      <c r="Y432" s="5" t="s">
        <v>4598</v>
      </c>
      <c r="Z432" s="5" t="s">
        <v>4599</v>
      </c>
      <c r="AA432" s="5" t="s">
        <v>4599</v>
      </c>
      <c r="AB432" s="5" t="s">
        <v>4599</v>
      </c>
      <c r="AC432" s="5" t="s">
        <v>24</v>
      </c>
      <c r="AD432" s="5" t="s">
        <v>24</v>
      </c>
      <c r="AE432" s="5" t="s">
        <v>24</v>
      </c>
      <c r="AF432" s="5" t="s">
        <v>24</v>
      </c>
      <c r="AG432" s="5" t="s">
        <v>24</v>
      </c>
      <c r="AH432" s="5" t="s">
        <v>24</v>
      </c>
      <c r="AI432" s="5" t="s">
        <v>24</v>
      </c>
      <c r="AJ432" s="5" t="s">
        <v>24</v>
      </c>
      <c r="AK432" s="5" t="s">
        <v>24</v>
      </c>
      <c r="AL432" s="5" t="str">
        <f>VLOOKUP(mambo!$H432,Sheet1!B:C,2,FALSE)</f>
        <v>#N/A</v>
      </c>
    </row>
    <row r="433" ht="15.75" customHeight="1">
      <c r="A433" s="5" t="s">
        <v>4600</v>
      </c>
      <c r="B433" s="5" t="s">
        <v>4601</v>
      </c>
      <c r="C433" s="5" t="s">
        <v>503</v>
      </c>
      <c r="D433" s="5" t="s">
        <v>24</v>
      </c>
      <c r="E433" s="5" t="s">
        <v>1848</v>
      </c>
      <c r="F433" s="5" t="s">
        <v>1849</v>
      </c>
      <c r="G433" s="5" t="s">
        <v>24</v>
      </c>
      <c r="H433" s="5" t="s">
        <v>1235</v>
      </c>
      <c r="I433" s="5" t="s">
        <v>24</v>
      </c>
      <c r="J433" s="5" t="s">
        <v>24</v>
      </c>
      <c r="K433" s="5" t="s">
        <v>24</v>
      </c>
      <c r="L433" s="5" t="s">
        <v>24</v>
      </c>
      <c r="M433" s="5" t="s">
        <v>1885</v>
      </c>
      <c r="N433" s="5" t="s">
        <v>24</v>
      </c>
      <c r="O433" s="5" t="s">
        <v>3432</v>
      </c>
      <c r="P433" s="5" t="s">
        <v>24</v>
      </c>
      <c r="Q433" s="5" t="s">
        <v>24</v>
      </c>
      <c r="R433" s="5" t="s">
        <v>24</v>
      </c>
      <c r="S433" s="5" t="s">
        <v>1852</v>
      </c>
      <c r="T433" s="5" t="s">
        <v>3384</v>
      </c>
      <c r="U433" s="5" t="s">
        <v>3384</v>
      </c>
      <c r="V433" s="5" t="s">
        <v>1854</v>
      </c>
      <c r="W433" s="5" t="s">
        <v>24</v>
      </c>
      <c r="X433" s="5" t="s">
        <v>24</v>
      </c>
      <c r="Y433" s="5" t="s">
        <v>4602</v>
      </c>
      <c r="Z433" s="5" t="s">
        <v>4603</v>
      </c>
      <c r="AA433" s="5" t="s">
        <v>4603</v>
      </c>
      <c r="AB433" s="5" t="s">
        <v>4603</v>
      </c>
      <c r="AC433" s="5" t="s">
        <v>4604</v>
      </c>
      <c r="AD433" s="5" t="s">
        <v>4605</v>
      </c>
      <c r="AE433" s="5" t="s">
        <v>4606</v>
      </c>
      <c r="AF433" s="5" t="s">
        <v>4607</v>
      </c>
      <c r="AG433" s="5" t="s">
        <v>24</v>
      </c>
      <c r="AH433" s="5" t="s">
        <v>24</v>
      </c>
      <c r="AI433" s="5" t="s">
        <v>24</v>
      </c>
      <c r="AJ433" s="5" t="s">
        <v>24</v>
      </c>
      <c r="AK433" s="5" t="s">
        <v>24</v>
      </c>
      <c r="AL433" s="5" t="str">
        <f>VLOOKUP(mambo!$H433,Sheet1!B:C,2,FALSE)</f>
        <v>1403413</v>
      </c>
    </row>
    <row r="434" ht="15.75" customHeight="1">
      <c r="A434" s="5" t="s">
        <v>4608</v>
      </c>
      <c r="B434" s="5" t="s">
        <v>4609</v>
      </c>
      <c r="C434" s="5" t="s">
        <v>2126</v>
      </c>
      <c r="D434" s="5" t="s">
        <v>24</v>
      </c>
      <c r="E434" s="5" t="s">
        <v>1848</v>
      </c>
      <c r="F434" s="5" t="s">
        <v>1849</v>
      </c>
      <c r="G434" s="5" t="s">
        <v>24</v>
      </c>
      <c r="H434" s="5" t="s">
        <v>1519</v>
      </c>
      <c r="I434" s="5" t="s">
        <v>24</v>
      </c>
      <c r="J434" s="5" t="s">
        <v>24</v>
      </c>
      <c r="K434" s="5" t="s">
        <v>24</v>
      </c>
      <c r="L434" s="5" t="s">
        <v>24</v>
      </c>
      <c r="M434" s="5" t="s">
        <v>1885</v>
      </c>
      <c r="N434" s="5" t="s">
        <v>24</v>
      </c>
      <c r="O434" s="5" t="s">
        <v>2085</v>
      </c>
      <c r="P434" s="5" t="s">
        <v>24</v>
      </c>
      <c r="Q434" s="5" t="s">
        <v>24</v>
      </c>
      <c r="R434" s="5" t="s">
        <v>24</v>
      </c>
      <c r="S434" s="5" t="s">
        <v>1852</v>
      </c>
      <c r="T434" s="5" t="s">
        <v>2127</v>
      </c>
      <c r="U434" s="5" t="s">
        <v>2127</v>
      </c>
      <c r="V434" s="5" t="s">
        <v>1854</v>
      </c>
      <c r="W434" s="5" t="s">
        <v>24</v>
      </c>
      <c r="X434" s="5" t="s">
        <v>24</v>
      </c>
      <c r="Y434" s="5" t="s">
        <v>4610</v>
      </c>
      <c r="Z434" s="5" t="s">
        <v>4611</v>
      </c>
      <c r="AA434" s="5" t="s">
        <v>4611</v>
      </c>
      <c r="AB434" s="5" t="s">
        <v>4611</v>
      </c>
      <c r="AC434" s="5" t="s">
        <v>24</v>
      </c>
      <c r="AD434" s="5" t="s">
        <v>24</v>
      </c>
      <c r="AE434" s="5" t="s">
        <v>24</v>
      </c>
      <c r="AF434" s="5" t="s">
        <v>24</v>
      </c>
      <c r="AG434" s="5" t="s">
        <v>24</v>
      </c>
      <c r="AH434" s="5" t="s">
        <v>24</v>
      </c>
      <c r="AI434" s="5" t="s">
        <v>24</v>
      </c>
      <c r="AJ434" s="5" t="s">
        <v>24</v>
      </c>
      <c r="AK434" s="5" t="s">
        <v>24</v>
      </c>
      <c r="AL434" s="5" t="str">
        <f>VLOOKUP(mambo!$H434,Sheet1!B:C,2,FALSE)</f>
        <v>1405995</v>
      </c>
    </row>
    <row r="435" ht="15.75" customHeight="1">
      <c r="A435" s="5" t="s">
        <v>4612</v>
      </c>
      <c r="B435" s="5" t="s">
        <v>4613</v>
      </c>
      <c r="C435" s="5" t="s">
        <v>503</v>
      </c>
      <c r="D435" s="5" t="s">
        <v>24</v>
      </c>
      <c r="E435" s="5" t="s">
        <v>1848</v>
      </c>
      <c r="F435" s="5" t="s">
        <v>1849</v>
      </c>
      <c r="G435" s="5" t="s">
        <v>24</v>
      </c>
      <c r="H435" s="5" t="s">
        <v>1662</v>
      </c>
      <c r="I435" s="5" t="s">
        <v>24</v>
      </c>
      <c r="J435" s="5" t="s">
        <v>24</v>
      </c>
      <c r="K435" s="5" t="s">
        <v>24</v>
      </c>
      <c r="L435" s="5" t="s">
        <v>24</v>
      </c>
      <c r="M435" s="5" t="s">
        <v>1885</v>
      </c>
      <c r="N435" s="5" t="s">
        <v>24</v>
      </c>
      <c r="O435" s="5" t="s">
        <v>3432</v>
      </c>
      <c r="P435" s="5" t="s">
        <v>24</v>
      </c>
      <c r="Q435" s="5" t="s">
        <v>24</v>
      </c>
      <c r="R435" s="5" t="s">
        <v>24</v>
      </c>
      <c r="S435" s="5" t="s">
        <v>1852</v>
      </c>
      <c r="T435" s="5" t="s">
        <v>3403</v>
      </c>
      <c r="U435" s="5" t="s">
        <v>3403</v>
      </c>
      <c r="V435" s="5" t="s">
        <v>1854</v>
      </c>
      <c r="W435" s="5" t="s">
        <v>24</v>
      </c>
      <c r="X435" s="5" t="s">
        <v>24</v>
      </c>
      <c r="Y435" s="5" t="s">
        <v>4614</v>
      </c>
      <c r="Z435" s="5" t="s">
        <v>4615</v>
      </c>
      <c r="AA435" s="5" t="s">
        <v>4615</v>
      </c>
      <c r="AB435" s="5" t="s">
        <v>4615</v>
      </c>
      <c r="AC435" s="5" t="s">
        <v>4616</v>
      </c>
      <c r="AD435" s="5" t="s">
        <v>4617</v>
      </c>
      <c r="AE435" s="5" t="s">
        <v>4618</v>
      </c>
      <c r="AF435" s="5" t="s">
        <v>4619</v>
      </c>
      <c r="AG435" s="5" t="s">
        <v>24</v>
      </c>
      <c r="AH435" s="5" t="s">
        <v>24</v>
      </c>
      <c r="AI435" s="5" t="s">
        <v>24</v>
      </c>
      <c r="AJ435" s="5" t="s">
        <v>24</v>
      </c>
      <c r="AK435" s="5" t="s">
        <v>24</v>
      </c>
      <c r="AL435" s="5" t="str">
        <f>VLOOKUP(mambo!$H435,Sheet1!B:C,2,FALSE)</f>
        <v>1406805</v>
      </c>
    </row>
    <row r="436" ht="15.75" hidden="1" customHeight="1">
      <c r="A436" s="5" t="s">
        <v>4620</v>
      </c>
      <c r="B436" s="5" t="s">
        <v>4621</v>
      </c>
      <c r="C436" s="5" t="s">
        <v>503</v>
      </c>
      <c r="D436" s="5" t="s">
        <v>24</v>
      </c>
      <c r="E436" s="5" t="s">
        <v>1848</v>
      </c>
      <c r="F436" s="5" t="s">
        <v>1849</v>
      </c>
      <c r="G436" s="5" t="s">
        <v>24</v>
      </c>
      <c r="H436" s="5" t="s">
        <v>4622</v>
      </c>
      <c r="I436" s="5" t="s">
        <v>24</v>
      </c>
      <c r="J436" s="5" t="s">
        <v>24</v>
      </c>
      <c r="K436" s="5" t="s">
        <v>24</v>
      </c>
      <c r="L436" s="5" t="s">
        <v>24</v>
      </c>
      <c r="M436" s="5" t="s">
        <v>1885</v>
      </c>
      <c r="N436" s="5" t="s">
        <v>24</v>
      </c>
      <c r="O436" s="5" t="s">
        <v>3432</v>
      </c>
      <c r="P436" s="5" t="s">
        <v>24</v>
      </c>
      <c r="Q436" s="5" t="s">
        <v>24</v>
      </c>
      <c r="R436" s="5" t="s">
        <v>24</v>
      </c>
      <c r="S436" s="5" t="s">
        <v>1852</v>
      </c>
      <c r="T436" s="5" t="s">
        <v>3403</v>
      </c>
      <c r="U436" s="5" t="s">
        <v>3403</v>
      </c>
      <c r="V436" s="5" t="s">
        <v>1854</v>
      </c>
      <c r="W436" s="5" t="s">
        <v>24</v>
      </c>
      <c r="X436" s="5" t="s">
        <v>24</v>
      </c>
      <c r="Y436" s="5" t="s">
        <v>4623</v>
      </c>
      <c r="Z436" s="5" t="s">
        <v>4624</v>
      </c>
      <c r="AA436" s="5" t="s">
        <v>4624</v>
      </c>
      <c r="AB436" s="5" t="s">
        <v>4624</v>
      </c>
      <c r="AC436" s="5" t="s">
        <v>4625</v>
      </c>
      <c r="AD436" s="5" t="s">
        <v>4626</v>
      </c>
      <c r="AE436" s="5" t="s">
        <v>4627</v>
      </c>
      <c r="AF436" s="5" t="s">
        <v>4628</v>
      </c>
      <c r="AG436" s="5" t="s">
        <v>24</v>
      </c>
      <c r="AH436" s="5" t="s">
        <v>24</v>
      </c>
      <c r="AI436" s="5" t="s">
        <v>24</v>
      </c>
      <c r="AJ436" s="5" t="s">
        <v>24</v>
      </c>
      <c r="AK436" s="5" t="s">
        <v>24</v>
      </c>
      <c r="AL436" s="5" t="str">
        <f>VLOOKUP(mambo!$H436,Sheet1!B:C,2,FALSE)</f>
        <v>#N/A</v>
      </c>
    </row>
    <row r="437" ht="15.75" hidden="1" customHeight="1">
      <c r="A437" s="5" t="s">
        <v>4629</v>
      </c>
      <c r="B437" s="5" t="s">
        <v>4630</v>
      </c>
      <c r="C437" s="5" t="s">
        <v>503</v>
      </c>
      <c r="D437" s="5" t="s">
        <v>24</v>
      </c>
      <c r="E437" s="5" t="s">
        <v>1848</v>
      </c>
      <c r="F437" s="5" t="s">
        <v>1849</v>
      </c>
      <c r="G437" s="5" t="s">
        <v>24</v>
      </c>
      <c r="H437" s="5" t="s">
        <v>4631</v>
      </c>
      <c r="I437" s="5" t="s">
        <v>24</v>
      </c>
      <c r="J437" s="5" t="s">
        <v>24</v>
      </c>
      <c r="K437" s="5" t="s">
        <v>24</v>
      </c>
      <c r="L437" s="5" t="s">
        <v>24</v>
      </c>
      <c r="M437" s="5" t="s">
        <v>1885</v>
      </c>
      <c r="N437" s="5" t="s">
        <v>24</v>
      </c>
      <c r="O437" s="5" t="s">
        <v>3552</v>
      </c>
      <c r="P437" s="5" t="s">
        <v>24</v>
      </c>
      <c r="Q437" s="5" t="s">
        <v>24</v>
      </c>
      <c r="R437" s="5" t="s">
        <v>24</v>
      </c>
      <c r="S437" s="5" t="s">
        <v>1852</v>
      </c>
      <c r="T437" s="5" t="s">
        <v>3403</v>
      </c>
      <c r="U437" s="5" t="s">
        <v>3403</v>
      </c>
      <c r="V437" s="5" t="s">
        <v>1854</v>
      </c>
      <c r="W437" s="5" t="s">
        <v>24</v>
      </c>
      <c r="X437" s="5" t="s">
        <v>24</v>
      </c>
      <c r="Y437" s="5" t="s">
        <v>4632</v>
      </c>
      <c r="Z437" s="5" t="s">
        <v>4633</v>
      </c>
      <c r="AA437" s="5" t="s">
        <v>4633</v>
      </c>
      <c r="AB437" s="5" t="s">
        <v>4633</v>
      </c>
      <c r="AC437" s="5" t="s">
        <v>4634</v>
      </c>
      <c r="AD437" s="5" t="s">
        <v>24</v>
      </c>
      <c r="AE437" s="5" t="s">
        <v>24</v>
      </c>
      <c r="AF437" s="5" t="s">
        <v>24</v>
      </c>
      <c r="AG437" s="5" t="s">
        <v>24</v>
      </c>
      <c r="AH437" s="5" t="s">
        <v>24</v>
      </c>
      <c r="AI437" s="5" t="s">
        <v>24</v>
      </c>
      <c r="AJ437" s="5" t="s">
        <v>24</v>
      </c>
      <c r="AK437" s="5" t="s">
        <v>24</v>
      </c>
      <c r="AL437" s="5" t="str">
        <f>VLOOKUP(mambo!$H437,Sheet1!B:C,2,FALSE)</f>
        <v>#N/A</v>
      </c>
    </row>
    <row r="438" ht="15.75" hidden="1" customHeight="1">
      <c r="A438" s="5" t="s">
        <v>4635</v>
      </c>
      <c r="B438" s="5" t="s">
        <v>4636</v>
      </c>
      <c r="C438" s="5" t="s">
        <v>503</v>
      </c>
      <c r="D438" s="5" t="s">
        <v>24</v>
      </c>
      <c r="E438" s="5" t="s">
        <v>1848</v>
      </c>
      <c r="F438" s="5" t="s">
        <v>1849</v>
      </c>
      <c r="G438" s="5" t="s">
        <v>24</v>
      </c>
      <c r="H438" s="5" t="s">
        <v>4637</v>
      </c>
      <c r="I438" s="5" t="s">
        <v>24</v>
      </c>
      <c r="J438" s="5" t="s">
        <v>24</v>
      </c>
      <c r="K438" s="5" t="s">
        <v>24</v>
      </c>
      <c r="L438" s="5" t="s">
        <v>24</v>
      </c>
      <c r="M438" s="5" t="s">
        <v>1885</v>
      </c>
      <c r="N438" s="5" t="s">
        <v>24</v>
      </c>
      <c r="O438" s="5" t="s">
        <v>4638</v>
      </c>
      <c r="P438" s="5" t="s">
        <v>24</v>
      </c>
      <c r="Q438" s="5" t="s">
        <v>24</v>
      </c>
      <c r="R438" s="5" t="s">
        <v>24</v>
      </c>
      <c r="S438" s="5" t="s">
        <v>1852</v>
      </c>
      <c r="T438" s="5" t="s">
        <v>3403</v>
      </c>
      <c r="U438" s="5" t="s">
        <v>3403</v>
      </c>
      <c r="V438" s="5" t="s">
        <v>1854</v>
      </c>
      <c r="W438" s="5" t="s">
        <v>24</v>
      </c>
      <c r="X438" s="5" t="s">
        <v>24</v>
      </c>
      <c r="Y438" s="5" t="s">
        <v>4639</v>
      </c>
      <c r="Z438" s="5" t="s">
        <v>4640</v>
      </c>
      <c r="AA438" s="5" t="s">
        <v>4640</v>
      </c>
      <c r="AB438" s="5" t="s">
        <v>4640</v>
      </c>
      <c r="AC438" s="5" t="s">
        <v>4641</v>
      </c>
      <c r="AD438" s="5" t="s">
        <v>24</v>
      </c>
      <c r="AE438" s="5" t="s">
        <v>24</v>
      </c>
      <c r="AF438" s="5" t="s">
        <v>24</v>
      </c>
      <c r="AG438" s="5" t="s">
        <v>24</v>
      </c>
      <c r="AH438" s="5" t="s">
        <v>24</v>
      </c>
      <c r="AI438" s="5" t="s">
        <v>24</v>
      </c>
      <c r="AJ438" s="5" t="s">
        <v>24</v>
      </c>
      <c r="AK438" s="5" t="s">
        <v>24</v>
      </c>
      <c r="AL438" s="5" t="str">
        <f>VLOOKUP(mambo!$H438,Sheet1!B:C,2,FALSE)</f>
        <v>#N/A</v>
      </c>
    </row>
    <row r="439" ht="15.75" customHeight="1">
      <c r="A439" s="5" t="s">
        <v>4642</v>
      </c>
      <c r="B439" s="5" t="s">
        <v>4643</v>
      </c>
      <c r="C439" s="5" t="s">
        <v>503</v>
      </c>
      <c r="D439" s="5" t="s">
        <v>24</v>
      </c>
      <c r="E439" s="5" t="s">
        <v>1848</v>
      </c>
      <c r="F439" s="5" t="s">
        <v>1849</v>
      </c>
      <c r="G439" s="5" t="s">
        <v>24</v>
      </c>
      <c r="H439" s="5" t="s">
        <v>1549</v>
      </c>
      <c r="I439" s="5" t="s">
        <v>24</v>
      </c>
      <c r="J439" s="5" t="s">
        <v>24</v>
      </c>
      <c r="K439" s="5" t="s">
        <v>24</v>
      </c>
      <c r="L439" s="5" t="s">
        <v>24</v>
      </c>
      <c r="M439" s="5" t="s">
        <v>1885</v>
      </c>
      <c r="N439" s="5" t="s">
        <v>24</v>
      </c>
      <c r="O439" s="5" t="s">
        <v>1986</v>
      </c>
      <c r="P439" s="5" t="s">
        <v>24</v>
      </c>
      <c r="Q439" s="5" t="s">
        <v>24</v>
      </c>
      <c r="R439" s="5" t="s">
        <v>24</v>
      </c>
      <c r="S439" s="5" t="s">
        <v>1852</v>
      </c>
      <c r="T439" s="5" t="s">
        <v>3403</v>
      </c>
      <c r="U439" s="5" t="s">
        <v>3403</v>
      </c>
      <c r="V439" s="5" t="s">
        <v>1854</v>
      </c>
      <c r="W439" s="5" t="s">
        <v>24</v>
      </c>
      <c r="X439" s="5" t="s">
        <v>24</v>
      </c>
      <c r="Y439" s="5" t="s">
        <v>4644</v>
      </c>
      <c r="Z439" s="5" t="s">
        <v>4645</v>
      </c>
      <c r="AA439" s="5" t="s">
        <v>4645</v>
      </c>
      <c r="AB439" s="5" t="s">
        <v>4645</v>
      </c>
      <c r="AC439" s="5" t="s">
        <v>4646</v>
      </c>
      <c r="AD439" s="5" t="s">
        <v>4647</v>
      </c>
      <c r="AE439" s="5" t="s">
        <v>4648</v>
      </c>
      <c r="AF439" s="5" t="s">
        <v>4649</v>
      </c>
      <c r="AG439" s="5" t="s">
        <v>4650</v>
      </c>
      <c r="AH439" s="5" t="s">
        <v>4651</v>
      </c>
      <c r="AI439" s="5" t="s">
        <v>24</v>
      </c>
      <c r="AJ439" s="5" t="s">
        <v>24</v>
      </c>
      <c r="AK439" s="5" t="s">
        <v>24</v>
      </c>
      <c r="AL439" s="5" t="str">
        <f>VLOOKUP(mambo!$H439,Sheet1!B:C,2,FALSE)</f>
        <v>1406568</v>
      </c>
    </row>
    <row r="440" ht="15.75" hidden="1" customHeight="1">
      <c r="A440" s="5" t="s">
        <v>4652</v>
      </c>
      <c r="B440" s="5" t="s">
        <v>4653</v>
      </c>
      <c r="C440" s="5" t="s">
        <v>1915</v>
      </c>
      <c r="D440" s="5" t="s">
        <v>24</v>
      </c>
      <c r="E440" s="5" t="s">
        <v>1848</v>
      </c>
      <c r="F440" s="5" t="s">
        <v>1849</v>
      </c>
      <c r="G440" s="5" t="s">
        <v>24</v>
      </c>
      <c r="H440" s="5" t="s">
        <v>4654</v>
      </c>
      <c r="I440" s="5" t="s">
        <v>24</v>
      </c>
      <c r="J440" s="5" t="s">
        <v>24</v>
      </c>
      <c r="K440" s="5" t="s">
        <v>24</v>
      </c>
      <c r="L440" s="5" t="s">
        <v>24</v>
      </c>
      <c r="M440" s="5" t="s">
        <v>24</v>
      </c>
      <c r="N440" s="5" t="s">
        <v>24</v>
      </c>
      <c r="O440" s="5" t="s">
        <v>1933</v>
      </c>
      <c r="P440" s="5" t="s">
        <v>24</v>
      </c>
      <c r="Q440" s="5" t="s">
        <v>24</v>
      </c>
      <c r="R440" s="5" t="s">
        <v>24</v>
      </c>
      <c r="S440" s="5" t="s">
        <v>1852</v>
      </c>
      <c r="T440" s="5" t="s">
        <v>3212</v>
      </c>
      <c r="U440" s="5" t="s">
        <v>3212</v>
      </c>
      <c r="V440" s="5" t="s">
        <v>1854</v>
      </c>
      <c r="W440" s="5" t="s">
        <v>24</v>
      </c>
      <c r="X440" s="5" t="s">
        <v>24</v>
      </c>
      <c r="Y440" s="5" t="s">
        <v>4655</v>
      </c>
      <c r="Z440" s="5" t="s">
        <v>4656</v>
      </c>
      <c r="AA440" s="5" t="s">
        <v>4656</v>
      </c>
      <c r="AB440" s="5" t="s">
        <v>4656</v>
      </c>
      <c r="AC440" s="5" t="s">
        <v>24</v>
      </c>
      <c r="AD440" s="5" t="s">
        <v>24</v>
      </c>
      <c r="AE440" s="5" t="s">
        <v>24</v>
      </c>
      <c r="AF440" s="5" t="s">
        <v>24</v>
      </c>
      <c r="AG440" s="5" t="s">
        <v>24</v>
      </c>
      <c r="AH440" s="5" t="s">
        <v>24</v>
      </c>
      <c r="AI440" s="5" t="s">
        <v>24</v>
      </c>
      <c r="AJ440" s="5" t="s">
        <v>24</v>
      </c>
      <c r="AK440" s="5" t="s">
        <v>24</v>
      </c>
      <c r="AL440" s="5" t="str">
        <f>VLOOKUP(mambo!$H440,Sheet1!B:C,2,FALSE)</f>
        <v>#N/A</v>
      </c>
    </row>
    <row r="441" ht="15.75" customHeight="1">
      <c r="A441" s="5" t="s">
        <v>4657</v>
      </c>
      <c r="B441" s="5" t="s">
        <v>4658</v>
      </c>
      <c r="C441" s="5" t="s">
        <v>2126</v>
      </c>
      <c r="D441" s="5" t="s">
        <v>24</v>
      </c>
      <c r="E441" s="5" t="s">
        <v>1848</v>
      </c>
      <c r="F441" s="5" t="s">
        <v>1849</v>
      </c>
      <c r="G441" s="5" t="s">
        <v>24</v>
      </c>
      <c r="H441" s="5" t="s">
        <v>779</v>
      </c>
      <c r="I441" s="5" t="s">
        <v>24</v>
      </c>
      <c r="J441" s="5" t="s">
        <v>24</v>
      </c>
      <c r="K441" s="5" t="s">
        <v>24</v>
      </c>
      <c r="L441" s="5" t="s">
        <v>24</v>
      </c>
      <c r="M441" s="5" t="s">
        <v>24</v>
      </c>
      <c r="N441" s="5" t="s">
        <v>24</v>
      </c>
      <c r="O441" s="5" t="s">
        <v>1851</v>
      </c>
      <c r="P441" s="5" t="s">
        <v>24</v>
      </c>
      <c r="Q441" s="5" t="s">
        <v>24</v>
      </c>
      <c r="R441" s="5" t="s">
        <v>24</v>
      </c>
      <c r="S441" s="5" t="s">
        <v>1852</v>
      </c>
      <c r="T441" s="5" t="s">
        <v>4659</v>
      </c>
      <c r="U441" s="5" t="s">
        <v>4659</v>
      </c>
      <c r="V441" s="5" t="s">
        <v>1854</v>
      </c>
      <c r="W441" s="5" t="s">
        <v>24</v>
      </c>
      <c r="X441" s="5" t="s">
        <v>24</v>
      </c>
      <c r="Y441" s="5" t="s">
        <v>4660</v>
      </c>
      <c r="Z441" s="5" t="s">
        <v>4661</v>
      </c>
      <c r="AA441" s="5" t="s">
        <v>4661</v>
      </c>
      <c r="AB441" s="5" t="s">
        <v>4661</v>
      </c>
      <c r="AC441" s="5" t="s">
        <v>24</v>
      </c>
      <c r="AD441" s="5" t="s">
        <v>24</v>
      </c>
      <c r="AE441" s="5" t="s">
        <v>24</v>
      </c>
      <c r="AF441" s="5" t="s">
        <v>24</v>
      </c>
      <c r="AG441" s="5" t="s">
        <v>24</v>
      </c>
      <c r="AH441" s="5" t="s">
        <v>24</v>
      </c>
      <c r="AI441" s="5" t="s">
        <v>24</v>
      </c>
      <c r="AJ441" s="5" t="s">
        <v>24</v>
      </c>
      <c r="AK441" s="5" t="s">
        <v>24</v>
      </c>
      <c r="AL441" s="5" t="str">
        <f>VLOOKUP(mambo!$H441,Sheet1!B:C,2,FALSE)</f>
        <v>1153387</v>
      </c>
    </row>
    <row r="442" ht="15.75" hidden="1" customHeight="1">
      <c r="A442" s="5" t="s">
        <v>4662</v>
      </c>
      <c r="B442" s="5" t="s">
        <v>4663</v>
      </c>
      <c r="C442" s="5" t="s">
        <v>3302</v>
      </c>
      <c r="D442" s="5" t="s">
        <v>24</v>
      </c>
      <c r="E442" s="5" t="s">
        <v>1848</v>
      </c>
      <c r="F442" s="5" t="s">
        <v>1849</v>
      </c>
      <c r="G442" s="5" t="s">
        <v>24</v>
      </c>
      <c r="H442" s="5" t="s">
        <v>4664</v>
      </c>
      <c r="I442" s="5" t="s">
        <v>24</v>
      </c>
      <c r="J442" s="5" t="s">
        <v>24</v>
      </c>
      <c r="K442" s="5" t="s">
        <v>24</v>
      </c>
      <c r="L442" s="5" t="s">
        <v>24</v>
      </c>
      <c r="M442" s="5" t="s">
        <v>24</v>
      </c>
      <c r="N442" s="5" t="s">
        <v>24</v>
      </c>
      <c r="O442" s="5" t="s">
        <v>1933</v>
      </c>
      <c r="P442" s="5" t="s">
        <v>24</v>
      </c>
      <c r="Q442" s="5" t="s">
        <v>24</v>
      </c>
      <c r="R442" s="5" t="s">
        <v>24</v>
      </c>
      <c r="S442" s="5" t="s">
        <v>1852</v>
      </c>
      <c r="T442" s="5" t="s">
        <v>1861</v>
      </c>
      <c r="U442" s="5" t="s">
        <v>1861</v>
      </c>
      <c r="V442" s="5" t="s">
        <v>1854</v>
      </c>
      <c r="W442" s="5" t="s">
        <v>24</v>
      </c>
      <c r="X442" s="5" t="s">
        <v>24</v>
      </c>
      <c r="Y442" s="5" t="s">
        <v>4665</v>
      </c>
      <c r="Z442" s="5" t="s">
        <v>4666</v>
      </c>
      <c r="AA442" s="5" t="s">
        <v>4666</v>
      </c>
      <c r="AB442" s="5" t="s">
        <v>4666</v>
      </c>
      <c r="AC442" s="5" t="s">
        <v>24</v>
      </c>
      <c r="AD442" s="5" t="s">
        <v>24</v>
      </c>
      <c r="AE442" s="5" t="s">
        <v>24</v>
      </c>
      <c r="AF442" s="5" t="s">
        <v>24</v>
      </c>
      <c r="AG442" s="5" t="s">
        <v>24</v>
      </c>
      <c r="AH442" s="5" t="s">
        <v>24</v>
      </c>
      <c r="AI442" s="5" t="s">
        <v>24</v>
      </c>
      <c r="AJ442" s="5" t="s">
        <v>24</v>
      </c>
      <c r="AK442" s="5" t="s">
        <v>24</v>
      </c>
      <c r="AL442" s="5" t="str">
        <f>VLOOKUP(mambo!$H442,Sheet1!B:C,2,FALSE)</f>
        <v>#N/A</v>
      </c>
    </row>
    <row r="443" ht="15.75" hidden="1" customHeight="1">
      <c r="A443" s="5" t="s">
        <v>4667</v>
      </c>
      <c r="B443" s="5" t="s">
        <v>4668</v>
      </c>
      <c r="C443" s="5" t="s">
        <v>503</v>
      </c>
      <c r="D443" s="5" t="s">
        <v>24</v>
      </c>
      <c r="E443" s="5" t="s">
        <v>1848</v>
      </c>
      <c r="F443" s="5" t="s">
        <v>1849</v>
      </c>
      <c r="G443" s="5" t="s">
        <v>24</v>
      </c>
      <c r="H443" s="5" t="s">
        <v>4669</v>
      </c>
      <c r="I443" s="5" t="s">
        <v>24</v>
      </c>
      <c r="J443" s="5" t="s">
        <v>24</v>
      </c>
      <c r="K443" s="5" t="s">
        <v>24</v>
      </c>
      <c r="L443" s="5" t="s">
        <v>24</v>
      </c>
      <c r="M443" s="5" t="s">
        <v>1885</v>
      </c>
      <c r="N443" s="5" t="s">
        <v>24</v>
      </c>
      <c r="O443" s="5" t="s">
        <v>2984</v>
      </c>
      <c r="P443" s="5" t="s">
        <v>24</v>
      </c>
      <c r="Q443" s="5" t="s">
        <v>24</v>
      </c>
      <c r="R443" s="5" t="s">
        <v>24</v>
      </c>
      <c r="S443" s="5" t="s">
        <v>1852</v>
      </c>
      <c r="T443" s="5" t="s">
        <v>3403</v>
      </c>
      <c r="U443" s="5" t="s">
        <v>3403</v>
      </c>
      <c r="V443" s="5" t="s">
        <v>1854</v>
      </c>
      <c r="W443" s="5" t="s">
        <v>24</v>
      </c>
      <c r="X443" s="5" t="s">
        <v>24</v>
      </c>
      <c r="Y443" s="5" t="s">
        <v>4670</v>
      </c>
      <c r="Z443" s="5" t="s">
        <v>4671</v>
      </c>
      <c r="AA443" s="5" t="s">
        <v>4671</v>
      </c>
      <c r="AB443" s="5" t="s">
        <v>4671</v>
      </c>
      <c r="AC443" s="5" t="s">
        <v>4672</v>
      </c>
      <c r="AD443" s="5" t="s">
        <v>4673</v>
      </c>
      <c r="AE443" s="5" t="s">
        <v>4674</v>
      </c>
      <c r="AF443" s="5" t="s">
        <v>4675</v>
      </c>
      <c r="AG443" s="5" t="s">
        <v>24</v>
      </c>
      <c r="AH443" s="5" t="s">
        <v>24</v>
      </c>
      <c r="AI443" s="5" t="s">
        <v>24</v>
      </c>
      <c r="AJ443" s="5" t="s">
        <v>24</v>
      </c>
      <c r="AK443" s="5" t="s">
        <v>24</v>
      </c>
      <c r="AL443" s="5" t="str">
        <f>VLOOKUP(mambo!$H443,Sheet1!B:C,2,FALSE)</f>
        <v>#N/A</v>
      </c>
    </row>
    <row r="444" ht="15.75" hidden="1" customHeight="1">
      <c r="A444" s="5" t="s">
        <v>4676</v>
      </c>
      <c r="B444" s="5" t="s">
        <v>4677</v>
      </c>
      <c r="C444" s="5" t="s">
        <v>145</v>
      </c>
      <c r="D444" s="5" t="s">
        <v>24</v>
      </c>
      <c r="E444" s="5" t="s">
        <v>1848</v>
      </c>
      <c r="F444" s="5" t="s">
        <v>1849</v>
      </c>
      <c r="G444" s="5" t="s">
        <v>24</v>
      </c>
      <c r="H444" s="5" t="s">
        <v>4678</v>
      </c>
      <c r="I444" s="5" t="s">
        <v>24</v>
      </c>
      <c r="J444" s="5" t="s">
        <v>24</v>
      </c>
      <c r="K444" s="5" t="s">
        <v>24</v>
      </c>
      <c r="L444" s="5" t="s">
        <v>24</v>
      </c>
      <c r="M444" s="5" t="s">
        <v>24</v>
      </c>
      <c r="N444" s="5" t="s">
        <v>24</v>
      </c>
      <c r="O444" s="5" t="s">
        <v>1933</v>
      </c>
      <c r="P444" s="5" t="s">
        <v>24</v>
      </c>
      <c r="Q444" s="5" t="s">
        <v>24</v>
      </c>
      <c r="R444" s="5" t="s">
        <v>24</v>
      </c>
      <c r="S444" s="5" t="s">
        <v>1852</v>
      </c>
      <c r="T444" s="5" t="s">
        <v>2066</v>
      </c>
      <c r="U444" s="5" t="s">
        <v>2066</v>
      </c>
      <c r="V444" s="5" t="s">
        <v>1854</v>
      </c>
      <c r="W444" s="5" t="s">
        <v>24</v>
      </c>
      <c r="X444" s="5" t="s">
        <v>24</v>
      </c>
      <c r="Y444" s="5" t="s">
        <v>4679</v>
      </c>
      <c r="Z444" s="5" t="s">
        <v>4680</v>
      </c>
      <c r="AA444" s="5" t="s">
        <v>4680</v>
      </c>
      <c r="AB444" s="5" t="s">
        <v>4680</v>
      </c>
      <c r="AC444" s="5" t="s">
        <v>24</v>
      </c>
      <c r="AD444" s="5" t="s">
        <v>24</v>
      </c>
      <c r="AE444" s="5" t="s">
        <v>24</v>
      </c>
      <c r="AF444" s="5" t="s">
        <v>24</v>
      </c>
      <c r="AG444" s="5" t="s">
        <v>24</v>
      </c>
      <c r="AH444" s="5" t="s">
        <v>24</v>
      </c>
      <c r="AI444" s="5" t="s">
        <v>24</v>
      </c>
      <c r="AJ444" s="5" t="s">
        <v>24</v>
      </c>
      <c r="AK444" s="5" t="s">
        <v>24</v>
      </c>
      <c r="AL444" s="5" t="str">
        <f>VLOOKUP(mambo!$H444,Sheet1!B:C,2,FALSE)</f>
        <v>#N/A</v>
      </c>
    </row>
    <row r="445" ht="15.75" hidden="1" customHeight="1">
      <c r="A445" s="5" t="s">
        <v>4681</v>
      </c>
      <c r="B445" s="5" t="s">
        <v>4682</v>
      </c>
      <c r="C445" s="5" t="s">
        <v>145</v>
      </c>
      <c r="D445" s="5" t="s">
        <v>24</v>
      </c>
      <c r="E445" s="5" t="s">
        <v>1848</v>
      </c>
      <c r="F445" s="5" t="s">
        <v>1849</v>
      </c>
      <c r="G445" s="5" t="s">
        <v>24</v>
      </c>
      <c r="H445" s="5" t="s">
        <v>4683</v>
      </c>
      <c r="I445" s="5" t="s">
        <v>24</v>
      </c>
      <c r="J445" s="5" t="s">
        <v>24</v>
      </c>
      <c r="K445" s="5" t="s">
        <v>24</v>
      </c>
      <c r="L445" s="5" t="s">
        <v>24</v>
      </c>
      <c r="M445" s="5" t="s">
        <v>1885</v>
      </c>
      <c r="N445" s="5" t="s">
        <v>24</v>
      </c>
      <c r="O445" s="5" t="s">
        <v>1917</v>
      </c>
      <c r="P445" s="5" t="s">
        <v>24</v>
      </c>
      <c r="Q445" s="5" t="s">
        <v>24</v>
      </c>
      <c r="R445" s="5" t="s">
        <v>24</v>
      </c>
      <c r="S445" s="5" t="s">
        <v>1852</v>
      </c>
      <c r="T445" s="5" t="s">
        <v>1939</v>
      </c>
      <c r="U445" s="5" t="s">
        <v>1939</v>
      </c>
      <c r="V445" s="5" t="s">
        <v>1854</v>
      </c>
      <c r="W445" s="5" t="s">
        <v>24</v>
      </c>
      <c r="X445" s="5" t="s">
        <v>24</v>
      </c>
      <c r="Y445" s="5" t="s">
        <v>4684</v>
      </c>
      <c r="Z445" s="5" t="s">
        <v>4685</v>
      </c>
      <c r="AA445" s="5" t="s">
        <v>4685</v>
      </c>
      <c r="AB445" s="5" t="s">
        <v>4685</v>
      </c>
      <c r="AC445" s="5" t="s">
        <v>24</v>
      </c>
      <c r="AD445" s="5" t="s">
        <v>24</v>
      </c>
      <c r="AE445" s="5" t="s">
        <v>24</v>
      </c>
      <c r="AF445" s="5" t="s">
        <v>24</v>
      </c>
      <c r="AG445" s="5" t="s">
        <v>24</v>
      </c>
      <c r="AH445" s="5" t="s">
        <v>24</v>
      </c>
      <c r="AI445" s="5" t="s">
        <v>24</v>
      </c>
      <c r="AJ445" s="5" t="s">
        <v>24</v>
      </c>
      <c r="AK445" s="5" t="s">
        <v>24</v>
      </c>
      <c r="AL445" s="5" t="str">
        <f>VLOOKUP(mambo!$H445,Sheet1!B:C,2,FALSE)</f>
        <v>#N/A</v>
      </c>
    </row>
    <row r="446" ht="15.75" hidden="1" customHeight="1">
      <c r="A446" s="5" t="s">
        <v>4686</v>
      </c>
      <c r="B446" s="5" t="s">
        <v>4687</v>
      </c>
      <c r="C446" s="5" t="s">
        <v>145</v>
      </c>
      <c r="D446" s="5" t="s">
        <v>24</v>
      </c>
      <c r="E446" s="5" t="s">
        <v>1848</v>
      </c>
      <c r="F446" s="5" t="s">
        <v>1849</v>
      </c>
      <c r="G446" s="5" t="s">
        <v>24</v>
      </c>
      <c r="H446" s="5" t="s">
        <v>4688</v>
      </c>
      <c r="I446" s="5" t="s">
        <v>24</v>
      </c>
      <c r="J446" s="5" t="s">
        <v>24</v>
      </c>
      <c r="K446" s="5" t="s">
        <v>24</v>
      </c>
      <c r="L446" s="5" t="s">
        <v>24</v>
      </c>
      <c r="M446" s="5" t="s">
        <v>24</v>
      </c>
      <c r="N446" s="5" t="s">
        <v>24</v>
      </c>
      <c r="O446" s="5" t="s">
        <v>1933</v>
      </c>
      <c r="P446" s="5" t="s">
        <v>24</v>
      </c>
      <c r="Q446" s="5" t="s">
        <v>24</v>
      </c>
      <c r="R446" s="5" t="s">
        <v>24</v>
      </c>
      <c r="S446" s="5" t="s">
        <v>1852</v>
      </c>
      <c r="T446" s="5" t="s">
        <v>2066</v>
      </c>
      <c r="U446" s="5" t="s">
        <v>2066</v>
      </c>
      <c r="V446" s="5" t="s">
        <v>1854</v>
      </c>
      <c r="W446" s="5" t="s">
        <v>24</v>
      </c>
      <c r="X446" s="5" t="s">
        <v>24</v>
      </c>
      <c r="Y446" s="5" t="s">
        <v>4689</v>
      </c>
      <c r="Z446" s="5" t="s">
        <v>4690</v>
      </c>
      <c r="AA446" s="5" t="s">
        <v>4690</v>
      </c>
      <c r="AB446" s="5" t="s">
        <v>4690</v>
      </c>
      <c r="AC446" s="5" t="s">
        <v>24</v>
      </c>
      <c r="AD446" s="5" t="s">
        <v>24</v>
      </c>
      <c r="AE446" s="5" t="s">
        <v>24</v>
      </c>
      <c r="AF446" s="5" t="s">
        <v>24</v>
      </c>
      <c r="AG446" s="5" t="s">
        <v>24</v>
      </c>
      <c r="AH446" s="5" t="s">
        <v>24</v>
      </c>
      <c r="AI446" s="5" t="s">
        <v>24</v>
      </c>
      <c r="AJ446" s="5" t="s">
        <v>24</v>
      </c>
      <c r="AK446" s="5" t="s">
        <v>24</v>
      </c>
      <c r="AL446" s="5" t="str">
        <f>VLOOKUP(mambo!$H446,Sheet1!B:C,2,FALSE)</f>
        <v>#N/A</v>
      </c>
    </row>
    <row r="447" ht="15.75" hidden="1" customHeight="1">
      <c r="A447" s="5" t="s">
        <v>4691</v>
      </c>
      <c r="B447" s="5" t="s">
        <v>4692</v>
      </c>
      <c r="C447" s="5" t="s">
        <v>145</v>
      </c>
      <c r="D447" s="5" t="s">
        <v>24</v>
      </c>
      <c r="E447" s="5" t="s">
        <v>1848</v>
      </c>
      <c r="F447" s="5" t="s">
        <v>1849</v>
      </c>
      <c r="G447" s="5" t="s">
        <v>24</v>
      </c>
      <c r="H447" s="5" t="s">
        <v>4693</v>
      </c>
      <c r="I447" s="5" t="s">
        <v>24</v>
      </c>
      <c r="J447" s="5" t="s">
        <v>24</v>
      </c>
      <c r="K447" s="5" t="s">
        <v>24</v>
      </c>
      <c r="L447" s="5" t="s">
        <v>24</v>
      </c>
      <c r="M447" s="5" t="s">
        <v>1885</v>
      </c>
      <c r="N447" s="5" t="s">
        <v>24</v>
      </c>
      <c r="O447" s="5" t="s">
        <v>1917</v>
      </c>
      <c r="P447" s="5" t="s">
        <v>24</v>
      </c>
      <c r="Q447" s="5" t="s">
        <v>24</v>
      </c>
      <c r="R447" s="5" t="s">
        <v>24</v>
      </c>
      <c r="S447" s="5" t="s">
        <v>1852</v>
      </c>
      <c r="T447" s="5" t="s">
        <v>1939</v>
      </c>
      <c r="U447" s="5" t="s">
        <v>1939</v>
      </c>
      <c r="V447" s="5" t="s">
        <v>1854</v>
      </c>
      <c r="W447" s="5" t="s">
        <v>24</v>
      </c>
      <c r="X447" s="5" t="s">
        <v>24</v>
      </c>
      <c r="Y447" s="5" t="s">
        <v>4694</v>
      </c>
      <c r="Z447" s="5" t="s">
        <v>4695</v>
      </c>
      <c r="AA447" s="5" t="s">
        <v>4695</v>
      </c>
      <c r="AB447" s="5" t="s">
        <v>4695</v>
      </c>
      <c r="AC447" s="5" t="s">
        <v>24</v>
      </c>
      <c r="AD447" s="5" t="s">
        <v>24</v>
      </c>
      <c r="AE447" s="5" t="s">
        <v>24</v>
      </c>
      <c r="AF447" s="5" t="s">
        <v>24</v>
      </c>
      <c r="AG447" s="5" t="s">
        <v>24</v>
      </c>
      <c r="AH447" s="5" t="s">
        <v>24</v>
      </c>
      <c r="AI447" s="5" t="s">
        <v>24</v>
      </c>
      <c r="AJ447" s="5" t="s">
        <v>24</v>
      </c>
      <c r="AK447" s="5" t="s">
        <v>24</v>
      </c>
      <c r="AL447" s="5" t="str">
        <f>VLOOKUP(mambo!$H447,Sheet1!B:C,2,FALSE)</f>
        <v>#N/A</v>
      </c>
    </row>
    <row r="448" ht="15.75" hidden="1" customHeight="1">
      <c r="A448" s="5" t="s">
        <v>4696</v>
      </c>
      <c r="B448" s="5" t="s">
        <v>4697</v>
      </c>
      <c r="C448" s="5" t="s">
        <v>227</v>
      </c>
      <c r="D448" s="5" t="s">
        <v>24</v>
      </c>
      <c r="E448" s="5" t="s">
        <v>1848</v>
      </c>
      <c r="F448" s="5" t="s">
        <v>1849</v>
      </c>
      <c r="G448" s="5" t="s">
        <v>24</v>
      </c>
      <c r="H448" s="5" t="s">
        <v>4698</v>
      </c>
      <c r="I448" s="5" t="s">
        <v>24</v>
      </c>
      <c r="J448" s="5" t="s">
        <v>24</v>
      </c>
      <c r="K448" s="5" t="s">
        <v>24</v>
      </c>
      <c r="L448" s="5" t="s">
        <v>24</v>
      </c>
      <c r="M448" s="5" t="s">
        <v>24</v>
      </c>
      <c r="N448" s="5" t="s">
        <v>24</v>
      </c>
      <c r="O448" s="5" t="s">
        <v>1851</v>
      </c>
      <c r="P448" s="5" t="s">
        <v>24</v>
      </c>
      <c r="Q448" s="5" t="s">
        <v>24</v>
      </c>
      <c r="R448" s="5" t="s">
        <v>24</v>
      </c>
      <c r="S448" s="5" t="s">
        <v>1852</v>
      </c>
      <c r="T448" s="5" t="s">
        <v>2502</v>
      </c>
      <c r="U448" s="5" t="s">
        <v>2502</v>
      </c>
      <c r="V448" s="5" t="s">
        <v>1854</v>
      </c>
      <c r="W448" s="5" t="s">
        <v>24</v>
      </c>
      <c r="X448" s="5" t="s">
        <v>24</v>
      </c>
      <c r="Y448" s="5" t="s">
        <v>4699</v>
      </c>
      <c r="Z448" s="5" t="s">
        <v>4700</v>
      </c>
      <c r="AA448" s="5" t="s">
        <v>4700</v>
      </c>
      <c r="AB448" s="5" t="s">
        <v>4700</v>
      </c>
      <c r="AC448" s="5" t="s">
        <v>24</v>
      </c>
      <c r="AD448" s="5" t="s">
        <v>24</v>
      </c>
      <c r="AE448" s="5" t="s">
        <v>24</v>
      </c>
      <c r="AF448" s="5" t="s">
        <v>24</v>
      </c>
      <c r="AG448" s="5" t="s">
        <v>24</v>
      </c>
      <c r="AH448" s="5" t="s">
        <v>24</v>
      </c>
      <c r="AI448" s="5" t="s">
        <v>24</v>
      </c>
      <c r="AJ448" s="5" t="s">
        <v>24</v>
      </c>
      <c r="AK448" s="5" t="s">
        <v>24</v>
      </c>
      <c r="AL448" s="5" t="str">
        <f>VLOOKUP(mambo!$H448,Sheet1!B:C,2,FALSE)</f>
        <v>#N/A</v>
      </c>
    </row>
    <row r="449" ht="15.75" hidden="1" customHeight="1">
      <c r="A449" s="5" t="s">
        <v>4701</v>
      </c>
      <c r="B449" s="5" t="s">
        <v>4702</v>
      </c>
      <c r="C449" s="5" t="s">
        <v>117</v>
      </c>
      <c r="D449" s="5" t="s">
        <v>24</v>
      </c>
      <c r="E449" s="5" t="s">
        <v>1848</v>
      </c>
      <c r="F449" s="5" t="s">
        <v>1849</v>
      </c>
      <c r="G449" s="5" t="s">
        <v>24</v>
      </c>
      <c r="H449" s="5" t="s">
        <v>4703</v>
      </c>
      <c r="I449" s="5" t="s">
        <v>24</v>
      </c>
      <c r="J449" s="5" t="s">
        <v>24</v>
      </c>
      <c r="K449" s="5" t="s">
        <v>24</v>
      </c>
      <c r="L449" s="5" t="s">
        <v>24</v>
      </c>
      <c r="M449" s="5" t="s">
        <v>24</v>
      </c>
      <c r="N449" s="5" t="s">
        <v>24</v>
      </c>
      <c r="O449" s="5" t="s">
        <v>1933</v>
      </c>
      <c r="P449" s="5" t="s">
        <v>24</v>
      </c>
      <c r="Q449" s="5" t="s">
        <v>24</v>
      </c>
      <c r="R449" s="5" t="s">
        <v>24</v>
      </c>
      <c r="S449" s="5" t="s">
        <v>1852</v>
      </c>
      <c r="T449" s="5" t="s">
        <v>2047</v>
      </c>
      <c r="U449" s="5" t="s">
        <v>2047</v>
      </c>
      <c r="V449" s="5" t="s">
        <v>1854</v>
      </c>
      <c r="W449" s="5" t="s">
        <v>24</v>
      </c>
      <c r="X449" s="5" t="s">
        <v>24</v>
      </c>
      <c r="Y449" s="5" t="s">
        <v>4704</v>
      </c>
      <c r="Z449" s="5" t="s">
        <v>4705</v>
      </c>
      <c r="AA449" s="5" t="s">
        <v>4705</v>
      </c>
      <c r="AB449" s="5" t="s">
        <v>4705</v>
      </c>
      <c r="AC449" s="5" t="s">
        <v>24</v>
      </c>
      <c r="AD449" s="5" t="s">
        <v>24</v>
      </c>
      <c r="AE449" s="5" t="s">
        <v>24</v>
      </c>
      <c r="AF449" s="5" t="s">
        <v>24</v>
      </c>
      <c r="AG449" s="5" t="s">
        <v>24</v>
      </c>
      <c r="AH449" s="5" t="s">
        <v>24</v>
      </c>
      <c r="AI449" s="5" t="s">
        <v>24</v>
      </c>
      <c r="AJ449" s="5" t="s">
        <v>24</v>
      </c>
      <c r="AK449" s="5" t="s">
        <v>24</v>
      </c>
      <c r="AL449" s="5" t="str">
        <f>VLOOKUP(mambo!$H449,Sheet1!B:C,2,FALSE)</f>
        <v>#N/A</v>
      </c>
    </row>
    <row r="450" ht="15.75" hidden="1" customHeight="1">
      <c r="A450" s="5" t="s">
        <v>4706</v>
      </c>
      <c r="B450" s="5" t="s">
        <v>4707</v>
      </c>
      <c r="C450" s="5" t="s">
        <v>227</v>
      </c>
      <c r="D450" s="5" t="s">
        <v>24</v>
      </c>
      <c r="E450" s="5" t="s">
        <v>1848</v>
      </c>
      <c r="F450" s="5" t="s">
        <v>1849</v>
      </c>
      <c r="G450" s="5" t="s">
        <v>24</v>
      </c>
      <c r="H450" s="5" t="s">
        <v>4708</v>
      </c>
      <c r="I450" s="5" t="s">
        <v>24</v>
      </c>
      <c r="J450" s="5" t="s">
        <v>24</v>
      </c>
      <c r="K450" s="5" t="s">
        <v>24</v>
      </c>
      <c r="L450" s="5" t="s">
        <v>24</v>
      </c>
      <c r="M450" s="5" t="s">
        <v>1885</v>
      </c>
      <c r="N450" s="5" t="s">
        <v>24</v>
      </c>
      <c r="O450" s="5" t="s">
        <v>1978</v>
      </c>
      <c r="P450" s="5" t="s">
        <v>24</v>
      </c>
      <c r="Q450" s="5" t="s">
        <v>24</v>
      </c>
      <c r="R450" s="5" t="s">
        <v>24</v>
      </c>
      <c r="S450" s="5" t="s">
        <v>1852</v>
      </c>
      <c r="T450" s="5" t="s">
        <v>1970</v>
      </c>
      <c r="U450" s="5" t="s">
        <v>1970</v>
      </c>
      <c r="V450" s="5" t="s">
        <v>1854</v>
      </c>
      <c r="W450" s="5" t="s">
        <v>24</v>
      </c>
      <c r="X450" s="5" t="s">
        <v>24</v>
      </c>
      <c r="Y450" s="5" t="s">
        <v>4709</v>
      </c>
      <c r="Z450" s="5" t="s">
        <v>4710</v>
      </c>
      <c r="AA450" s="5" t="s">
        <v>4710</v>
      </c>
      <c r="AB450" s="5" t="s">
        <v>4710</v>
      </c>
      <c r="AC450" s="5" t="s">
        <v>24</v>
      </c>
      <c r="AD450" s="5" t="s">
        <v>24</v>
      </c>
      <c r="AE450" s="5" t="s">
        <v>24</v>
      </c>
      <c r="AF450" s="5" t="s">
        <v>24</v>
      </c>
      <c r="AG450" s="5" t="s">
        <v>24</v>
      </c>
      <c r="AH450" s="5" t="s">
        <v>24</v>
      </c>
      <c r="AI450" s="5" t="s">
        <v>24</v>
      </c>
      <c r="AJ450" s="5" t="s">
        <v>24</v>
      </c>
      <c r="AK450" s="5" t="s">
        <v>24</v>
      </c>
      <c r="AL450" s="5" t="str">
        <f>VLOOKUP(mambo!$H450,Sheet1!B:C,2,FALSE)</f>
        <v>#N/A</v>
      </c>
    </row>
    <row r="451" ht="15.75" customHeight="1">
      <c r="A451" s="5" t="s">
        <v>4711</v>
      </c>
      <c r="B451" s="5" t="s">
        <v>4712</v>
      </c>
      <c r="C451" s="5" t="s">
        <v>362</v>
      </c>
      <c r="D451" s="5" t="s">
        <v>24</v>
      </c>
      <c r="E451" s="5" t="s">
        <v>1848</v>
      </c>
      <c r="F451" s="5" t="s">
        <v>1849</v>
      </c>
      <c r="G451" s="5" t="s">
        <v>24</v>
      </c>
      <c r="H451" s="5" t="s">
        <v>1063</v>
      </c>
      <c r="I451" s="5" t="s">
        <v>24</v>
      </c>
      <c r="J451" s="5" t="s">
        <v>24</v>
      </c>
      <c r="K451" s="5" t="s">
        <v>24</v>
      </c>
      <c r="L451" s="5" t="s">
        <v>24</v>
      </c>
      <c r="M451" s="5" t="s">
        <v>1885</v>
      </c>
      <c r="N451" s="5" t="s">
        <v>24</v>
      </c>
      <c r="O451" s="5" t="s">
        <v>2085</v>
      </c>
      <c r="P451" s="5" t="s">
        <v>24</v>
      </c>
      <c r="Q451" s="5" t="s">
        <v>24</v>
      </c>
      <c r="R451" s="5" t="s">
        <v>24</v>
      </c>
      <c r="S451" s="5" t="s">
        <v>1852</v>
      </c>
      <c r="T451" s="5" t="s">
        <v>3039</v>
      </c>
      <c r="U451" s="5" t="s">
        <v>3039</v>
      </c>
      <c r="V451" s="5" t="s">
        <v>1854</v>
      </c>
      <c r="W451" s="5" t="s">
        <v>24</v>
      </c>
      <c r="X451" s="5" t="s">
        <v>24</v>
      </c>
      <c r="Y451" s="5" t="s">
        <v>4713</v>
      </c>
      <c r="Z451" s="5" t="s">
        <v>4714</v>
      </c>
      <c r="AA451" s="5" t="s">
        <v>4714</v>
      </c>
      <c r="AB451" s="5" t="s">
        <v>4714</v>
      </c>
      <c r="AC451" s="5" t="s">
        <v>24</v>
      </c>
      <c r="AD451" s="5" t="s">
        <v>24</v>
      </c>
      <c r="AE451" s="5" t="s">
        <v>24</v>
      </c>
      <c r="AF451" s="5" t="s">
        <v>24</v>
      </c>
      <c r="AG451" s="5" t="s">
        <v>24</v>
      </c>
      <c r="AH451" s="5" t="s">
        <v>24</v>
      </c>
      <c r="AI451" s="5" t="s">
        <v>24</v>
      </c>
      <c r="AJ451" s="5" t="s">
        <v>24</v>
      </c>
      <c r="AK451" s="5" t="s">
        <v>24</v>
      </c>
      <c r="AL451" s="5" t="str">
        <f>VLOOKUP(mambo!$H451,Sheet1!B:C,2,FALSE)</f>
        <v>1408383</v>
      </c>
    </row>
    <row r="452" ht="15.75" customHeight="1">
      <c r="A452" s="5" t="s">
        <v>4715</v>
      </c>
      <c r="B452" s="5" t="s">
        <v>4716</v>
      </c>
      <c r="C452" s="5" t="s">
        <v>362</v>
      </c>
      <c r="D452" s="5" t="s">
        <v>24</v>
      </c>
      <c r="E452" s="5" t="s">
        <v>1848</v>
      </c>
      <c r="F452" s="5" t="s">
        <v>1849</v>
      </c>
      <c r="G452" s="5" t="s">
        <v>24</v>
      </c>
      <c r="H452" s="5" t="s">
        <v>1383</v>
      </c>
      <c r="I452" s="5" t="s">
        <v>24</v>
      </c>
      <c r="J452" s="5" t="s">
        <v>24</v>
      </c>
      <c r="K452" s="5" t="s">
        <v>24</v>
      </c>
      <c r="L452" s="5" t="s">
        <v>24</v>
      </c>
      <c r="M452" s="5" t="s">
        <v>1885</v>
      </c>
      <c r="N452" s="5" t="s">
        <v>24</v>
      </c>
      <c r="O452" s="5" t="s">
        <v>2085</v>
      </c>
      <c r="P452" s="5" t="s">
        <v>24</v>
      </c>
      <c r="Q452" s="5" t="s">
        <v>24</v>
      </c>
      <c r="R452" s="5" t="s">
        <v>24</v>
      </c>
      <c r="S452" s="5" t="s">
        <v>1852</v>
      </c>
      <c r="T452" s="5" t="s">
        <v>3039</v>
      </c>
      <c r="U452" s="5" t="s">
        <v>3039</v>
      </c>
      <c r="V452" s="5" t="s">
        <v>1854</v>
      </c>
      <c r="W452" s="5" t="s">
        <v>24</v>
      </c>
      <c r="X452" s="5" t="s">
        <v>24</v>
      </c>
      <c r="Y452" s="5" t="s">
        <v>4717</v>
      </c>
      <c r="Z452" s="5" t="s">
        <v>4718</v>
      </c>
      <c r="AA452" s="5" t="s">
        <v>4718</v>
      </c>
      <c r="AB452" s="5" t="s">
        <v>4718</v>
      </c>
      <c r="AC452" s="5" t="s">
        <v>24</v>
      </c>
      <c r="AD452" s="5" t="s">
        <v>24</v>
      </c>
      <c r="AE452" s="5" t="s">
        <v>24</v>
      </c>
      <c r="AF452" s="5" t="s">
        <v>24</v>
      </c>
      <c r="AG452" s="5" t="s">
        <v>24</v>
      </c>
      <c r="AH452" s="5" t="s">
        <v>24</v>
      </c>
      <c r="AI452" s="5" t="s">
        <v>24</v>
      </c>
      <c r="AJ452" s="5" t="s">
        <v>24</v>
      </c>
      <c r="AK452" s="5" t="s">
        <v>24</v>
      </c>
      <c r="AL452" s="5" t="str">
        <f>VLOOKUP(mambo!$H452,Sheet1!B:C,2,FALSE)</f>
        <v>1408382</v>
      </c>
    </row>
    <row r="453" ht="15.75" customHeight="1">
      <c r="A453" s="5" t="s">
        <v>4719</v>
      </c>
      <c r="B453" s="5" t="s">
        <v>4720</v>
      </c>
      <c r="C453" s="5" t="s">
        <v>362</v>
      </c>
      <c r="D453" s="5" t="s">
        <v>24</v>
      </c>
      <c r="E453" s="5" t="s">
        <v>1848</v>
      </c>
      <c r="F453" s="5" t="s">
        <v>1849</v>
      </c>
      <c r="G453" s="5" t="s">
        <v>24</v>
      </c>
      <c r="H453" s="5" t="s">
        <v>1323</v>
      </c>
      <c r="I453" s="5" t="s">
        <v>24</v>
      </c>
      <c r="J453" s="5" t="s">
        <v>24</v>
      </c>
      <c r="K453" s="5" t="s">
        <v>24</v>
      </c>
      <c r="L453" s="5" t="s">
        <v>24</v>
      </c>
      <c r="M453" s="5" t="s">
        <v>1885</v>
      </c>
      <c r="N453" s="5" t="s">
        <v>24</v>
      </c>
      <c r="O453" s="5" t="s">
        <v>2085</v>
      </c>
      <c r="P453" s="5" t="s">
        <v>24</v>
      </c>
      <c r="Q453" s="5" t="s">
        <v>24</v>
      </c>
      <c r="R453" s="5" t="s">
        <v>24</v>
      </c>
      <c r="S453" s="5" t="s">
        <v>1852</v>
      </c>
      <c r="T453" s="5" t="s">
        <v>3039</v>
      </c>
      <c r="U453" s="5" t="s">
        <v>3039</v>
      </c>
      <c r="V453" s="5" t="s">
        <v>1854</v>
      </c>
      <c r="W453" s="5" t="s">
        <v>24</v>
      </c>
      <c r="X453" s="5" t="s">
        <v>24</v>
      </c>
      <c r="Y453" s="5" t="s">
        <v>4721</v>
      </c>
      <c r="Z453" s="5" t="s">
        <v>4722</v>
      </c>
      <c r="AA453" s="5" t="s">
        <v>4722</v>
      </c>
      <c r="AB453" s="5" t="s">
        <v>4722</v>
      </c>
      <c r="AC453" s="5" t="s">
        <v>24</v>
      </c>
      <c r="AD453" s="5" t="s">
        <v>24</v>
      </c>
      <c r="AE453" s="5" t="s">
        <v>24</v>
      </c>
      <c r="AF453" s="5" t="s">
        <v>24</v>
      </c>
      <c r="AG453" s="5" t="s">
        <v>24</v>
      </c>
      <c r="AH453" s="5" t="s">
        <v>24</v>
      </c>
      <c r="AI453" s="5" t="s">
        <v>24</v>
      </c>
      <c r="AJ453" s="5" t="s">
        <v>24</v>
      </c>
      <c r="AK453" s="5" t="s">
        <v>24</v>
      </c>
      <c r="AL453" s="5" t="str">
        <f>VLOOKUP(mambo!$H453,Sheet1!B:C,2,FALSE)</f>
        <v>1408384</v>
      </c>
    </row>
    <row r="454" ht="15.75" customHeight="1">
      <c r="A454" s="5" t="s">
        <v>4723</v>
      </c>
      <c r="B454" s="5" t="s">
        <v>4724</v>
      </c>
      <c r="C454" s="5" t="s">
        <v>362</v>
      </c>
      <c r="D454" s="5" t="s">
        <v>24</v>
      </c>
      <c r="E454" s="5" t="s">
        <v>1848</v>
      </c>
      <c r="F454" s="5" t="s">
        <v>1849</v>
      </c>
      <c r="G454" s="5" t="s">
        <v>24</v>
      </c>
      <c r="H454" s="5" t="s">
        <v>1747</v>
      </c>
      <c r="I454" s="5" t="s">
        <v>24</v>
      </c>
      <c r="J454" s="5" t="s">
        <v>24</v>
      </c>
      <c r="K454" s="5" t="s">
        <v>24</v>
      </c>
      <c r="L454" s="5" t="s">
        <v>24</v>
      </c>
      <c r="M454" s="5" t="s">
        <v>1885</v>
      </c>
      <c r="N454" s="5" t="s">
        <v>24</v>
      </c>
      <c r="O454" s="5" t="s">
        <v>2085</v>
      </c>
      <c r="P454" s="5" t="s">
        <v>24</v>
      </c>
      <c r="Q454" s="5" t="s">
        <v>24</v>
      </c>
      <c r="R454" s="5" t="s">
        <v>24</v>
      </c>
      <c r="S454" s="5" t="s">
        <v>1852</v>
      </c>
      <c r="T454" s="5" t="s">
        <v>3039</v>
      </c>
      <c r="U454" s="5" t="s">
        <v>3039</v>
      </c>
      <c r="V454" s="5" t="s">
        <v>1854</v>
      </c>
      <c r="W454" s="5" t="s">
        <v>24</v>
      </c>
      <c r="X454" s="5" t="s">
        <v>24</v>
      </c>
      <c r="Y454" s="5" t="s">
        <v>4725</v>
      </c>
      <c r="Z454" s="5" t="s">
        <v>4726</v>
      </c>
      <c r="AA454" s="5" t="s">
        <v>4726</v>
      </c>
      <c r="AB454" s="5" t="s">
        <v>4726</v>
      </c>
      <c r="AC454" s="5" t="s">
        <v>24</v>
      </c>
      <c r="AD454" s="5" t="s">
        <v>24</v>
      </c>
      <c r="AE454" s="5" t="s">
        <v>24</v>
      </c>
      <c r="AF454" s="5" t="s">
        <v>24</v>
      </c>
      <c r="AG454" s="5" t="s">
        <v>24</v>
      </c>
      <c r="AH454" s="5" t="s">
        <v>24</v>
      </c>
      <c r="AI454" s="5" t="s">
        <v>24</v>
      </c>
      <c r="AJ454" s="5" t="s">
        <v>24</v>
      </c>
      <c r="AK454" s="5" t="s">
        <v>24</v>
      </c>
      <c r="AL454" s="5" t="str">
        <f>VLOOKUP(mambo!$H454,Sheet1!B:C,2,FALSE)</f>
        <v>1408385</v>
      </c>
    </row>
    <row r="455" ht="15.75" customHeight="1">
      <c r="A455" s="5" t="s">
        <v>4727</v>
      </c>
      <c r="B455" s="5" t="s">
        <v>4728</v>
      </c>
      <c r="C455" s="5" t="s">
        <v>362</v>
      </c>
      <c r="D455" s="5" t="s">
        <v>24</v>
      </c>
      <c r="E455" s="5" t="s">
        <v>1848</v>
      </c>
      <c r="F455" s="5" t="s">
        <v>1849</v>
      </c>
      <c r="G455" s="5" t="s">
        <v>24</v>
      </c>
      <c r="H455" s="5" t="s">
        <v>733</v>
      </c>
      <c r="I455" s="5" t="s">
        <v>24</v>
      </c>
      <c r="J455" s="5" t="s">
        <v>24</v>
      </c>
      <c r="K455" s="5" t="s">
        <v>24</v>
      </c>
      <c r="L455" s="5" t="s">
        <v>24</v>
      </c>
      <c r="M455" s="5" t="s">
        <v>1885</v>
      </c>
      <c r="N455" s="5" t="s">
        <v>24</v>
      </c>
      <c r="O455" s="5" t="s">
        <v>2085</v>
      </c>
      <c r="P455" s="5" t="s">
        <v>24</v>
      </c>
      <c r="Q455" s="5" t="s">
        <v>24</v>
      </c>
      <c r="R455" s="5" t="s">
        <v>24</v>
      </c>
      <c r="S455" s="5" t="s">
        <v>1852</v>
      </c>
      <c r="T455" s="5" t="s">
        <v>3039</v>
      </c>
      <c r="U455" s="5" t="s">
        <v>3039</v>
      </c>
      <c r="V455" s="5" t="s">
        <v>1854</v>
      </c>
      <c r="W455" s="5" t="s">
        <v>24</v>
      </c>
      <c r="X455" s="5" t="s">
        <v>24</v>
      </c>
      <c r="Y455" s="5" t="s">
        <v>4729</v>
      </c>
      <c r="Z455" s="5" t="s">
        <v>4730</v>
      </c>
      <c r="AA455" s="5" t="s">
        <v>4730</v>
      </c>
      <c r="AB455" s="5" t="s">
        <v>4730</v>
      </c>
      <c r="AC455" s="5" t="s">
        <v>24</v>
      </c>
      <c r="AD455" s="5" t="s">
        <v>24</v>
      </c>
      <c r="AE455" s="5" t="s">
        <v>24</v>
      </c>
      <c r="AF455" s="5" t="s">
        <v>24</v>
      </c>
      <c r="AG455" s="5" t="s">
        <v>24</v>
      </c>
      <c r="AH455" s="5" t="s">
        <v>24</v>
      </c>
      <c r="AI455" s="5" t="s">
        <v>24</v>
      </c>
      <c r="AJ455" s="5" t="s">
        <v>24</v>
      </c>
      <c r="AK455" s="5" t="s">
        <v>24</v>
      </c>
      <c r="AL455" s="5" t="str">
        <f>VLOOKUP(mambo!$H455,Sheet1!B:C,2,FALSE)</f>
        <v>1408436</v>
      </c>
    </row>
    <row r="456" ht="15.75" customHeight="1">
      <c r="A456" s="5" t="s">
        <v>4731</v>
      </c>
      <c r="B456" s="5" t="s">
        <v>4732</v>
      </c>
      <c r="C456" s="5" t="s">
        <v>394</v>
      </c>
      <c r="D456" s="5" t="s">
        <v>24</v>
      </c>
      <c r="E456" s="5" t="s">
        <v>1848</v>
      </c>
      <c r="F456" s="5" t="s">
        <v>1849</v>
      </c>
      <c r="G456" s="5" t="s">
        <v>24</v>
      </c>
      <c r="H456" s="5" t="s">
        <v>1026</v>
      </c>
      <c r="I456" s="5" t="s">
        <v>24</v>
      </c>
      <c r="J456" s="5" t="s">
        <v>24</v>
      </c>
      <c r="K456" s="5" t="s">
        <v>24</v>
      </c>
      <c r="L456" s="5" t="s">
        <v>24</v>
      </c>
      <c r="M456" s="5" t="s">
        <v>24</v>
      </c>
      <c r="N456" s="5" t="s">
        <v>24</v>
      </c>
      <c r="O456" s="5" t="s">
        <v>1851</v>
      </c>
      <c r="P456" s="5" t="s">
        <v>24</v>
      </c>
      <c r="Q456" s="5" t="s">
        <v>24</v>
      </c>
      <c r="R456" s="5" t="s">
        <v>24</v>
      </c>
      <c r="S456" s="5" t="s">
        <v>1852</v>
      </c>
      <c r="T456" s="5" t="s">
        <v>3150</v>
      </c>
      <c r="U456" s="5" t="s">
        <v>3150</v>
      </c>
      <c r="V456" s="5" t="s">
        <v>1854</v>
      </c>
      <c r="W456" s="5" t="s">
        <v>24</v>
      </c>
      <c r="X456" s="5" t="s">
        <v>24</v>
      </c>
      <c r="Y456" s="5" t="s">
        <v>4733</v>
      </c>
      <c r="Z456" s="5" t="s">
        <v>4734</v>
      </c>
      <c r="AA456" s="5" t="s">
        <v>4734</v>
      </c>
      <c r="AB456" s="5" t="s">
        <v>4734</v>
      </c>
      <c r="AC456" s="5" t="s">
        <v>24</v>
      </c>
      <c r="AD456" s="5" t="s">
        <v>24</v>
      </c>
      <c r="AE456" s="5" t="s">
        <v>24</v>
      </c>
      <c r="AF456" s="5" t="s">
        <v>24</v>
      </c>
      <c r="AG456" s="5" t="s">
        <v>24</v>
      </c>
      <c r="AH456" s="5" t="s">
        <v>24</v>
      </c>
      <c r="AI456" s="5" t="s">
        <v>24</v>
      </c>
      <c r="AJ456" s="5" t="s">
        <v>24</v>
      </c>
      <c r="AK456" s="5" t="s">
        <v>24</v>
      </c>
      <c r="AL456" s="5" t="str">
        <f>VLOOKUP(mambo!$H456,Sheet1!B:C,2,FALSE)</f>
        <v>1344780</v>
      </c>
    </row>
    <row r="457" ht="15.75" hidden="1" customHeight="1">
      <c r="A457" s="5" t="s">
        <v>4735</v>
      </c>
      <c r="B457" s="5" t="s">
        <v>4736</v>
      </c>
      <c r="C457" s="5" t="s">
        <v>394</v>
      </c>
      <c r="D457" s="5" t="s">
        <v>24</v>
      </c>
      <c r="E457" s="5" t="s">
        <v>1848</v>
      </c>
      <c r="F457" s="5" t="s">
        <v>1849</v>
      </c>
      <c r="G457" s="5" t="s">
        <v>24</v>
      </c>
      <c r="H457" s="5" t="s">
        <v>4737</v>
      </c>
      <c r="I457" s="5" t="s">
        <v>24</v>
      </c>
      <c r="J457" s="5" t="s">
        <v>24</v>
      </c>
      <c r="K457" s="5" t="s">
        <v>24</v>
      </c>
      <c r="L457" s="5" t="s">
        <v>24</v>
      </c>
      <c r="M457" s="5" t="s">
        <v>24</v>
      </c>
      <c r="N457" s="5" t="s">
        <v>24</v>
      </c>
      <c r="O457" s="5" t="s">
        <v>1851</v>
      </c>
      <c r="P457" s="5" t="s">
        <v>24</v>
      </c>
      <c r="Q457" s="5" t="s">
        <v>24</v>
      </c>
      <c r="R457" s="5" t="s">
        <v>24</v>
      </c>
      <c r="S457" s="5" t="s">
        <v>1852</v>
      </c>
      <c r="T457" s="5" t="s">
        <v>3150</v>
      </c>
      <c r="U457" s="5" t="s">
        <v>3150</v>
      </c>
      <c r="V457" s="5" t="s">
        <v>1854</v>
      </c>
      <c r="W457" s="5" t="s">
        <v>24</v>
      </c>
      <c r="X457" s="5" t="s">
        <v>24</v>
      </c>
      <c r="Y457" s="5" t="s">
        <v>4738</v>
      </c>
      <c r="Z457" s="5" t="s">
        <v>4739</v>
      </c>
      <c r="AA457" s="5" t="s">
        <v>4739</v>
      </c>
      <c r="AB457" s="5" t="s">
        <v>4739</v>
      </c>
      <c r="AC457" s="5" t="s">
        <v>24</v>
      </c>
      <c r="AD457" s="5" t="s">
        <v>24</v>
      </c>
      <c r="AE457" s="5" t="s">
        <v>24</v>
      </c>
      <c r="AF457" s="5" t="s">
        <v>24</v>
      </c>
      <c r="AG457" s="5" t="s">
        <v>24</v>
      </c>
      <c r="AH457" s="5" t="s">
        <v>24</v>
      </c>
      <c r="AI457" s="5" t="s">
        <v>24</v>
      </c>
      <c r="AJ457" s="5" t="s">
        <v>24</v>
      </c>
      <c r="AK457" s="5" t="s">
        <v>24</v>
      </c>
      <c r="AL457" s="5" t="str">
        <f>VLOOKUP(mambo!$H457,Sheet1!B:C,2,FALSE)</f>
        <v>#N/A</v>
      </c>
    </row>
    <row r="458" ht="15.75" hidden="1" customHeight="1">
      <c r="A458" s="5" t="s">
        <v>4740</v>
      </c>
      <c r="B458" s="5" t="s">
        <v>4741</v>
      </c>
      <c r="C458" s="5" t="s">
        <v>2372</v>
      </c>
      <c r="D458" s="5" t="s">
        <v>24</v>
      </c>
      <c r="E458" s="5" t="s">
        <v>1848</v>
      </c>
      <c r="F458" s="5" t="s">
        <v>1849</v>
      </c>
      <c r="G458" s="5" t="s">
        <v>24</v>
      </c>
      <c r="H458" s="5" t="s">
        <v>4742</v>
      </c>
      <c r="I458" s="5" t="s">
        <v>24</v>
      </c>
      <c r="J458" s="5" t="s">
        <v>24</v>
      </c>
      <c r="K458" s="5" t="s">
        <v>24</v>
      </c>
      <c r="L458" s="5" t="s">
        <v>24</v>
      </c>
      <c r="M458" s="5" t="s">
        <v>24</v>
      </c>
      <c r="N458" s="5" t="s">
        <v>24</v>
      </c>
      <c r="O458" s="5" t="s">
        <v>1933</v>
      </c>
      <c r="P458" s="5" t="s">
        <v>24</v>
      </c>
      <c r="Q458" s="5" t="s">
        <v>24</v>
      </c>
      <c r="R458" s="5" t="s">
        <v>24</v>
      </c>
      <c r="S458" s="5" t="s">
        <v>1852</v>
      </c>
      <c r="T458" s="5" t="s">
        <v>4743</v>
      </c>
      <c r="U458" s="5" t="s">
        <v>4743</v>
      </c>
      <c r="V458" s="5" t="s">
        <v>1854</v>
      </c>
      <c r="W458" s="5" t="s">
        <v>24</v>
      </c>
      <c r="X458" s="5" t="s">
        <v>24</v>
      </c>
      <c r="Y458" s="5" t="s">
        <v>4744</v>
      </c>
      <c r="Z458" s="5" t="s">
        <v>4745</v>
      </c>
      <c r="AA458" s="5" t="s">
        <v>4745</v>
      </c>
      <c r="AB458" s="5" t="s">
        <v>4745</v>
      </c>
      <c r="AC458" s="5" t="s">
        <v>24</v>
      </c>
      <c r="AD458" s="5" t="s">
        <v>24</v>
      </c>
      <c r="AE458" s="5" t="s">
        <v>24</v>
      </c>
      <c r="AF458" s="5" t="s">
        <v>24</v>
      </c>
      <c r="AG458" s="5" t="s">
        <v>24</v>
      </c>
      <c r="AH458" s="5" t="s">
        <v>24</v>
      </c>
      <c r="AI458" s="5" t="s">
        <v>24</v>
      </c>
      <c r="AJ458" s="5" t="s">
        <v>24</v>
      </c>
      <c r="AK458" s="5" t="s">
        <v>24</v>
      </c>
      <c r="AL458" s="5" t="str">
        <f>VLOOKUP(mambo!$H458,Sheet1!B:C,2,FALSE)</f>
        <v>#N/A</v>
      </c>
    </row>
    <row r="459" ht="15.75" hidden="1" customHeight="1">
      <c r="A459" s="5" t="s">
        <v>4746</v>
      </c>
      <c r="B459" s="5" t="s">
        <v>4747</v>
      </c>
      <c r="C459" s="5" t="s">
        <v>503</v>
      </c>
      <c r="D459" s="5" t="s">
        <v>24</v>
      </c>
      <c r="E459" s="5" t="s">
        <v>1848</v>
      </c>
      <c r="F459" s="5" t="s">
        <v>1849</v>
      </c>
      <c r="G459" s="5" t="s">
        <v>24</v>
      </c>
      <c r="H459" s="5" t="s">
        <v>4748</v>
      </c>
      <c r="I459" s="5" t="s">
        <v>24</v>
      </c>
      <c r="J459" s="5" t="s">
        <v>24</v>
      </c>
      <c r="K459" s="5" t="s">
        <v>24</v>
      </c>
      <c r="L459" s="5" t="s">
        <v>24</v>
      </c>
      <c r="M459" s="5" t="s">
        <v>1885</v>
      </c>
      <c r="N459" s="5" t="s">
        <v>24</v>
      </c>
      <c r="O459" s="5" t="s">
        <v>3563</v>
      </c>
      <c r="P459" s="5" t="s">
        <v>24</v>
      </c>
      <c r="Q459" s="5" t="s">
        <v>24</v>
      </c>
      <c r="R459" s="5" t="s">
        <v>24</v>
      </c>
      <c r="S459" s="5" t="s">
        <v>1852</v>
      </c>
      <c r="T459" s="5" t="s">
        <v>4749</v>
      </c>
      <c r="U459" s="5" t="s">
        <v>4749</v>
      </c>
      <c r="V459" s="5" t="s">
        <v>1854</v>
      </c>
      <c r="W459" s="5" t="s">
        <v>24</v>
      </c>
      <c r="X459" s="5" t="s">
        <v>24</v>
      </c>
      <c r="Y459" s="5" t="s">
        <v>4750</v>
      </c>
      <c r="Z459" s="5" t="s">
        <v>4751</v>
      </c>
      <c r="AA459" s="5" t="s">
        <v>4751</v>
      </c>
      <c r="AB459" s="5" t="s">
        <v>4751</v>
      </c>
      <c r="AC459" s="5" t="s">
        <v>4752</v>
      </c>
      <c r="AD459" s="5" t="s">
        <v>4753</v>
      </c>
      <c r="AE459" s="5" t="s">
        <v>4754</v>
      </c>
      <c r="AF459" s="5" t="s">
        <v>24</v>
      </c>
      <c r="AG459" s="5" t="s">
        <v>24</v>
      </c>
      <c r="AH459" s="5" t="s">
        <v>24</v>
      </c>
      <c r="AI459" s="5" t="s">
        <v>24</v>
      </c>
      <c r="AJ459" s="5" t="s">
        <v>24</v>
      </c>
      <c r="AK459" s="5" t="s">
        <v>24</v>
      </c>
      <c r="AL459" s="5" t="str">
        <f>VLOOKUP(mambo!$H459,Sheet1!B:C,2,FALSE)</f>
        <v>#N/A</v>
      </c>
    </row>
    <row r="460" ht="15.75" customHeight="1">
      <c r="A460" s="5" t="s">
        <v>4755</v>
      </c>
      <c r="B460" s="5" t="s">
        <v>4756</v>
      </c>
      <c r="C460" s="5" t="s">
        <v>503</v>
      </c>
      <c r="D460" s="5" t="s">
        <v>24</v>
      </c>
      <c r="E460" s="5" t="s">
        <v>1848</v>
      </c>
      <c r="F460" s="5" t="s">
        <v>1849</v>
      </c>
      <c r="G460" s="5" t="s">
        <v>24</v>
      </c>
      <c r="H460" s="5" t="s">
        <v>1294</v>
      </c>
      <c r="I460" s="5" t="s">
        <v>24</v>
      </c>
      <c r="J460" s="5" t="s">
        <v>24</v>
      </c>
      <c r="K460" s="5" t="s">
        <v>24</v>
      </c>
      <c r="L460" s="5" t="s">
        <v>24</v>
      </c>
      <c r="M460" s="5" t="s">
        <v>1885</v>
      </c>
      <c r="N460" s="5" t="s">
        <v>24</v>
      </c>
      <c r="O460" s="5" t="s">
        <v>3432</v>
      </c>
      <c r="P460" s="5" t="s">
        <v>24</v>
      </c>
      <c r="Q460" s="5" t="s">
        <v>24</v>
      </c>
      <c r="R460" s="5" t="s">
        <v>24</v>
      </c>
      <c r="S460" s="5" t="s">
        <v>1852</v>
      </c>
      <c r="T460" s="5" t="s">
        <v>3403</v>
      </c>
      <c r="U460" s="5" t="s">
        <v>3403</v>
      </c>
      <c r="V460" s="5" t="s">
        <v>1854</v>
      </c>
      <c r="W460" s="5" t="s">
        <v>24</v>
      </c>
      <c r="X460" s="5" t="s">
        <v>24</v>
      </c>
      <c r="Y460" s="5" t="s">
        <v>4757</v>
      </c>
      <c r="Z460" s="5" t="s">
        <v>4758</v>
      </c>
      <c r="AA460" s="5" t="s">
        <v>4758</v>
      </c>
      <c r="AB460" s="5" t="s">
        <v>4758</v>
      </c>
      <c r="AC460" s="5" t="s">
        <v>4759</v>
      </c>
      <c r="AD460" s="5" t="s">
        <v>4760</v>
      </c>
      <c r="AE460" s="5" t="s">
        <v>4761</v>
      </c>
      <c r="AF460" s="5" t="s">
        <v>24</v>
      </c>
      <c r="AG460" s="5" t="s">
        <v>24</v>
      </c>
      <c r="AH460" s="5" t="s">
        <v>24</v>
      </c>
      <c r="AI460" s="5" t="s">
        <v>24</v>
      </c>
      <c r="AJ460" s="5" t="s">
        <v>24</v>
      </c>
      <c r="AK460" s="5" t="s">
        <v>24</v>
      </c>
      <c r="AL460" s="5" t="str">
        <f>VLOOKUP(mambo!$H460,Sheet1!B:C,2,FALSE)</f>
        <v>1415217</v>
      </c>
    </row>
    <row r="461" ht="15.75" hidden="1" customHeight="1">
      <c r="A461" s="5" t="s">
        <v>4762</v>
      </c>
      <c r="B461" s="5" t="s">
        <v>4763</v>
      </c>
      <c r="C461" s="5" t="s">
        <v>503</v>
      </c>
      <c r="D461" s="5" t="s">
        <v>24</v>
      </c>
      <c r="E461" s="5" t="s">
        <v>1848</v>
      </c>
      <c r="F461" s="5" t="s">
        <v>1849</v>
      </c>
      <c r="G461" s="5" t="s">
        <v>24</v>
      </c>
      <c r="H461" s="5" t="s">
        <v>4764</v>
      </c>
      <c r="I461" s="5" t="s">
        <v>24</v>
      </c>
      <c r="J461" s="5" t="s">
        <v>24</v>
      </c>
      <c r="K461" s="5" t="s">
        <v>24</v>
      </c>
      <c r="L461" s="5" t="s">
        <v>24</v>
      </c>
      <c r="M461" s="5" t="s">
        <v>4765</v>
      </c>
      <c r="N461" s="5" t="s">
        <v>24</v>
      </c>
      <c r="O461" s="5" t="s">
        <v>4766</v>
      </c>
      <c r="P461" s="5" t="s">
        <v>24</v>
      </c>
      <c r="Q461" s="5" t="s">
        <v>24</v>
      </c>
      <c r="R461" s="5" t="s">
        <v>24</v>
      </c>
      <c r="S461" s="5" t="s">
        <v>2020</v>
      </c>
      <c r="T461" s="5" t="s">
        <v>2021</v>
      </c>
      <c r="U461" s="5" t="s">
        <v>2021</v>
      </c>
      <c r="V461" s="5" t="s">
        <v>24</v>
      </c>
      <c r="W461" s="5" t="s">
        <v>24</v>
      </c>
      <c r="X461" s="5" t="s">
        <v>24</v>
      </c>
      <c r="Y461" s="5" t="s">
        <v>4767</v>
      </c>
      <c r="Z461" s="5" t="s">
        <v>4768</v>
      </c>
      <c r="AA461" s="5" t="s">
        <v>4768</v>
      </c>
      <c r="AB461" s="5" t="s">
        <v>4768</v>
      </c>
      <c r="AC461" s="5" t="s">
        <v>24</v>
      </c>
      <c r="AD461" s="5" t="s">
        <v>24</v>
      </c>
      <c r="AE461" s="5" t="s">
        <v>24</v>
      </c>
      <c r="AF461" s="5" t="s">
        <v>24</v>
      </c>
      <c r="AG461" s="5" t="s">
        <v>24</v>
      </c>
      <c r="AH461" s="5" t="s">
        <v>24</v>
      </c>
      <c r="AI461" s="5" t="s">
        <v>24</v>
      </c>
      <c r="AJ461" s="5" t="s">
        <v>24</v>
      </c>
      <c r="AK461" s="5" t="s">
        <v>24</v>
      </c>
      <c r="AL461" s="5" t="str">
        <f>VLOOKUP(mambo!$H461,Sheet1!B:C,2,FALSE)</f>
        <v>#N/A</v>
      </c>
    </row>
    <row r="462" ht="15.75" hidden="1" customHeight="1">
      <c r="A462" s="5" t="s">
        <v>4769</v>
      </c>
      <c r="B462" s="5" t="s">
        <v>4770</v>
      </c>
      <c r="C462" s="5" t="s">
        <v>3302</v>
      </c>
      <c r="D462" s="5" t="s">
        <v>24</v>
      </c>
      <c r="E462" s="5" t="s">
        <v>1848</v>
      </c>
      <c r="F462" s="5" t="s">
        <v>1849</v>
      </c>
      <c r="G462" s="5" t="s">
        <v>24</v>
      </c>
      <c r="H462" s="5" t="s">
        <v>4771</v>
      </c>
      <c r="I462" s="5" t="s">
        <v>24</v>
      </c>
      <c r="J462" s="5" t="s">
        <v>24</v>
      </c>
      <c r="K462" s="5" t="s">
        <v>24</v>
      </c>
      <c r="L462" s="5" t="s">
        <v>24</v>
      </c>
      <c r="M462" s="5" t="s">
        <v>24</v>
      </c>
      <c r="N462" s="5" t="s">
        <v>24</v>
      </c>
      <c r="O462" s="5" t="s">
        <v>1933</v>
      </c>
      <c r="P462" s="5" t="s">
        <v>24</v>
      </c>
      <c r="Q462" s="5" t="s">
        <v>24</v>
      </c>
      <c r="R462" s="5" t="s">
        <v>24</v>
      </c>
      <c r="S462" s="5" t="s">
        <v>1852</v>
      </c>
      <c r="T462" s="5" t="s">
        <v>3089</v>
      </c>
      <c r="U462" s="5" t="s">
        <v>3089</v>
      </c>
      <c r="V462" s="5" t="s">
        <v>1854</v>
      </c>
      <c r="W462" s="5" t="s">
        <v>24</v>
      </c>
      <c r="X462" s="5" t="s">
        <v>24</v>
      </c>
      <c r="Y462" s="5" t="s">
        <v>4772</v>
      </c>
      <c r="Z462" s="5" t="s">
        <v>4773</v>
      </c>
      <c r="AA462" s="5" t="s">
        <v>4773</v>
      </c>
      <c r="AB462" s="5" t="s">
        <v>4773</v>
      </c>
      <c r="AC462" s="5" t="s">
        <v>24</v>
      </c>
      <c r="AD462" s="5" t="s">
        <v>24</v>
      </c>
      <c r="AE462" s="5" t="s">
        <v>24</v>
      </c>
      <c r="AF462" s="5" t="s">
        <v>24</v>
      </c>
      <c r="AG462" s="5" t="s">
        <v>24</v>
      </c>
      <c r="AH462" s="5" t="s">
        <v>24</v>
      </c>
      <c r="AI462" s="5" t="s">
        <v>24</v>
      </c>
      <c r="AJ462" s="5" t="s">
        <v>24</v>
      </c>
      <c r="AK462" s="5" t="s">
        <v>24</v>
      </c>
      <c r="AL462" s="5" t="str">
        <f>VLOOKUP(mambo!$H462,Sheet1!B:C,2,FALSE)</f>
        <v>#N/A</v>
      </c>
    </row>
    <row r="463" ht="15.75" hidden="1" customHeight="1">
      <c r="A463" s="5" t="s">
        <v>4774</v>
      </c>
      <c r="B463" s="5" t="s">
        <v>4775</v>
      </c>
      <c r="C463" s="5" t="s">
        <v>3302</v>
      </c>
      <c r="D463" s="5" t="s">
        <v>24</v>
      </c>
      <c r="E463" s="5" t="s">
        <v>1848</v>
      </c>
      <c r="F463" s="5" t="s">
        <v>1849</v>
      </c>
      <c r="G463" s="5" t="s">
        <v>24</v>
      </c>
      <c r="H463" s="5" t="s">
        <v>4776</v>
      </c>
      <c r="I463" s="5" t="s">
        <v>24</v>
      </c>
      <c r="J463" s="5" t="s">
        <v>24</v>
      </c>
      <c r="K463" s="5" t="s">
        <v>24</v>
      </c>
      <c r="L463" s="5" t="s">
        <v>24</v>
      </c>
      <c r="M463" s="5" t="s">
        <v>24</v>
      </c>
      <c r="N463" s="5" t="s">
        <v>24</v>
      </c>
      <c r="O463" s="5" t="s">
        <v>1933</v>
      </c>
      <c r="P463" s="5" t="s">
        <v>24</v>
      </c>
      <c r="Q463" s="5" t="s">
        <v>24</v>
      </c>
      <c r="R463" s="5" t="s">
        <v>24</v>
      </c>
      <c r="S463" s="5" t="s">
        <v>1852</v>
      </c>
      <c r="T463" s="5" t="s">
        <v>3089</v>
      </c>
      <c r="U463" s="5" t="s">
        <v>3089</v>
      </c>
      <c r="V463" s="5" t="s">
        <v>1854</v>
      </c>
      <c r="W463" s="5" t="s">
        <v>24</v>
      </c>
      <c r="X463" s="5" t="s">
        <v>24</v>
      </c>
      <c r="Y463" s="5" t="s">
        <v>4777</v>
      </c>
      <c r="Z463" s="5" t="s">
        <v>4778</v>
      </c>
      <c r="AA463" s="5" t="s">
        <v>4778</v>
      </c>
      <c r="AB463" s="5" t="s">
        <v>4778</v>
      </c>
      <c r="AC463" s="5" t="s">
        <v>24</v>
      </c>
      <c r="AD463" s="5" t="s">
        <v>24</v>
      </c>
      <c r="AE463" s="5" t="s">
        <v>24</v>
      </c>
      <c r="AF463" s="5" t="s">
        <v>24</v>
      </c>
      <c r="AG463" s="5" t="s">
        <v>24</v>
      </c>
      <c r="AH463" s="5" t="s">
        <v>24</v>
      </c>
      <c r="AI463" s="5" t="s">
        <v>24</v>
      </c>
      <c r="AJ463" s="5" t="s">
        <v>24</v>
      </c>
      <c r="AK463" s="5" t="s">
        <v>24</v>
      </c>
      <c r="AL463" s="5" t="str">
        <f>VLOOKUP(mambo!$H463,Sheet1!B:C,2,FALSE)</f>
        <v>#N/A</v>
      </c>
    </row>
    <row r="464" ht="15.75" hidden="1" customHeight="1">
      <c r="A464" s="5" t="s">
        <v>4779</v>
      </c>
      <c r="B464" s="5" t="s">
        <v>4780</v>
      </c>
      <c r="C464" s="5" t="s">
        <v>3302</v>
      </c>
      <c r="D464" s="5" t="s">
        <v>24</v>
      </c>
      <c r="E464" s="5" t="s">
        <v>1848</v>
      </c>
      <c r="F464" s="5" t="s">
        <v>1849</v>
      </c>
      <c r="G464" s="5" t="s">
        <v>24</v>
      </c>
      <c r="H464" s="5" t="s">
        <v>4781</v>
      </c>
      <c r="I464" s="5" t="s">
        <v>24</v>
      </c>
      <c r="J464" s="5" t="s">
        <v>24</v>
      </c>
      <c r="K464" s="5" t="s">
        <v>24</v>
      </c>
      <c r="L464" s="5" t="s">
        <v>24</v>
      </c>
      <c r="M464" s="5" t="s">
        <v>24</v>
      </c>
      <c r="N464" s="5" t="s">
        <v>24</v>
      </c>
      <c r="O464" s="5" t="s">
        <v>1933</v>
      </c>
      <c r="P464" s="5" t="s">
        <v>24</v>
      </c>
      <c r="Q464" s="5" t="s">
        <v>24</v>
      </c>
      <c r="R464" s="5" t="s">
        <v>24</v>
      </c>
      <c r="S464" s="5" t="s">
        <v>1852</v>
      </c>
      <c r="T464" s="5" t="s">
        <v>1861</v>
      </c>
      <c r="U464" s="5" t="s">
        <v>1861</v>
      </c>
      <c r="V464" s="5" t="s">
        <v>1854</v>
      </c>
      <c r="W464" s="5" t="s">
        <v>24</v>
      </c>
      <c r="X464" s="5" t="s">
        <v>24</v>
      </c>
      <c r="Y464" s="5" t="s">
        <v>4782</v>
      </c>
      <c r="Z464" s="5" t="s">
        <v>4783</v>
      </c>
      <c r="AA464" s="5" t="s">
        <v>4783</v>
      </c>
      <c r="AB464" s="5" t="s">
        <v>4783</v>
      </c>
      <c r="AC464" s="5" t="s">
        <v>24</v>
      </c>
      <c r="AD464" s="5" t="s">
        <v>24</v>
      </c>
      <c r="AE464" s="5" t="s">
        <v>24</v>
      </c>
      <c r="AF464" s="5" t="s">
        <v>24</v>
      </c>
      <c r="AG464" s="5" t="s">
        <v>24</v>
      </c>
      <c r="AH464" s="5" t="s">
        <v>24</v>
      </c>
      <c r="AI464" s="5" t="s">
        <v>24</v>
      </c>
      <c r="AJ464" s="5" t="s">
        <v>24</v>
      </c>
      <c r="AK464" s="5" t="s">
        <v>24</v>
      </c>
      <c r="AL464" s="5" t="str">
        <f>VLOOKUP(mambo!$H464,Sheet1!B:C,2,FALSE)</f>
        <v>#N/A</v>
      </c>
    </row>
    <row r="465" ht="15.75" hidden="1" customHeight="1">
      <c r="A465" s="5" t="s">
        <v>4784</v>
      </c>
      <c r="B465" s="5" t="s">
        <v>4785</v>
      </c>
      <c r="C465" s="5" t="s">
        <v>2126</v>
      </c>
      <c r="D465" s="5" t="s">
        <v>24</v>
      </c>
      <c r="E465" s="5" t="s">
        <v>1848</v>
      </c>
      <c r="F465" s="5" t="s">
        <v>1849</v>
      </c>
      <c r="G465" s="5" t="s">
        <v>24</v>
      </c>
      <c r="H465" s="5" t="s">
        <v>4786</v>
      </c>
      <c r="I465" s="5" t="s">
        <v>24</v>
      </c>
      <c r="J465" s="5" t="s">
        <v>24</v>
      </c>
      <c r="K465" s="5" t="s">
        <v>24</v>
      </c>
      <c r="L465" s="5" t="s">
        <v>24</v>
      </c>
      <c r="M465" s="5" t="s">
        <v>24</v>
      </c>
      <c r="N465" s="5" t="s">
        <v>24</v>
      </c>
      <c r="O465" s="5" t="s">
        <v>4787</v>
      </c>
      <c r="P465" s="5" t="s">
        <v>24</v>
      </c>
      <c r="Q465" s="5" t="s">
        <v>24</v>
      </c>
      <c r="R465" s="5" t="s">
        <v>24</v>
      </c>
      <c r="S465" s="5" t="s">
        <v>1852</v>
      </c>
      <c r="T465" s="5" t="s">
        <v>4788</v>
      </c>
      <c r="U465" s="5" t="s">
        <v>4788</v>
      </c>
      <c r="V465" s="5" t="s">
        <v>1854</v>
      </c>
      <c r="W465" s="5" t="s">
        <v>24</v>
      </c>
      <c r="X465" s="5" t="s">
        <v>24</v>
      </c>
      <c r="Y465" s="5" t="s">
        <v>4789</v>
      </c>
      <c r="Z465" s="5" t="s">
        <v>4790</v>
      </c>
      <c r="AA465" s="5" t="s">
        <v>4790</v>
      </c>
      <c r="AB465" s="5" t="s">
        <v>4790</v>
      </c>
      <c r="AC465" s="5" t="s">
        <v>24</v>
      </c>
      <c r="AD465" s="5" t="s">
        <v>24</v>
      </c>
      <c r="AE465" s="5" t="s">
        <v>24</v>
      </c>
      <c r="AF465" s="5" t="s">
        <v>24</v>
      </c>
      <c r="AG465" s="5" t="s">
        <v>24</v>
      </c>
      <c r="AH465" s="5" t="s">
        <v>24</v>
      </c>
      <c r="AI465" s="5" t="s">
        <v>24</v>
      </c>
      <c r="AJ465" s="5" t="s">
        <v>24</v>
      </c>
      <c r="AK465" s="5" t="s">
        <v>24</v>
      </c>
      <c r="AL465" s="5" t="str">
        <f>VLOOKUP(mambo!$H465,Sheet1!B:C,2,FALSE)</f>
        <v>#N/A</v>
      </c>
    </row>
    <row r="466" ht="15.75" customHeight="1">
      <c r="A466" s="5" t="s">
        <v>4791</v>
      </c>
      <c r="B466" s="5" t="s">
        <v>4792</v>
      </c>
      <c r="C466" s="5" t="s">
        <v>503</v>
      </c>
      <c r="D466" s="5" t="s">
        <v>24</v>
      </c>
      <c r="E466" s="5" t="s">
        <v>1848</v>
      </c>
      <c r="F466" s="5" t="s">
        <v>1849</v>
      </c>
      <c r="G466" s="5" t="s">
        <v>24</v>
      </c>
      <c r="H466" s="5" t="s">
        <v>1276</v>
      </c>
      <c r="I466" s="5" t="s">
        <v>24</v>
      </c>
      <c r="J466" s="5" t="s">
        <v>24</v>
      </c>
      <c r="K466" s="5" t="s">
        <v>24</v>
      </c>
      <c r="L466" s="5" t="s">
        <v>24</v>
      </c>
      <c r="M466" s="5" t="s">
        <v>24</v>
      </c>
      <c r="N466" s="5" t="s">
        <v>24</v>
      </c>
      <c r="O466" s="5" t="s">
        <v>1933</v>
      </c>
      <c r="P466" s="5" t="s">
        <v>24</v>
      </c>
      <c r="Q466" s="5" t="s">
        <v>24</v>
      </c>
      <c r="R466" s="5" t="s">
        <v>24</v>
      </c>
      <c r="S466" s="5" t="s">
        <v>1852</v>
      </c>
      <c r="T466" s="5" t="s">
        <v>4793</v>
      </c>
      <c r="U466" s="5" t="s">
        <v>4793</v>
      </c>
      <c r="V466" s="5" t="s">
        <v>1854</v>
      </c>
      <c r="W466" s="5" t="s">
        <v>24</v>
      </c>
      <c r="X466" s="5" t="s">
        <v>24</v>
      </c>
      <c r="Y466" s="5" t="s">
        <v>4794</v>
      </c>
      <c r="Z466" s="5" t="s">
        <v>4795</v>
      </c>
      <c r="AA466" s="5" t="s">
        <v>4795</v>
      </c>
      <c r="AB466" s="5" t="s">
        <v>4795</v>
      </c>
      <c r="AC466" s="5" t="s">
        <v>24</v>
      </c>
      <c r="AD466" s="5" t="s">
        <v>24</v>
      </c>
      <c r="AE466" s="5" t="s">
        <v>24</v>
      </c>
      <c r="AF466" s="5" t="s">
        <v>24</v>
      </c>
      <c r="AG466" s="5" t="s">
        <v>24</v>
      </c>
      <c r="AH466" s="5" t="s">
        <v>24</v>
      </c>
      <c r="AI466" s="5" t="s">
        <v>24</v>
      </c>
      <c r="AJ466" s="5" t="s">
        <v>24</v>
      </c>
      <c r="AK466" s="5" t="s">
        <v>24</v>
      </c>
      <c r="AL466" s="5" t="str">
        <f>VLOOKUP(mambo!$H466,Sheet1!B:C,2,FALSE)</f>
        <v>1413464</v>
      </c>
    </row>
    <row r="467" ht="15.75" customHeight="1">
      <c r="A467" s="5" t="s">
        <v>4796</v>
      </c>
      <c r="B467" s="5" t="s">
        <v>4797</v>
      </c>
      <c r="C467" s="5" t="s">
        <v>503</v>
      </c>
      <c r="D467" s="5" t="s">
        <v>24</v>
      </c>
      <c r="E467" s="5" t="s">
        <v>1848</v>
      </c>
      <c r="F467" s="5" t="s">
        <v>1849</v>
      </c>
      <c r="G467" s="5" t="s">
        <v>24</v>
      </c>
      <c r="H467" s="5" t="s">
        <v>1143</v>
      </c>
      <c r="I467" s="5" t="s">
        <v>24</v>
      </c>
      <c r="J467" s="5" t="s">
        <v>24</v>
      </c>
      <c r="K467" s="5" t="s">
        <v>24</v>
      </c>
      <c r="L467" s="5" t="s">
        <v>24</v>
      </c>
      <c r="M467" s="5" t="s">
        <v>4504</v>
      </c>
      <c r="N467" s="5" t="s">
        <v>24</v>
      </c>
      <c r="O467" s="5" t="s">
        <v>4798</v>
      </c>
      <c r="P467" s="5" t="s">
        <v>24</v>
      </c>
      <c r="Q467" s="5" t="s">
        <v>24</v>
      </c>
      <c r="R467" s="5" t="s">
        <v>24</v>
      </c>
      <c r="S467" s="5" t="s">
        <v>1852</v>
      </c>
      <c r="T467" s="5" t="s">
        <v>4799</v>
      </c>
      <c r="U467" s="5" t="s">
        <v>4799</v>
      </c>
      <c r="V467" s="5" t="s">
        <v>1854</v>
      </c>
      <c r="W467" s="5" t="s">
        <v>24</v>
      </c>
      <c r="X467" s="5" t="s">
        <v>24</v>
      </c>
      <c r="Y467" s="5" t="s">
        <v>4800</v>
      </c>
      <c r="Z467" s="5" t="s">
        <v>4801</v>
      </c>
      <c r="AA467" s="5" t="s">
        <v>4801</v>
      </c>
      <c r="AB467" s="5" t="s">
        <v>4801</v>
      </c>
      <c r="AC467" s="5" t="s">
        <v>24</v>
      </c>
      <c r="AD467" s="5" t="s">
        <v>24</v>
      </c>
      <c r="AE467" s="5" t="s">
        <v>24</v>
      </c>
      <c r="AF467" s="5" t="s">
        <v>24</v>
      </c>
      <c r="AG467" s="5" t="s">
        <v>24</v>
      </c>
      <c r="AH467" s="5" t="s">
        <v>24</v>
      </c>
      <c r="AI467" s="5" t="s">
        <v>24</v>
      </c>
      <c r="AJ467" s="5" t="s">
        <v>24</v>
      </c>
      <c r="AK467" s="5" t="s">
        <v>24</v>
      </c>
      <c r="AL467" s="5" t="str">
        <f>VLOOKUP(mambo!$H467,Sheet1!B:C,2,FALSE)</f>
        <v>1403418</v>
      </c>
    </row>
    <row r="468" ht="15.75" customHeight="1">
      <c r="A468" s="5" t="s">
        <v>4802</v>
      </c>
      <c r="B468" s="5" t="s">
        <v>4803</v>
      </c>
      <c r="C468" s="5" t="s">
        <v>503</v>
      </c>
      <c r="D468" s="5" t="s">
        <v>24</v>
      </c>
      <c r="E468" s="5" t="s">
        <v>1848</v>
      </c>
      <c r="F468" s="5" t="s">
        <v>1849</v>
      </c>
      <c r="G468" s="5" t="s">
        <v>24</v>
      </c>
      <c r="H468" s="5" t="s">
        <v>1289</v>
      </c>
      <c r="I468" s="5" t="s">
        <v>24</v>
      </c>
      <c r="J468" s="5" t="s">
        <v>24</v>
      </c>
      <c r="K468" s="5" t="s">
        <v>24</v>
      </c>
      <c r="L468" s="5" t="s">
        <v>24</v>
      </c>
      <c r="M468" s="5" t="s">
        <v>4504</v>
      </c>
      <c r="N468" s="5" t="s">
        <v>24</v>
      </c>
      <c r="O468" s="5" t="s">
        <v>4798</v>
      </c>
      <c r="P468" s="5" t="s">
        <v>24</v>
      </c>
      <c r="Q468" s="5" t="s">
        <v>24</v>
      </c>
      <c r="R468" s="5" t="s">
        <v>24</v>
      </c>
      <c r="S468" s="5" t="s">
        <v>1852</v>
      </c>
      <c r="T468" s="5" t="s">
        <v>4799</v>
      </c>
      <c r="U468" s="5" t="s">
        <v>4799</v>
      </c>
      <c r="V468" s="5" t="s">
        <v>1854</v>
      </c>
      <c r="W468" s="5" t="s">
        <v>24</v>
      </c>
      <c r="X468" s="5" t="s">
        <v>24</v>
      </c>
      <c r="Y468" s="5" t="s">
        <v>4804</v>
      </c>
      <c r="Z468" s="5" t="s">
        <v>4805</v>
      </c>
      <c r="AA468" s="5" t="s">
        <v>4805</v>
      </c>
      <c r="AB468" s="5" t="s">
        <v>4805</v>
      </c>
      <c r="AC468" s="5" t="s">
        <v>24</v>
      </c>
      <c r="AD468" s="5" t="s">
        <v>24</v>
      </c>
      <c r="AE468" s="5" t="s">
        <v>24</v>
      </c>
      <c r="AF468" s="5" t="s">
        <v>24</v>
      </c>
      <c r="AG468" s="5" t="s">
        <v>24</v>
      </c>
      <c r="AH468" s="5" t="s">
        <v>24</v>
      </c>
      <c r="AI468" s="5" t="s">
        <v>24</v>
      </c>
      <c r="AJ468" s="5" t="s">
        <v>24</v>
      </c>
      <c r="AK468" s="5" t="s">
        <v>24</v>
      </c>
      <c r="AL468" s="5" t="str">
        <f>VLOOKUP(mambo!$H468,Sheet1!B:C,2,FALSE)</f>
        <v>1414869</v>
      </c>
    </row>
    <row r="469" ht="15.75" customHeight="1">
      <c r="A469" s="5" t="s">
        <v>4806</v>
      </c>
      <c r="B469" s="5" t="s">
        <v>4807</v>
      </c>
      <c r="C469" s="5" t="s">
        <v>503</v>
      </c>
      <c r="D469" s="5" t="s">
        <v>24</v>
      </c>
      <c r="E469" s="5" t="s">
        <v>1848</v>
      </c>
      <c r="F469" s="5" t="s">
        <v>1849</v>
      </c>
      <c r="G469" s="5" t="s">
        <v>24</v>
      </c>
      <c r="H469" s="5" t="s">
        <v>1103</v>
      </c>
      <c r="I469" s="5" t="s">
        <v>24</v>
      </c>
      <c r="J469" s="5" t="s">
        <v>24</v>
      </c>
      <c r="K469" s="5" t="s">
        <v>24</v>
      </c>
      <c r="L469" s="5" t="s">
        <v>24</v>
      </c>
      <c r="M469" s="5" t="s">
        <v>4504</v>
      </c>
      <c r="N469" s="5" t="s">
        <v>24</v>
      </c>
      <c r="O469" s="5" t="s">
        <v>4798</v>
      </c>
      <c r="P469" s="5" t="s">
        <v>24</v>
      </c>
      <c r="Q469" s="5" t="s">
        <v>24</v>
      </c>
      <c r="R469" s="5" t="s">
        <v>24</v>
      </c>
      <c r="S469" s="5" t="s">
        <v>1852</v>
      </c>
      <c r="T469" s="5" t="s">
        <v>4799</v>
      </c>
      <c r="U469" s="5" t="s">
        <v>4799</v>
      </c>
      <c r="V469" s="5" t="s">
        <v>1854</v>
      </c>
      <c r="W469" s="5" t="s">
        <v>24</v>
      </c>
      <c r="X469" s="5" t="s">
        <v>24</v>
      </c>
      <c r="Y469" s="5" t="s">
        <v>4808</v>
      </c>
      <c r="Z469" s="5" t="s">
        <v>4809</v>
      </c>
      <c r="AA469" s="5" t="s">
        <v>4809</v>
      </c>
      <c r="AB469" s="5" t="s">
        <v>4809</v>
      </c>
      <c r="AC469" s="5" t="s">
        <v>24</v>
      </c>
      <c r="AD469" s="5" t="s">
        <v>24</v>
      </c>
      <c r="AE469" s="5" t="s">
        <v>24</v>
      </c>
      <c r="AF469" s="5" t="s">
        <v>24</v>
      </c>
      <c r="AG469" s="5" t="s">
        <v>24</v>
      </c>
      <c r="AH469" s="5" t="s">
        <v>24</v>
      </c>
      <c r="AI469" s="5" t="s">
        <v>24</v>
      </c>
      <c r="AJ469" s="5" t="s">
        <v>24</v>
      </c>
      <c r="AK469" s="5" t="s">
        <v>24</v>
      </c>
      <c r="AL469" s="5" t="str">
        <f>VLOOKUP(mambo!$H469,Sheet1!B:C,2,FALSE)</f>
        <v>1403416</v>
      </c>
    </row>
    <row r="470" ht="15.75" customHeight="1">
      <c r="A470" s="5" t="s">
        <v>4810</v>
      </c>
      <c r="B470" s="5" t="s">
        <v>4811</v>
      </c>
      <c r="C470" s="5" t="s">
        <v>503</v>
      </c>
      <c r="D470" s="5" t="s">
        <v>24</v>
      </c>
      <c r="E470" s="5" t="s">
        <v>1848</v>
      </c>
      <c r="F470" s="5" t="s">
        <v>1849</v>
      </c>
      <c r="G470" s="5" t="s">
        <v>24</v>
      </c>
      <c r="H470" s="5" t="s">
        <v>1514</v>
      </c>
      <c r="I470" s="5" t="s">
        <v>24</v>
      </c>
      <c r="J470" s="5" t="s">
        <v>24</v>
      </c>
      <c r="K470" s="5" t="s">
        <v>24</v>
      </c>
      <c r="L470" s="5" t="s">
        <v>24</v>
      </c>
      <c r="M470" s="5" t="s">
        <v>4504</v>
      </c>
      <c r="N470" s="5" t="s">
        <v>24</v>
      </c>
      <c r="O470" s="5" t="s">
        <v>4798</v>
      </c>
      <c r="P470" s="5" t="s">
        <v>24</v>
      </c>
      <c r="Q470" s="5" t="s">
        <v>24</v>
      </c>
      <c r="R470" s="5" t="s">
        <v>24</v>
      </c>
      <c r="S470" s="5" t="s">
        <v>1852</v>
      </c>
      <c r="T470" s="5" t="s">
        <v>4799</v>
      </c>
      <c r="U470" s="5" t="s">
        <v>4799</v>
      </c>
      <c r="V470" s="5" t="s">
        <v>1854</v>
      </c>
      <c r="W470" s="5" t="s">
        <v>24</v>
      </c>
      <c r="X470" s="5" t="s">
        <v>24</v>
      </c>
      <c r="Y470" s="5" t="s">
        <v>4812</v>
      </c>
      <c r="Z470" s="5" t="s">
        <v>4813</v>
      </c>
      <c r="AA470" s="5" t="s">
        <v>4813</v>
      </c>
      <c r="AB470" s="5" t="s">
        <v>4813</v>
      </c>
      <c r="AC470" s="5" t="s">
        <v>24</v>
      </c>
      <c r="AD470" s="5" t="s">
        <v>24</v>
      </c>
      <c r="AE470" s="5" t="s">
        <v>24</v>
      </c>
      <c r="AF470" s="5" t="s">
        <v>24</v>
      </c>
      <c r="AG470" s="5" t="s">
        <v>24</v>
      </c>
      <c r="AH470" s="5" t="s">
        <v>24</v>
      </c>
      <c r="AI470" s="5" t="s">
        <v>24</v>
      </c>
      <c r="AJ470" s="5" t="s">
        <v>24</v>
      </c>
      <c r="AK470" s="5" t="s">
        <v>24</v>
      </c>
      <c r="AL470" s="5" t="str">
        <f>VLOOKUP(mambo!$H470,Sheet1!B:C,2,FALSE)</f>
        <v>1403417</v>
      </c>
    </row>
    <row r="471" ht="15.75" hidden="1" customHeight="1">
      <c r="A471" s="5" t="s">
        <v>4814</v>
      </c>
      <c r="B471" s="5" t="s">
        <v>4815</v>
      </c>
      <c r="C471" s="5" t="s">
        <v>4816</v>
      </c>
      <c r="D471" s="5" t="s">
        <v>24</v>
      </c>
      <c r="E471" s="5" t="s">
        <v>1848</v>
      </c>
      <c r="F471" s="5" t="s">
        <v>1849</v>
      </c>
      <c r="G471" s="5" t="s">
        <v>24</v>
      </c>
      <c r="H471" s="5" t="s">
        <v>4817</v>
      </c>
      <c r="I471" s="5" t="s">
        <v>24</v>
      </c>
      <c r="J471" s="5" t="s">
        <v>24</v>
      </c>
      <c r="K471" s="5" t="s">
        <v>24</v>
      </c>
      <c r="L471" s="5" t="s">
        <v>24</v>
      </c>
      <c r="M471" s="5" t="s">
        <v>1885</v>
      </c>
      <c r="N471" s="5" t="s">
        <v>24</v>
      </c>
      <c r="O471" s="5" t="s">
        <v>4818</v>
      </c>
      <c r="P471" s="5" t="s">
        <v>24</v>
      </c>
      <c r="Q471" s="5" t="s">
        <v>24</v>
      </c>
      <c r="R471" s="5" t="s">
        <v>24</v>
      </c>
      <c r="S471" s="5" t="s">
        <v>1852</v>
      </c>
      <c r="T471" s="5" t="s">
        <v>3403</v>
      </c>
      <c r="U471" s="5" t="s">
        <v>3403</v>
      </c>
      <c r="V471" s="5" t="s">
        <v>1854</v>
      </c>
      <c r="W471" s="5" t="s">
        <v>24</v>
      </c>
      <c r="X471" s="5" t="s">
        <v>24</v>
      </c>
      <c r="Y471" s="5" t="s">
        <v>4819</v>
      </c>
      <c r="Z471" s="5" t="s">
        <v>4820</v>
      </c>
      <c r="AA471" s="5" t="s">
        <v>4820</v>
      </c>
      <c r="AB471" s="5" t="s">
        <v>4820</v>
      </c>
      <c r="AC471" s="5" t="s">
        <v>4821</v>
      </c>
      <c r="AD471" s="5" t="s">
        <v>4822</v>
      </c>
      <c r="AE471" s="5" t="s">
        <v>24</v>
      </c>
      <c r="AF471" s="5" t="s">
        <v>24</v>
      </c>
      <c r="AG471" s="5" t="s">
        <v>24</v>
      </c>
      <c r="AH471" s="5" t="s">
        <v>24</v>
      </c>
      <c r="AI471" s="5" t="s">
        <v>24</v>
      </c>
      <c r="AJ471" s="5" t="s">
        <v>24</v>
      </c>
      <c r="AK471" s="5" t="s">
        <v>24</v>
      </c>
      <c r="AL471" s="5" t="str">
        <f>VLOOKUP(mambo!$H471,Sheet1!B:C,2,FALSE)</f>
        <v>#N/A</v>
      </c>
    </row>
    <row r="472" ht="15.75" customHeight="1">
      <c r="A472" s="5" t="s">
        <v>4823</v>
      </c>
      <c r="B472" s="5" t="s">
        <v>4824</v>
      </c>
      <c r="C472" s="5" t="s">
        <v>106</v>
      </c>
      <c r="D472" s="5" t="s">
        <v>24</v>
      </c>
      <c r="E472" s="5" t="s">
        <v>1848</v>
      </c>
      <c r="F472" s="5" t="s">
        <v>1849</v>
      </c>
      <c r="G472" s="5" t="s">
        <v>24</v>
      </c>
      <c r="H472" s="5" t="s">
        <v>1627</v>
      </c>
      <c r="I472" s="5" t="s">
        <v>24</v>
      </c>
      <c r="J472" s="5" t="s">
        <v>24</v>
      </c>
      <c r="K472" s="5" t="s">
        <v>24</v>
      </c>
      <c r="L472" s="5" t="s">
        <v>24</v>
      </c>
      <c r="M472" s="5" t="s">
        <v>1885</v>
      </c>
      <c r="N472" s="5" t="s">
        <v>24</v>
      </c>
      <c r="O472" s="5" t="s">
        <v>2085</v>
      </c>
      <c r="P472" s="5" t="s">
        <v>24</v>
      </c>
      <c r="Q472" s="5" t="s">
        <v>24</v>
      </c>
      <c r="R472" s="5" t="s">
        <v>24</v>
      </c>
      <c r="S472" s="5" t="s">
        <v>1852</v>
      </c>
      <c r="T472" s="5" t="s">
        <v>2086</v>
      </c>
      <c r="U472" s="5" t="s">
        <v>2086</v>
      </c>
      <c r="V472" s="5" t="s">
        <v>1854</v>
      </c>
      <c r="W472" s="5" t="s">
        <v>24</v>
      </c>
      <c r="X472" s="5" t="s">
        <v>24</v>
      </c>
      <c r="Y472" s="5" t="s">
        <v>4825</v>
      </c>
      <c r="Z472" s="5" t="s">
        <v>4826</v>
      </c>
      <c r="AA472" s="5" t="s">
        <v>4826</v>
      </c>
      <c r="AB472" s="5" t="s">
        <v>4826</v>
      </c>
      <c r="AC472" s="5" t="s">
        <v>24</v>
      </c>
      <c r="AD472" s="5" t="s">
        <v>24</v>
      </c>
      <c r="AE472" s="5" t="s">
        <v>24</v>
      </c>
      <c r="AF472" s="5" t="s">
        <v>24</v>
      </c>
      <c r="AG472" s="5" t="s">
        <v>24</v>
      </c>
      <c r="AH472" s="5" t="s">
        <v>24</v>
      </c>
      <c r="AI472" s="5" t="s">
        <v>24</v>
      </c>
      <c r="AJ472" s="5" t="s">
        <v>24</v>
      </c>
      <c r="AK472" s="5" t="s">
        <v>24</v>
      </c>
      <c r="AL472" s="5" t="str">
        <f>VLOOKUP(mambo!$H472,Sheet1!B:C,2,FALSE)</f>
        <v>1412997</v>
      </c>
    </row>
    <row r="473" ht="15.75" hidden="1" customHeight="1">
      <c r="A473" s="5" t="s">
        <v>4827</v>
      </c>
      <c r="B473" s="5" t="s">
        <v>4828</v>
      </c>
      <c r="C473" s="5" t="s">
        <v>106</v>
      </c>
      <c r="D473" s="5" t="s">
        <v>24</v>
      </c>
      <c r="E473" s="5" t="s">
        <v>1848</v>
      </c>
      <c r="F473" s="5" t="s">
        <v>1849</v>
      </c>
      <c r="G473" s="5" t="s">
        <v>24</v>
      </c>
      <c r="H473" s="5" t="s">
        <v>4829</v>
      </c>
      <c r="I473" s="5" t="s">
        <v>24</v>
      </c>
      <c r="J473" s="5" t="s">
        <v>24</v>
      </c>
      <c r="K473" s="5" t="s">
        <v>24</v>
      </c>
      <c r="L473" s="5" t="s">
        <v>24</v>
      </c>
      <c r="M473" s="5" t="s">
        <v>1885</v>
      </c>
      <c r="N473" s="5" t="s">
        <v>24</v>
      </c>
      <c r="O473" s="5" t="s">
        <v>2085</v>
      </c>
      <c r="P473" s="5" t="s">
        <v>24</v>
      </c>
      <c r="Q473" s="5" t="s">
        <v>24</v>
      </c>
      <c r="R473" s="5" t="s">
        <v>24</v>
      </c>
      <c r="S473" s="5" t="s">
        <v>1852</v>
      </c>
      <c r="T473" s="5" t="s">
        <v>2086</v>
      </c>
      <c r="U473" s="5" t="s">
        <v>2086</v>
      </c>
      <c r="V473" s="5" t="s">
        <v>1854</v>
      </c>
      <c r="W473" s="5" t="s">
        <v>24</v>
      </c>
      <c r="X473" s="5" t="s">
        <v>24</v>
      </c>
      <c r="Y473" s="5" t="s">
        <v>4830</v>
      </c>
      <c r="Z473" s="5" t="s">
        <v>4831</v>
      </c>
      <c r="AA473" s="5" t="s">
        <v>4831</v>
      </c>
      <c r="AB473" s="5" t="s">
        <v>4831</v>
      </c>
      <c r="AC473" s="5" t="s">
        <v>24</v>
      </c>
      <c r="AD473" s="5" t="s">
        <v>24</v>
      </c>
      <c r="AE473" s="5" t="s">
        <v>24</v>
      </c>
      <c r="AF473" s="5" t="s">
        <v>24</v>
      </c>
      <c r="AG473" s="5" t="s">
        <v>24</v>
      </c>
      <c r="AH473" s="5" t="s">
        <v>24</v>
      </c>
      <c r="AI473" s="5" t="s">
        <v>24</v>
      </c>
      <c r="AJ473" s="5" t="s">
        <v>24</v>
      </c>
      <c r="AK473" s="5" t="s">
        <v>24</v>
      </c>
      <c r="AL473" s="5" t="str">
        <f>VLOOKUP(mambo!$H473,Sheet1!B:C,2,FALSE)</f>
        <v>#N/A</v>
      </c>
    </row>
    <row r="474" ht="15.75" customHeight="1">
      <c r="A474" s="5" t="s">
        <v>4832</v>
      </c>
      <c r="B474" s="5" t="s">
        <v>4833</v>
      </c>
      <c r="C474" s="5" t="s">
        <v>106</v>
      </c>
      <c r="D474" s="5" t="s">
        <v>24</v>
      </c>
      <c r="E474" s="5" t="s">
        <v>1848</v>
      </c>
      <c r="F474" s="5" t="s">
        <v>1849</v>
      </c>
      <c r="G474" s="5" t="s">
        <v>24</v>
      </c>
      <c r="H474" s="5" t="s">
        <v>1200</v>
      </c>
      <c r="I474" s="5" t="s">
        <v>24</v>
      </c>
      <c r="J474" s="5" t="s">
        <v>24</v>
      </c>
      <c r="K474" s="5" t="s">
        <v>24</v>
      </c>
      <c r="L474" s="5" t="s">
        <v>24</v>
      </c>
      <c r="M474" s="5" t="s">
        <v>1885</v>
      </c>
      <c r="N474" s="5" t="s">
        <v>24</v>
      </c>
      <c r="O474" s="5" t="s">
        <v>2085</v>
      </c>
      <c r="P474" s="5" t="s">
        <v>24</v>
      </c>
      <c r="Q474" s="5" t="s">
        <v>24</v>
      </c>
      <c r="R474" s="5" t="s">
        <v>24</v>
      </c>
      <c r="S474" s="5" t="s">
        <v>1852</v>
      </c>
      <c r="T474" s="5" t="s">
        <v>2086</v>
      </c>
      <c r="U474" s="5" t="s">
        <v>2086</v>
      </c>
      <c r="V474" s="5" t="s">
        <v>1854</v>
      </c>
      <c r="W474" s="5" t="s">
        <v>24</v>
      </c>
      <c r="X474" s="5" t="s">
        <v>24</v>
      </c>
      <c r="Y474" s="5" t="s">
        <v>4834</v>
      </c>
      <c r="Z474" s="5" t="s">
        <v>4835</v>
      </c>
      <c r="AA474" s="5" t="s">
        <v>4835</v>
      </c>
      <c r="AB474" s="5" t="s">
        <v>4835</v>
      </c>
      <c r="AC474" s="5" t="s">
        <v>24</v>
      </c>
      <c r="AD474" s="5" t="s">
        <v>24</v>
      </c>
      <c r="AE474" s="5" t="s">
        <v>24</v>
      </c>
      <c r="AF474" s="5" t="s">
        <v>24</v>
      </c>
      <c r="AG474" s="5" t="s">
        <v>24</v>
      </c>
      <c r="AH474" s="5" t="s">
        <v>24</v>
      </c>
      <c r="AI474" s="5" t="s">
        <v>24</v>
      </c>
      <c r="AJ474" s="5" t="s">
        <v>24</v>
      </c>
      <c r="AK474" s="5" t="s">
        <v>24</v>
      </c>
      <c r="AL474" s="5" t="str">
        <f>VLOOKUP(mambo!$H474,Sheet1!B:C,2,FALSE)</f>
        <v>1405988</v>
      </c>
    </row>
    <row r="475" ht="15.75" customHeight="1">
      <c r="A475" s="5" t="s">
        <v>4836</v>
      </c>
      <c r="B475" s="5" t="s">
        <v>4837</v>
      </c>
      <c r="C475" s="5" t="s">
        <v>106</v>
      </c>
      <c r="D475" s="5" t="s">
        <v>24</v>
      </c>
      <c r="E475" s="5" t="s">
        <v>1848</v>
      </c>
      <c r="F475" s="5" t="s">
        <v>1849</v>
      </c>
      <c r="G475" s="5" t="s">
        <v>24</v>
      </c>
      <c r="H475" s="5" t="s">
        <v>1285</v>
      </c>
      <c r="I475" s="5" t="s">
        <v>24</v>
      </c>
      <c r="J475" s="5" t="s">
        <v>24</v>
      </c>
      <c r="K475" s="5" t="s">
        <v>24</v>
      </c>
      <c r="L475" s="5" t="s">
        <v>24</v>
      </c>
      <c r="M475" s="5" t="s">
        <v>1885</v>
      </c>
      <c r="N475" s="5" t="s">
        <v>24</v>
      </c>
      <c r="O475" s="5" t="s">
        <v>2085</v>
      </c>
      <c r="P475" s="5" t="s">
        <v>24</v>
      </c>
      <c r="Q475" s="5" t="s">
        <v>24</v>
      </c>
      <c r="R475" s="5" t="s">
        <v>24</v>
      </c>
      <c r="S475" s="5" t="s">
        <v>1852</v>
      </c>
      <c r="T475" s="5" t="s">
        <v>2086</v>
      </c>
      <c r="U475" s="5" t="s">
        <v>2086</v>
      </c>
      <c r="V475" s="5" t="s">
        <v>1854</v>
      </c>
      <c r="W475" s="5" t="s">
        <v>24</v>
      </c>
      <c r="X475" s="5" t="s">
        <v>24</v>
      </c>
      <c r="Y475" s="5" t="s">
        <v>4838</v>
      </c>
      <c r="Z475" s="5" t="s">
        <v>4839</v>
      </c>
      <c r="AA475" s="5" t="s">
        <v>4839</v>
      </c>
      <c r="AB475" s="5" t="s">
        <v>4839</v>
      </c>
      <c r="AC475" s="5" t="s">
        <v>24</v>
      </c>
      <c r="AD475" s="5" t="s">
        <v>24</v>
      </c>
      <c r="AE475" s="5" t="s">
        <v>24</v>
      </c>
      <c r="AF475" s="5" t="s">
        <v>24</v>
      </c>
      <c r="AG475" s="5" t="s">
        <v>24</v>
      </c>
      <c r="AH475" s="5" t="s">
        <v>24</v>
      </c>
      <c r="AI475" s="5" t="s">
        <v>24</v>
      </c>
      <c r="AJ475" s="5" t="s">
        <v>24</v>
      </c>
      <c r="AK475" s="5" t="s">
        <v>24</v>
      </c>
      <c r="AL475" s="5" t="str">
        <f>VLOOKUP(mambo!$H475,Sheet1!B:C,2,FALSE)</f>
        <v>1405998</v>
      </c>
    </row>
    <row r="476" ht="15.75" customHeight="1">
      <c r="A476" s="5" t="s">
        <v>4840</v>
      </c>
      <c r="B476" s="5" t="s">
        <v>4841</v>
      </c>
      <c r="C476" s="5" t="s">
        <v>2126</v>
      </c>
      <c r="D476" s="5" t="s">
        <v>24</v>
      </c>
      <c r="E476" s="5" t="s">
        <v>1848</v>
      </c>
      <c r="F476" s="5" t="s">
        <v>1849</v>
      </c>
      <c r="G476" s="5" t="s">
        <v>24</v>
      </c>
      <c r="H476" s="5" t="s">
        <v>342</v>
      </c>
      <c r="I476" s="5" t="s">
        <v>24</v>
      </c>
      <c r="J476" s="5" t="s">
        <v>24</v>
      </c>
      <c r="K476" s="5" t="s">
        <v>24</v>
      </c>
      <c r="L476" s="5" t="s">
        <v>24</v>
      </c>
      <c r="M476" s="5" t="s">
        <v>3048</v>
      </c>
      <c r="N476" s="5" t="s">
        <v>24</v>
      </c>
      <c r="O476" s="5" t="s">
        <v>4842</v>
      </c>
      <c r="P476" s="5" t="s">
        <v>24</v>
      </c>
      <c r="Q476" s="5" t="s">
        <v>24</v>
      </c>
      <c r="R476" s="5" t="s">
        <v>24</v>
      </c>
      <c r="S476" s="5" t="s">
        <v>1852</v>
      </c>
      <c r="T476" s="5" t="s">
        <v>4843</v>
      </c>
      <c r="U476" s="5" t="s">
        <v>4843</v>
      </c>
      <c r="V476" s="5" t="s">
        <v>1854</v>
      </c>
      <c r="W476" s="5" t="s">
        <v>24</v>
      </c>
      <c r="X476" s="5" t="s">
        <v>24</v>
      </c>
      <c r="Y476" s="5" t="s">
        <v>4844</v>
      </c>
      <c r="Z476" s="5" t="s">
        <v>4845</v>
      </c>
      <c r="AA476" s="5" t="s">
        <v>4845</v>
      </c>
      <c r="AB476" s="5" t="s">
        <v>4845</v>
      </c>
      <c r="AC476" s="5" t="s">
        <v>24</v>
      </c>
      <c r="AD476" s="5" t="s">
        <v>24</v>
      </c>
      <c r="AE476" s="5" t="s">
        <v>24</v>
      </c>
      <c r="AF476" s="5" t="s">
        <v>24</v>
      </c>
      <c r="AG476" s="5" t="s">
        <v>24</v>
      </c>
      <c r="AH476" s="5" t="s">
        <v>24</v>
      </c>
      <c r="AI476" s="5" t="s">
        <v>24</v>
      </c>
      <c r="AJ476" s="5" t="s">
        <v>24</v>
      </c>
      <c r="AK476" s="5" t="s">
        <v>24</v>
      </c>
      <c r="AL476" s="5" t="str">
        <f>VLOOKUP(mambo!$H476,Sheet1!B:C,2,FALSE)</f>
        <v>1130389</v>
      </c>
    </row>
    <row r="477" ht="15.75" hidden="1" customHeight="1">
      <c r="A477" s="5" t="s">
        <v>4846</v>
      </c>
      <c r="B477" s="5" t="s">
        <v>4847</v>
      </c>
      <c r="C477" s="5" t="s">
        <v>2126</v>
      </c>
      <c r="D477" s="5" t="s">
        <v>24</v>
      </c>
      <c r="E477" s="5" t="s">
        <v>1848</v>
      </c>
      <c r="F477" s="5" t="s">
        <v>1849</v>
      </c>
      <c r="G477" s="5" t="s">
        <v>24</v>
      </c>
      <c r="H477" s="5" t="s">
        <v>4848</v>
      </c>
      <c r="I477" s="5" t="s">
        <v>24</v>
      </c>
      <c r="J477" s="5" t="s">
        <v>24</v>
      </c>
      <c r="K477" s="5" t="s">
        <v>24</v>
      </c>
      <c r="L477" s="5" t="s">
        <v>24</v>
      </c>
      <c r="M477" s="5" t="s">
        <v>24</v>
      </c>
      <c r="N477" s="5" t="s">
        <v>24</v>
      </c>
      <c r="O477" s="5" t="s">
        <v>4849</v>
      </c>
      <c r="P477" s="5" t="s">
        <v>24</v>
      </c>
      <c r="Q477" s="5" t="s">
        <v>24</v>
      </c>
      <c r="R477" s="5" t="s">
        <v>24</v>
      </c>
      <c r="S477" s="5" t="s">
        <v>1852</v>
      </c>
      <c r="T477" s="5" t="s">
        <v>4788</v>
      </c>
      <c r="U477" s="5" t="s">
        <v>4788</v>
      </c>
      <c r="V477" s="5" t="s">
        <v>1854</v>
      </c>
      <c r="W477" s="5" t="s">
        <v>24</v>
      </c>
      <c r="X477" s="5" t="s">
        <v>24</v>
      </c>
      <c r="Y477" s="5" t="s">
        <v>4850</v>
      </c>
      <c r="Z477" s="5" t="s">
        <v>4851</v>
      </c>
      <c r="AA477" s="5" t="s">
        <v>4851</v>
      </c>
      <c r="AB477" s="5" t="s">
        <v>4851</v>
      </c>
      <c r="AC477" s="5" t="s">
        <v>24</v>
      </c>
      <c r="AD477" s="5" t="s">
        <v>24</v>
      </c>
      <c r="AE477" s="5" t="s">
        <v>24</v>
      </c>
      <c r="AF477" s="5" t="s">
        <v>24</v>
      </c>
      <c r="AG477" s="5" t="s">
        <v>24</v>
      </c>
      <c r="AH477" s="5" t="s">
        <v>24</v>
      </c>
      <c r="AI477" s="5" t="s">
        <v>24</v>
      </c>
      <c r="AJ477" s="5" t="s">
        <v>24</v>
      </c>
      <c r="AK477" s="5" t="s">
        <v>24</v>
      </c>
      <c r="AL477" s="5" t="str">
        <f>VLOOKUP(mambo!$H477,Sheet1!B:C,2,FALSE)</f>
        <v>#N/A</v>
      </c>
    </row>
    <row r="478" ht="15.75" hidden="1" customHeight="1">
      <c r="A478" s="5" t="s">
        <v>4852</v>
      </c>
      <c r="B478" s="5" t="s">
        <v>4853</v>
      </c>
      <c r="C478" s="5" t="s">
        <v>2126</v>
      </c>
      <c r="D478" s="5" t="s">
        <v>24</v>
      </c>
      <c r="E478" s="5" t="s">
        <v>1848</v>
      </c>
      <c r="F478" s="5" t="s">
        <v>1849</v>
      </c>
      <c r="G478" s="5" t="s">
        <v>24</v>
      </c>
      <c r="H478" s="5" t="s">
        <v>4854</v>
      </c>
      <c r="I478" s="5" t="s">
        <v>24</v>
      </c>
      <c r="J478" s="5" t="s">
        <v>24</v>
      </c>
      <c r="K478" s="5" t="s">
        <v>24</v>
      </c>
      <c r="L478" s="5" t="s">
        <v>24</v>
      </c>
      <c r="M478" s="5" t="s">
        <v>24</v>
      </c>
      <c r="N478" s="5" t="s">
        <v>24</v>
      </c>
      <c r="O478" s="5" t="s">
        <v>4849</v>
      </c>
      <c r="P478" s="5" t="s">
        <v>24</v>
      </c>
      <c r="Q478" s="5" t="s">
        <v>24</v>
      </c>
      <c r="R478" s="5" t="s">
        <v>24</v>
      </c>
      <c r="S478" s="5" t="s">
        <v>1852</v>
      </c>
      <c r="T478" s="5" t="s">
        <v>4788</v>
      </c>
      <c r="U478" s="5" t="s">
        <v>4788</v>
      </c>
      <c r="V478" s="5" t="s">
        <v>1854</v>
      </c>
      <c r="W478" s="5" t="s">
        <v>24</v>
      </c>
      <c r="X478" s="5" t="s">
        <v>24</v>
      </c>
      <c r="Y478" s="5" t="s">
        <v>4855</v>
      </c>
      <c r="Z478" s="5" t="s">
        <v>4856</v>
      </c>
      <c r="AA478" s="5" t="s">
        <v>4856</v>
      </c>
      <c r="AB478" s="5" t="s">
        <v>4856</v>
      </c>
      <c r="AC478" s="5" t="s">
        <v>24</v>
      </c>
      <c r="AD478" s="5" t="s">
        <v>24</v>
      </c>
      <c r="AE478" s="5" t="s">
        <v>24</v>
      </c>
      <c r="AF478" s="5" t="s">
        <v>24</v>
      </c>
      <c r="AG478" s="5" t="s">
        <v>24</v>
      </c>
      <c r="AH478" s="5" t="s">
        <v>24</v>
      </c>
      <c r="AI478" s="5" t="s">
        <v>24</v>
      </c>
      <c r="AJ478" s="5" t="s">
        <v>24</v>
      </c>
      <c r="AK478" s="5" t="s">
        <v>24</v>
      </c>
      <c r="AL478" s="5" t="str">
        <f>VLOOKUP(mambo!$H478,Sheet1!B:C,2,FALSE)</f>
        <v>#N/A</v>
      </c>
    </row>
    <row r="479" ht="15.75" hidden="1" customHeight="1">
      <c r="A479" s="5" t="s">
        <v>4857</v>
      </c>
      <c r="B479" s="5" t="s">
        <v>4858</v>
      </c>
      <c r="C479" s="5" t="s">
        <v>503</v>
      </c>
      <c r="D479" s="5" t="s">
        <v>24</v>
      </c>
      <c r="E479" s="5" t="s">
        <v>1848</v>
      </c>
      <c r="F479" s="5" t="s">
        <v>1849</v>
      </c>
      <c r="G479" s="5" t="s">
        <v>24</v>
      </c>
      <c r="H479" s="5" t="s">
        <v>4859</v>
      </c>
      <c r="I479" s="5" t="s">
        <v>24</v>
      </c>
      <c r="J479" s="5" t="s">
        <v>24</v>
      </c>
      <c r="K479" s="5" t="s">
        <v>24</v>
      </c>
      <c r="L479" s="5" t="s">
        <v>24</v>
      </c>
      <c r="M479" s="5" t="s">
        <v>24</v>
      </c>
      <c r="N479" s="5" t="s">
        <v>24</v>
      </c>
      <c r="O479" s="5" t="s">
        <v>4860</v>
      </c>
      <c r="P479" s="5" t="s">
        <v>24</v>
      </c>
      <c r="Q479" s="5" t="s">
        <v>24</v>
      </c>
      <c r="R479" s="5" t="s">
        <v>24</v>
      </c>
      <c r="S479" s="5" t="s">
        <v>2020</v>
      </c>
      <c r="T479" s="5" t="s">
        <v>2021</v>
      </c>
      <c r="U479" s="5" t="s">
        <v>2021</v>
      </c>
      <c r="V479" s="5" t="s">
        <v>24</v>
      </c>
      <c r="W479" s="5" t="s">
        <v>24</v>
      </c>
      <c r="X479" s="5" t="s">
        <v>24</v>
      </c>
      <c r="Y479" s="5" t="s">
        <v>4861</v>
      </c>
      <c r="Z479" s="5" t="s">
        <v>4862</v>
      </c>
      <c r="AA479" s="5" t="s">
        <v>4862</v>
      </c>
      <c r="AB479" s="5" t="s">
        <v>4862</v>
      </c>
      <c r="AC479" s="5" t="s">
        <v>24</v>
      </c>
      <c r="AD479" s="5" t="s">
        <v>24</v>
      </c>
      <c r="AE479" s="5" t="s">
        <v>24</v>
      </c>
      <c r="AF479" s="5" t="s">
        <v>24</v>
      </c>
      <c r="AG479" s="5" t="s">
        <v>24</v>
      </c>
      <c r="AH479" s="5" t="s">
        <v>24</v>
      </c>
      <c r="AI479" s="5" t="s">
        <v>24</v>
      </c>
      <c r="AJ479" s="5" t="s">
        <v>24</v>
      </c>
      <c r="AK479" s="5" t="s">
        <v>24</v>
      </c>
      <c r="AL479" s="5" t="str">
        <f>VLOOKUP(mambo!$H479,Sheet1!B:C,2,FALSE)</f>
        <v>#N/A</v>
      </c>
    </row>
    <row r="480" ht="15.75" hidden="1" customHeight="1">
      <c r="A480" s="5" t="s">
        <v>4863</v>
      </c>
      <c r="B480" s="5" t="s">
        <v>4864</v>
      </c>
      <c r="C480" s="5" t="s">
        <v>2126</v>
      </c>
      <c r="D480" s="5" t="s">
        <v>24</v>
      </c>
      <c r="E480" s="5" t="s">
        <v>1848</v>
      </c>
      <c r="F480" s="5" t="s">
        <v>1849</v>
      </c>
      <c r="G480" s="5" t="s">
        <v>24</v>
      </c>
      <c r="H480" s="5" t="s">
        <v>4865</v>
      </c>
      <c r="I480" s="5" t="s">
        <v>24</v>
      </c>
      <c r="J480" s="5" t="s">
        <v>24</v>
      </c>
      <c r="K480" s="5" t="s">
        <v>24</v>
      </c>
      <c r="L480" s="5" t="s">
        <v>24</v>
      </c>
      <c r="M480" s="5" t="s">
        <v>24</v>
      </c>
      <c r="N480" s="5" t="s">
        <v>24</v>
      </c>
      <c r="O480" s="5" t="s">
        <v>4866</v>
      </c>
      <c r="P480" s="5" t="s">
        <v>24</v>
      </c>
      <c r="Q480" s="5" t="s">
        <v>24</v>
      </c>
      <c r="R480" s="5" t="s">
        <v>24</v>
      </c>
      <c r="S480" s="5" t="s">
        <v>1852</v>
      </c>
      <c r="T480" s="5" t="s">
        <v>4788</v>
      </c>
      <c r="U480" s="5" t="s">
        <v>4788</v>
      </c>
      <c r="V480" s="5" t="s">
        <v>1854</v>
      </c>
      <c r="W480" s="5" t="s">
        <v>24</v>
      </c>
      <c r="X480" s="5" t="s">
        <v>24</v>
      </c>
      <c r="Y480" s="5" t="s">
        <v>4867</v>
      </c>
      <c r="Z480" s="5" t="s">
        <v>4868</v>
      </c>
      <c r="AA480" s="5" t="s">
        <v>4868</v>
      </c>
      <c r="AB480" s="5" t="s">
        <v>4868</v>
      </c>
      <c r="AC480" s="5" t="s">
        <v>24</v>
      </c>
      <c r="AD480" s="5" t="s">
        <v>24</v>
      </c>
      <c r="AE480" s="5" t="s">
        <v>24</v>
      </c>
      <c r="AF480" s="5" t="s">
        <v>24</v>
      </c>
      <c r="AG480" s="5" t="s">
        <v>24</v>
      </c>
      <c r="AH480" s="5" t="s">
        <v>24</v>
      </c>
      <c r="AI480" s="5" t="s">
        <v>24</v>
      </c>
      <c r="AJ480" s="5" t="s">
        <v>24</v>
      </c>
      <c r="AK480" s="5" t="s">
        <v>24</v>
      </c>
      <c r="AL480" s="5" t="str">
        <f>VLOOKUP(mambo!$H480,Sheet1!B:C,2,FALSE)</f>
        <v>#N/A</v>
      </c>
    </row>
    <row r="481" ht="15.75" customHeight="1">
      <c r="A481" s="5" t="s">
        <v>4869</v>
      </c>
      <c r="B481" s="5" t="s">
        <v>4870</v>
      </c>
      <c r="C481" s="5" t="s">
        <v>4871</v>
      </c>
      <c r="D481" s="5" t="s">
        <v>24</v>
      </c>
      <c r="E481" s="5" t="s">
        <v>1848</v>
      </c>
      <c r="F481" s="5" t="s">
        <v>1849</v>
      </c>
      <c r="G481" s="5" t="s">
        <v>24</v>
      </c>
      <c r="H481" s="5" t="s">
        <v>1772</v>
      </c>
      <c r="I481" s="5" t="s">
        <v>24</v>
      </c>
      <c r="J481" s="5" t="s">
        <v>24</v>
      </c>
      <c r="K481" s="5" t="s">
        <v>24</v>
      </c>
      <c r="L481" s="5" t="s">
        <v>24</v>
      </c>
      <c r="M481" s="5" t="s">
        <v>24</v>
      </c>
      <c r="N481" s="5" t="s">
        <v>24</v>
      </c>
      <c r="O481" s="5" t="s">
        <v>1894</v>
      </c>
      <c r="P481" s="5" t="s">
        <v>24</v>
      </c>
      <c r="Q481" s="5" t="s">
        <v>24</v>
      </c>
      <c r="R481" s="5" t="s">
        <v>24</v>
      </c>
      <c r="S481" s="5" t="s">
        <v>1852</v>
      </c>
      <c r="T481" s="5" t="s">
        <v>4872</v>
      </c>
      <c r="U481" s="5" t="s">
        <v>4872</v>
      </c>
      <c r="V481" s="5" t="s">
        <v>1854</v>
      </c>
      <c r="W481" s="5" t="s">
        <v>24</v>
      </c>
      <c r="X481" s="5" t="s">
        <v>24</v>
      </c>
      <c r="Y481" s="5" t="s">
        <v>4873</v>
      </c>
      <c r="Z481" s="5" t="s">
        <v>4874</v>
      </c>
      <c r="AA481" s="5" t="s">
        <v>4874</v>
      </c>
      <c r="AB481" s="5" t="s">
        <v>4874</v>
      </c>
      <c r="AC481" s="5" t="s">
        <v>4875</v>
      </c>
      <c r="AD481" s="5" t="s">
        <v>4876</v>
      </c>
      <c r="AE481" s="5" t="s">
        <v>24</v>
      </c>
      <c r="AF481" s="5" t="s">
        <v>24</v>
      </c>
      <c r="AG481" s="5" t="s">
        <v>24</v>
      </c>
      <c r="AH481" s="5" t="s">
        <v>24</v>
      </c>
      <c r="AI481" s="5" t="s">
        <v>24</v>
      </c>
      <c r="AJ481" s="5" t="s">
        <v>24</v>
      </c>
      <c r="AK481" s="5" t="s">
        <v>24</v>
      </c>
      <c r="AL481" s="5" t="str">
        <f>VLOOKUP(mambo!$H481,Sheet1!B:C,2,FALSE)</f>
        <v>1415224</v>
      </c>
    </row>
    <row r="482" ht="15.75" customHeight="1">
      <c r="A482" s="5" t="s">
        <v>4877</v>
      </c>
      <c r="B482" s="5" t="s">
        <v>4878</v>
      </c>
      <c r="C482" s="5" t="s">
        <v>4871</v>
      </c>
      <c r="D482" s="5" t="s">
        <v>24</v>
      </c>
      <c r="E482" s="5" t="s">
        <v>1848</v>
      </c>
      <c r="F482" s="5" t="s">
        <v>1849</v>
      </c>
      <c r="G482" s="5" t="s">
        <v>24</v>
      </c>
      <c r="H482" s="5" t="s">
        <v>1504</v>
      </c>
      <c r="I482" s="5" t="s">
        <v>24</v>
      </c>
      <c r="J482" s="5" t="s">
        <v>24</v>
      </c>
      <c r="K482" s="5" t="s">
        <v>24</v>
      </c>
      <c r="L482" s="5" t="s">
        <v>24</v>
      </c>
      <c r="M482" s="5" t="s">
        <v>24</v>
      </c>
      <c r="N482" s="5" t="s">
        <v>24</v>
      </c>
      <c r="O482" s="5" t="s">
        <v>3136</v>
      </c>
      <c r="P482" s="5" t="s">
        <v>24</v>
      </c>
      <c r="Q482" s="5" t="s">
        <v>24</v>
      </c>
      <c r="R482" s="5" t="s">
        <v>24</v>
      </c>
      <c r="S482" s="5" t="s">
        <v>1852</v>
      </c>
      <c r="T482" s="5" t="s">
        <v>3773</v>
      </c>
      <c r="U482" s="5" t="s">
        <v>3773</v>
      </c>
      <c r="V482" s="5" t="s">
        <v>1854</v>
      </c>
      <c r="W482" s="5" t="s">
        <v>24</v>
      </c>
      <c r="X482" s="5" t="s">
        <v>24</v>
      </c>
      <c r="Y482" s="5" t="s">
        <v>4879</v>
      </c>
      <c r="Z482" s="5" t="s">
        <v>4880</v>
      </c>
      <c r="AA482" s="5" t="s">
        <v>4880</v>
      </c>
      <c r="AB482" s="5" t="s">
        <v>4880</v>
      </c>
      <c r="AC482" s="5" t="s">
        <v>24</v>
      </c>
      <c r="AD482" s="5" t="s">
        <v>24</v>
      </c>
      <c r="AE482" s="5" t="s">
        <v>24</v>
      </c>
      <c r="AF482" s="5" t="s">
        <v>24</v>
      </c>
      <c r="AG482" s="5" t="s">
        <v>24</v>
      </c>
      <c r="AH482" s="5" t="s">
        <v>24</v>
      </c>
      <c r="AI482" s="5" t="s">
        <v>24</v>
      </c>
      <c r="AJ482" s="5" t="s">
        <v>24</v>
      </c>
      <c r="AK482" s="5" t="s">
        <v>24</v>
      </c>
      <c r="AL482" s="5" t="str">
        <f>VLOOKUP(mambo!$H482,Sheet1!B:C,2,FALSE)</f>
        <v>1415222</v>
      </c>
    </row>
    <row r="483" ht="15.75" customHeight="1">
      <c r="A483" s="5" t="s">
        <v>4881</v>
      </c>
      <c r="B483" s="5" t="s">
        <v>4882</v>
      </c>
      <c r="C483" s="5" t="s">
        <v>4871</v>
      </c>
      <c r="D483" s="5" t="s">
        <v>24</v>
      </c>
      <c r="E483" s="5" t="s">
        <v>1848</v>
      </c>
      <c r="F483" s="5" t="s">
        <v>1849</v>
      </c>
      <c r="G483" s="5" t="s">
        <v>24</v>
      </c>
      <c r="H483" s="5" t="s">
        <v>1435</v>
      </c>
      <c r="I483" s="5" t="s">
        <v>24</v>
      </c>
      <c r="J483" s="5" t="s">
        <v>24</v>
      </c>
      <c r="K483" s="5" t="s">
        <v>24</v>
      </c>
      <c r="L483" s="5" t="s">
        <v>24</v>
      </c>
      <c r="M483" s="5" t="s">
        <v>24</v>
      </c>
      <c r="N483" s="5" t="s">
        <v>24</v>
      </c>
      <c r="O483" s="5" t="s">
        <v>3136</v>
      </c>
      <c r="P483" s="5" t="s">
        <v>24</v>
      </c>
      <c r="Q483" s="5" t="s">
        <v>24</v>
      </c>
      <c r="R483" s="5" t="s">
        <v>24</v>
      </c>
      <c r="S483" s="5" t="s">
        <v>1852</v>
      </c>
      <c r="T483" s="5" t="s">
        <v>3773</v>
      </c>
      <c r="U483" s="5" t="s">
        <v>3773</v>
      </c>
      <c r="V483" s="5" t="s">
        <v>1854</v>
      </c>
      <c r="W483" s="5" t="s">
        <v>24</v>
      </c>
      <c r="X483" s="5" t="s">
        <v>24</v>
      </c>
      <c r="Y483" s="5" t="s">
        <v>4883</v>
      </c>
      <c r="Z483" s="5" t="s">
        <v>4884</v>
      </c>
      <c r="AA483" s="5" t="s">
        <v>4884</v>
      </c>
      <c r="AB483" s="5" t="s">
        <v>4884</v>
      </c>
      <c r="AC483" s="5" t="s">
        <v>24</v>
      </c>
      <c r="AD483" s="5" t="s">
        <v>24</v>
      </c>
      <c r="AE483" s="5" t="s">
        <v>24</v>
      </c>
      <c r="AF483" s="5" t="s">
        <v>24</v>
      </c>
      <c r="AG483" s="5" t="s">
        <v>24</v>
      </c>
      <c r="AH483" s="5" t="s">
        <v>24</v>
      </c>
      <c r="AI483" s="5" t="s">
        <v>24</v>
      </c>
      <c r="AJ483" s="5" t="s">
        <v>24</v>
      </c>
      <c r="AK483" s="5" t="s">
        <v>24</v>
      </c>
      <c r="AL483" s="5" t="str">
        <f>VLOOKUP(mambo!$H483,Sheet1!B:C,2,FALSE)</f>
        <v>1415221</v>
      </c>
    </row>
    <row r="484" ht="15.75" hidden="1" customHeight="1">
      <c r="A484" s="5" t="s">
        <v>4885</v>
      </c>
      <c r="B484" s="5" t="s">
        <v>4886</v>
      </c>
      <c r="C484" s="5" t="s">
        <v>1570</v>
      </c>
      <c r="D484" s="5" t="s">
        <v>24</v>
      </c>
      <c r="E484" s="5" t="s">
        <v>1848</v>
      </c>
      <c r="F484" s="5" t="s">
        <v>1849</v>
      </c>
      <c r="G484" s="5" t="s">
        <v>24</v>
      </c>
      <c r="H484" s="5" t="s">
        <v>4887</v>
      </c>
      <c r="I484" s="5" t="s">
        <v>24</v>
      </c>
      <c r="J484" s="5" t="s">
        <v>24</v>
      </c>
      <c r="K484" s="5" t="s">
        <v>24</v>
      </c>
      <c r="L484" s="5" t="s">
        <v>24</v>
      </c>
      <c r="M484" s="5" t="s">
        <v>24</v>
      </c>
      <c r="N484" s="5" t="s">
        <v>24</v>
      </c>
      <c r="O484" s="5" t="s">
        <v>1851</v>
      </c>
      <c r="P484" s="5" t="s">
        <v>24</v>
      </c>
      <c r="Q484" s="5" t="s">
        <v>24</v>
      </c>
      <c r="R484" s="5" t="s">
        <v>24</v>
      </c>
      <c r="S484" s="5" t="s">
        <v>2020</v>
      </c>
      <c r="T484" s="5" t="s">
        <v>2021</v>
      </c>
      <c r="U484" s="5" t="s">
        <v>2021</v>
      </c>
      <c r="V484" s="5" t="s">
        <v>24</v>
      </c>
      <c r="W484" s="5" t="s">
        <v>24</v>
      </c>
      <c r="X484" s="5" t="s">
        <v>24</v>
      </c>
      <c r="Y484" s="5" t="s">
        <v>4888</v>
      </c>
      <c r="Z484" s="5" t="s">
        <v>4889</v>
      </c>
      <c r="AA484" s="5" t="s">
        <v>4889</v>
      </c>
      <c r="AB484" s="5" t="s">
        <v>4889</v>
      </c>
      <c r="AC484" s="5" t="s">
        <v>24</v>
      </c>
      <c r="AD484" s="5" t="s">
        <v>24</v>
      </c>
      <c r="AE484" s="5" t="s">
        <v>24</v>
      </c>
      <c r="AF484" s="5" t="s">
        <v>24</v>
      </c>
      <c r="AG484" s="5" t="s">
        <v>24</v>
      </c>
      <c r="AH484" s="5" t="s">
        <v>24</v>
      </c>
      <c r="AI484" s="5" t="s">
        <v>24</v>
      </c>
      <c r="AJ484" s="5" t="s">
        <v>24</v>
      </c>
      <c r="AK484" s="5" t="s">
        <v>24</v>
      </c>
      <c r="AL484" s="5" t="str">
        <f>VLOOKUP(mambo!$H484,Sheet1!B:C,2,FALSE)</f>
        <v>#N/A</v>
      </c>
    </row>
    <row r="485" ht="15.75" hidden="1" customHeight="1">
      <c r="A485" s="5" t="s">
        <v>4890</v>
      </c>
      <c r="B485" s="5" t="s">
        <v>4891</v>
      </c>
      <c r="C485" s="5" t="s">
        <v>336</v>
      </c>
      <c r="D485" s="5" t="s">
        <v>24</v>
      </c>
      <c r="E485" s="5" t="s">
        <v>1848</v>
      </c>
      <c r="F485" s="5" t="s">
        <v>1849</v>
      </c>
      <c r="G485" s="5" t="s">
        <v>24</v>
      </c>
      <c r="H485" s="5" t="s">
        <v>4892</v>
      </c>
      <c r="I485" s="5" t="s">
        <v>24</v>
      </c>
      <c r="J485" s="5" t="s">
        <v>24</v>
      </c>
      <c r="K485" s="5" t="s">
        <v>24</v>
      </c>
      <c r="L485" s="5" t="s">
        <v>24</v>
      </c>
      <c r="M485" s="5" t="s">
        <v>4504</v>
      </c>
      <c r="N485" s="5" t="s">
        <v>24</v>
      </c>
      <c r="O485" s="5" t="s">
        <v>4893</v>
      </c>
      <c r="P485" s="5" t="s">
        <v>24</v>
      </c>
      <c r="Q485" s="5" t="s">
        <v>24</v>
      </c>
      <c r="R485" s="5" t="s">
        <v>24</v>
      </c>
      <c r="S485" s="5" t="s">
        <v>1852</v>
      </c>
      <c r="T485" s="5" t="s">
        <v>4506</v>
      </c>
      <c r="U485" s="5" t="s">
        <v>4506</v>
      </c>
      <c r="V485" s="5" t="s">
        <v>1854</v>
      </c>
      <c r="W485" s="5" t="s">
        <v>24</v>
      </c>
      <c r="X485" s="5" t="s">
        <v>24</v>
      </c>
      <c r="Y485" s="5" t="s">
        <v>4894</v>
      </c>
      <c r="Z485" s="5" t="s">
        <v>4895</v>
      </c>
      <c r="AA485" s="5" t="s">
        <v>4895</v>
      </c>
      <c r="AB485" s="5" t="s">
        <v>4895</v>
      </c>
      <c r="AC485" s="5" t="s">
        <v>24</v>
      </c>
      <c r="AD485" s="5" t="s">
        <v>24</v>
      </c>
      <c r="AE485" s="5" t="s">
        <v>24</v>
      </c>
      <c r="AF485" s="5" t="s">
        <v>24</v>
      </c>
      <c r="AG485" s="5" t="s">
        <v>24</v>
      </c>
      <c r="AH485" s="5" t="s">
        <v>24</v>
      </c>
      <c r="AI485" s="5" t="s">
        <v>24</v>
      </c>
      <c r="AJ485" s="5" t="s">
        <v>24</v>
      </c>
      <c r="AK485" s="5" t="s">
        <v>24</v>
      </c>
      <c r="AL485" s="5" t="str">
        <f>VLOOKUP(mambo!$H485,Sheet1!B:C,2,FALSE)</f>
        <v>#N/A</v>
      </c>
    </row>
    <row r="486" ht="15.75" hidden="1" customHeight="1">
      <c r="A486" s="5" t="s">
        <v>4896</v>
      </c>
      <c r="B486" s="5" t="s">
        <v>4897</v>
      </c>
      <c r="C486" s="5" t="s">
        <v>503</v>
      </c>
      <c r="D486" s="5" t="s">
        <v>24</v>
      </c>
      <c r="E486" s="5" t="s">
        <v>1848</v>
      </c>
      <c r="F486" s="5" t="s">
        <v>1849</v>
      </c>
      <c r="G486" s="5" t="s">
        <v>24</v>
      </c>
      <c r="H486" s="5" t="s">
        <v>4898</v>
      </c>
      <c r="I486" s="5" t="s">
        <v>24</v>
      </c>
      <c r="J486" s="5" t="s">
        <v>24</v>
      </c>
      <c r="K486" s="5" t="s">
        <v>24</v>
      </c>
      <c r="L486" s="5" t="s">
        <v>24</v>
      </c>
      <c r="M486" s="5" t="s">
        <v>3136</v>
      </c>
      <c r="N486" s="5" t="s">
        <v>24</v>
      </c>
      <c r="O486" s="5" t="s">
        <v>24</v>
      </c>
      <c r="P486" s="5" t="s">
        <v>24</v>
      </c>
      <c r="Q486" s="5" t="s">
        <v>24</v>
      </c>
      <c r="R486" s="5" t="s">
        <v>24</v>
      </c>
      <c r="S486" s="5" t="s">
        <v>2020</v>
      </c>
      <c r="T486" s="5" t="s">
        <v>2021</v>
      </c>
      <c r="U486" s="5" t="s">
        <v>2021</v>
      </c>
      <c r="V486" s="5" t="s">
        <v>24</v>
      </c>
      <c r="W486" s="5" t="s">
        <v>24</v>
      </c>
      <c r="X486" s="5" t="s">
        <v>24</v>
      </c>
      <c r="Y486" s="5" t="s">
        <v>4899</v>
      </c>
      <c r="Z486" s="5" t="s">
        <v>4900</v>
      </c>
      <c r="AA486" s="5" t="s">
        <v>4900</v>
      </c>
      <c r="AB486" s="5" t="s">
        <v>4900</v>
      </c>
      <c r="AC486" s="5" t="s">
        <v>24</v>
      </c>
      <c r="AD486" s="5" t="s">
        <v>24</v>
      </c>
      <c r="AE486" s="5" t="s">
        <v>24</v>
      </c>
      <c r="AF486" s="5" t="s">
        <v>24</v>
      </c>
      <c r="AG486" s="5" t="s">
        <v>24</v>
      </c>
      <c r="AH486" s="5" t="s">
        <v>24</v>
      </c>
      <c r="AI486" s="5" t="s">
        <v>24</v>
      </c>
      <c r="AJ486" s="5" t="s">
        <v>24</v>
      </c>
      <c r="AK486" s="5" t="s">
        <v>24</v>
      </c>
      <c r="AL486" s="5" t="str">
        <f>VLOOKUP(mambo!$H486,Sheet1!B:C,2,FALSE)</f>
        <v>#N/A</v>
      </c>
    </row>
    <row r="487" ht="15.75" hidden="1" customHeight="1">
      <c r="A487" s="5" t="s">
        <v>4901</v>
      </c>
      <c r="B487" s="5" t="s">
        <v>4902</v>
      </c>
      <c r="C487" s="5" t="s">
        <v>336</v>
      </c>
      <c r="D487" s="5" t="s">
        <v>24</v>
      </c>
      <c r="E487" s="5" t="s">
        <v>1848</v>
      </c>
      <c r="F487" s="5" t="s">
        <v>1849</v>
      </c>
      <c r="G487" s="5" t="s">
        <v>24</v>
      </c>
      <c r="H487" s="5" t="s">
        <v>4903</v>
      </c>
      <c r="I487" s="5" t="s">
        <v>24</v>
      </c>
      <c r="J487" s="5" t="s">
        <v>24</v>
      </c>
      <c r="K487" s="5" t="s">
        <v>24</v>
      </c>
      <c r="L487" s="5" t="s">
        <v>24</v>
      </c>
      <c r="M487" s="5" t="s">
        <v>1885</v>
      </c>
      <c r="N487" s="5" t="s">
        <v>24</v>
      </c>
      <c r="O487" s="5" t="s">
        <v>1949</v>
      </c>
      <c r="P487" s="5" t="s">
        <v>24</v>
      </c>
      <c r="Q487" s="5" t="s">
        <v>24</v>
      </c>
      <c r="R487" s="5" t="s">
        <v>24</v>
      </c>
      <c r="S487" s="5" t="s">
        <v>1852</v>
      </c>
      <c r="T487" s="5" t="s">
        <v>2047</v>
      </c>
      <c r="U487" s="5" t="s">
        <v>2047</v>
      </c>
      <c r="V487" s="5" t="s">
        <v>1854</v>
      </c>
      <c r="W487" s="5" t="s">
        <v>24</v>
      </c>
      <c r="X487" s="5" t="s">
        <v>24</v>
      </c>
      <c r="Y487" s="5" t="s">
        <v>4904</v>
      </c>
      <c r="Z487" s="5" t="s">
        <v>4905</v>
      </c>
      <c r="AA487" s="5" t="s">
        <v>4905</v>
      </c>
      <c r="AB487" s="5" t="s">
        <v>4905</v>
      </c>
      <c r="AC487" s="5" t="s">
        <v>24</v>
      </c>
      <c r="AD487" s="5" t="s">
        <v>24</v>
      </c>
      <c r="AE487" s="5" t="s">
        <v>24</v>
      </c>
      <c r="AF487" s="5" t="s">
        <v>24</v>
      </c>
      <c r="AG487" s="5" t="s">
        <v>24</v>
      </c>
      <c r="AH487" s="5" t="s">
        <v>24</v>
      </c>
      <c r="AI487" s="5" t="s">
        <v>24</v>
      </c>
      <c r="AJ487" s="5" t="s">
        <v>24</v>
      </c>
      <c r="AK487" s="5" t="s">
        <v>24</v>
      </c>
      <c r="AL487" s="5" t="str">
        <f>VLOOKUP(mambo!$H487,Sheet1!B:C,2,FALSE)</f>
        <v>#N/A</v>
      </c>
    </row>
    <row r="488" ht="15.75" hidden="1" customHeight="1">
      <c r="A488" s="5" t="s">
        <v>4906</v>
      </c>
      <c r="B488" s="5" t="s">
        <v>4907</v>
      </c>
      <c r="C488" s="5" t="s">
        <v>1915</v>
      </c>
      <c r="D488" s="5" t="s">
        <v>24</v>
      </c>
      <c r="E488" s="5" t="s">
        <v>1848</v>
      </c>
      <c r="F488" s="5" t="s">
        <v>1849</v>
      </c>
      <c r="G488" s="5" t="s">
        <v>24</v>
      </c>
      <c r="H488" s="5" t="s">
        <v>4908</v>
      </c>
      <c r="I488" s="5" t="s">
        <v>24</v>
      </c>
      <c r="J488" s="5" t="s">
        <v>24</v>
      </c>
      <c r="K488" s="5" t="s">
        <v>24</v>
      </c>
      <c r="L488" s="5" t="s">
        <v>24</v>
      </c>
      <c r="M488" s="5" t="s">
        <v>24</v>
      </c>
      <c r="N488" s="5" t="s">
        <v>24</v>
      </c>
      <c r="O488" s="5" t="s">
        <v>1851</v>
      </c>
      <c r="P488" s="5" t="s">
        <v>24</v>
      </c>
      <c r="Q488" s="5" t="s">
        <v>24</v>
      </c>
      <c r="R488" s="5" t="s">
        <v>24</v>
      </c>
      <c r="S488" s="5" t="s">
        <v>1852</v>
      </c>
      <c r="T488" s="5" t="s">
        <v>4909</v>
      </c>
      <c r="U488" s="5" t="s">
        <v>4909</v>
      </c>
      <c r="V488" s="5" t="s">
        <v>1854</v>
      </c>
      <c r="W488" s="5" t="s">
        <v>24</v>
      </c>
      <c r="X488" s="5" t="s">
        <v>24</v>
      </c>
      <c r="Y488" s="5" t="s">
        <v>4910</v>
      </c>
      <c r="Z488" s="5" t="s">
        <v>4911</v>
      </c>
      <c r="AA488" s="5" t="s">
        <v>4911</v>
      </c>
      <c r="AB488" s="5" t="s">
        <v>4911</v>
      </c>
      <c r="AC488" s="5" t="s">
        <v>24</v>
      </c>
      <c r="AD488" s="5" t="s">
        <v>24</v>
      </c>
      <c r="AE488" s="5" t="s">
        <v>24</v>
      </c>
      <c r="AF488" s="5" t="s">
        <v>24</v>
      </c>
      <c r="AG488" s="5" t="s">
        <v>24</v>
      </c>
      <c r="AH488" s="5" t="s">
        <v>24</v>
      </c>
      <c r="AI488" s="5" t="s">
        <v>24</v>
      </c>
      <c r="AJ488" s="5" t="s">
        <v>24</v>
      </c>
      <c r="AK488" s="5" t="s">
        <v>24</v>
      </c>
      <c r="AL488" s="5" t="str">
        <f>VLOOKUP(mambo!$H488,Sheet1!B:C,2,FALSE)</f>
        <v>#N/A</v>
      </c>
    </row>
    <row r="489" ht="15.75" hidden="1" customHeight="1">
      <c r="A489" s="5" t="s">
        <v>4912</v>
      </c>
      <c r="B489" s="5" t="s">
        <v>4913</v>
      </c>
      <c r="C489" s="5" t="s">
        <v>117</v>
      </c>
      <c r="D489" s="5" t="s">
        <v>24</v>
      </c>
      <c r="E489" s="5" t="s">
        <v>1848</v>
      </c>
      <c r="F489" s="5" t="s">
        <v>1849</v>
      </c>
      <c r="G489" s="5" t="s">
        <v>24</v>
      </c>
      <c r="H489" s="5" t="s">
        <v>4914</v>
      </c>
      <c r="I489" s="5" t="s">
        <v>24</v>
      </c>
      <c r="J489" s="5" t="s">
        <v>24</v>
      </c>
      <c r="K489" s="5" t="s">
        <v>24</v>
      </c>
      <c r="L489" s="5" t="s">
        <v>24</v>
      </c>
      <c r="M489" s="5" t="s">
        <v>24</v>
      </c>
      <c r="N489" s="5" t="s">
        <v>24</v>
      </c>
      <c r="O489" s="5" t="s">
        <v>1933</v>
      </c>
      <c r="P489" s="5" t="s">
        <v>24</v>
      </c>
      <c r="Q489" s="5" t="s">
        <v>24</v>
      </c>
      <c r="R489" s="5" t="s">
        <v>24</v>
      </c>
      <c r="S489" s="5" t="s">
        <v>1852</v>
      </c>
      <c r="T489" s="5" t="s">
        <v>2047</v>
      </c>
      <c r="U489" s="5" t="s">
        <v>2047</v>
      </c>
      <c r="V489" s="5" t="s">
        <v>1854</v>
      </c>
      <c r="W489" s="5" t="s">
        <v>24</v>
      </c>
      <c r="X489" s="5" t="s">
        <v>24</v>
      </c>
      <c r="Y489" s="5" t="s">
        <v>4915</v>
      </c>
      <c r="Z489" s="5" t="s">
        <v>4916</v>
      </c>
      <c r="AA489" s="5" t="s">
        <v>4916</v>
      </c>
      <c r="AB489" s="5" t="s">
        <v>4916</v>
      </c>
      <c r="AC489" s="5" t="s">
        <v>24</v>
      </c>
      <c r="AD489" s="5" t="s">
        <v>24</v>
      </c>
      <c r="AE489" s="5" t="s">
        <v>24</v>
      </c>
      <c r="AF489" s="5" t="s">
        <v>24</v>
      </c>
      <c r="AG489" s="5" t="s">
        <v>24</v>
      </c>
      <c r="AH489" s="5" t="s">
        <v>24</v>
      </c>
      <c r="AI489" s="5" t="s">
        <v>24</v>
      </c>
      <c r="AJ489" s="5" t="s">
        <v>24</v>
      </c>
      <c r="AK489" s="5" t="s">
        <v>24</v>
      </c>
      <c r="AL489" s="5" t="str">
        <f>VLOOKUP(mambo!$H489,Sheet1!B:C,2,FALSE)</f>
        <v>#N/A</v>
      </c>
    </row>
    <row r="490" ht="15.75" hidden="1" customHeight="1">
      <c r="A490" s="5" t="s">
        <v>4917</v>
      </c>
      <c r="B490" s="5" t="s">
        <v>4918</v>
      </c>
      <c r="C490" s="5" t="s">
        <v>227</v>
      </c>
      <c r="D490" s="5" t="s">
        <v>24</v>
      </c>
      <c r="E490" s="5" t="s">
        <v>1848</v>
      </c>
      <c r="F490" s="5" t="s">
        <v>1849</v>
      </c>
      <c r="G490" s="5" t="s">
        <v>24</v>
      </c>
      <c r="H490" s="5" t="s">
        <v>4919</v>
      </c>
      <c r="I490" s="5" t="s">
        <v>24</v>
      </c>
      <c r="J490" s="5" t="s">
        <v>24</v>
      </c>
      <c r="K490" s="5" t="s">
        <v>24</v>
      </c>
      <c r="L490" s="5" t="s">
        <v>24</v>
      </c>
      <c r="M490" s="5" t="s">
        <v>24</v>
      </c>
      <c r="N490" s="5" t="s">
        <v>24</v>
      </c>
      <c r="O490" s="5" t="s">
        <v>1933</v>
      </c>
      <c r="P490" s="5" t="s">
        <v>24</v>
      </c>
      <c r="Q490" s="5" t="s">
        <v>24</v>
      </c>
      <c r="R490" s="5" t="s">
        <v>24</v>
      </c>
      <c r="S490" s="5" t="s">
        <v>1852</v>
      </c>
      <c r="T490" s="5" t="s">
        <v>2363</v>
      </c>
      <c r="U490" s="5" t="s">
        <v>2363</v>
      </c>
      <c r="V490" s="5" t="s">
        <v>1854</v>
      </c>
      <c r="W490" s="5" t="s">
        <v>24</v>
      </c>
      <c r="X490" s="5" t="s">
        <v>24</v>
      </c>
      <c r="Y490" s="5" t="s">
        <v>4920</v>
      </c>
      <c r="Z490" s="5" t="s">
        <v>4921</v>
      </c>
      <c r="AA490" s="5" t="s">
        <v>4921</v>
      </c>
      <c r="AB490" s="5" t="s">
        <v>4921</v>
      </c>
      <c r="AC490" s="5" t="s">
        <v>24</v>
      </c>
      <c r="AD490" s="5" t="s">
        <v>24</v>
      </c>
      <c r="AE490" s="5" t="s">
        <v>24</v>
      </c>
      <c r="AF490" s="5" t="s">
        <v>24</v>
      </c>
      <c r="AG490" s="5" t="s">
        <v>24</v>
      </c>
      <c r="AH490" s="5" t="s">
        <v>24</v>
      </c>
      <c r="AI490" s="5" t="s">
        <v>24</v>
      </c>
      <c r="AJ490" s="5" t="s">
        <v>24</v>
      </c>
      <c r="AK490" s="5" t="s">
        <v>24</v>
      </c>
      <c r="AL490" s="5" t="str">
        <f>VLOOKUP(mambo!$H490,Sheet1!B:C,2,FALSE)</f>
        <v>#N/A</v>
      </c>
    </row>
    <row r="491" ht="15.75" hidden="1" customHeight="1">
      <c r="A491" s="5" t="s">
        <v>4917</v>
      </c>
      <c r="B491" s="5" t="s">
        <v>4918</v>
      </c>
      <c r="C491" s="5" t="s">
        <v>227</v>
      </c>
      <c r="D491" s="5" t="s">
        <v>24</v>
      </c>
      <c r="E491" s="5" t="s">
        <v>1848</v>
      </c>
      <c r="F491" s="5" t="s">
        <v>1849</v>
      </c>
      <c r="G491" s="5" t="s">
        <v>24</v>
      </c>
      <c r="H491" s="5" t="s">
        <v>4919</v>
      </c>
      <c r="I491" s="5" t="s">
        <v>24</v>
      </c>
      <c r="J491" s="5" t="s">
        <v>24</v>
      </c>
      <c r="K491" s="5" t="s">
        <v>24</v>
      </c>
      <c r="L491" s="5" t="s">
        <v>24</v>
      </c>
      <c r="M491" s="5" t="s">
        <v>24</v>
      </c>
      <c r="N491" s="5" t="s">
        <v>24</v>
      </c>
      <c r="O491" s="5" t="s">
        <v>1933</v>
      </c>
      <c r="P491" s="5" t="s">
        <v>24</v>
      </c>
      <c r="Q491" s="5" t="s">
        <v>24</v>
      </c>
      <c r="R491" s="5" t="s">
        <v>24</v>
      </c>
      <c r="S491" s="5" t="s">
        <v>1852</v>
      </c>
      <c r="T491" s="5" t="s">
        <v>2363</v>
      </c>
      <c r="U491" s="5" t="s">
        <v>2363</v>
      </c>
      <c r="V491" s="5" t="s">
        <v>1854</v>
      </c>
      <c r="W491" s="5" t="s">
        <v>24</v>
      </c>
      <c r="X491" s="5" t="s">
        <v>24</v>
      </c>
      <c r="Y491" s="5" t="s">
        <v>4920</v>
      </c>
      <c r="Z491" s="5" t="s">
        <v>4921</v>
      </c>
      <c r="AA491" s="5" t="s">
        <v>4921</v>
      </c>
      <c r="AB491" s="5" t="s">
        <v>4921</v>
      </c>
      <c r="AC491" s="5" t="s">
        <v>24</v>
      </c>
      <c r="AD491" s="5" t="s">
        <v>24</v>
      </c>
      <c r="AE491" s="5" t="s">
        <v>24</v>
      </c>
      <c r="AF491" s="5" t="s">
        <v>24</v>
      </c>
      <c r="AG491" s="5" t="s">
        <v>24</v>
      </c>
      <c r="AH491" s="5" t="s">
        <v>24</v>
      </c>
      <c r="AI491" s="5" t="s">
        <v>24</v>
      </c>
      <c r="AJ491" s="5" t="s">
        <v>24</v>
      </c>
      <c r="AK491" s="5" t="s">
        <v>24</v>
      </c>
      <c r="AL491" s="5" t="str">
        <f>VLOOKUP(mambo!$H491,Sheet1!B:C,2,FALSE)</f>
        <v>#N/A</v>
      </c>
    </row>
    <row r="492" ht="15.75" customHeight="1">
      <c r="A492" s="5" t="s">
        <v>4922</v>
      </c>
      <c r="B492" s="5" t="s">
        <v>4923</v>
      </c>
      <c r="C492" s="5" t="s">
        <v>336</v>
      </c>
      <c r="D492" s="5" t="s">
        <v>24</v>
      </c>
      <c r="E492" s="5" t="s">
        <v>1848</v>
      </c>
      <c r="F492" s="5" t="s">
        <v>1849</v>
      </c>
      <c r="G492" s="5" t="s">
        <v>24</v>
      </c>
      <c r="H492" s="5" t="s">
        <v>809</v>
      </c>
      <c r="I492" s="5" t="s">
        <v>24</v>
      </c>
      <c r="J492" s="5" t="s">
        <v>24</v>
      </c>
      <c r="K492" s="5" t="s">
        <v>24</v>
      </c>
      <c r="L492" s="5" t="s">
        <v>24</v>
      </c>
      <c r="M492" s="5" t="s">
        <v>1885</v>
      </c>
      <c r="N492" s="5" t="s">
        <v>24</v>
      </c>
      <c r="O492" s="5" t="s">
        <v>1949</v>
      </c>
      <c r="P492" s="5" t="s">
        <v>24</v>
      </c>
      <c r="Q492" s="5" t="s">
        <v>24</v>
      </c>
      <c r="R492" s="5" t="s">
        <v>24</v>
      </c>
      <c r="S492" s="5" t="s">
        <v>1852</v>
      </c>
      <c r="T492" s="5" t="s">
        <v>4924</v>
      </c>
      <c r="U492" s="5" t="s">
        <v>4924</v>
      </c>
      <c r="V492" s="5" t="s">
        <v>1854</v>
      </c>
      <c r="W492" s="5" t="s">
        <v>24</v>
      </c>
      <c r="X492" s="5" t="s">
        <v>24</v>
      </c>
      <c r="Y492" s="5" t="s">
        <v>4925</v>
      </c>
      <c r="Z492" s="5" t="s">
        <v>4926</v>
      </c>
      <c r="AA492" s="5" t="s">
        <v>4926</v>
      </c>
      <c r="AB492" s="5" t="s">
        <v>4926</v>
      </c>
      <c r="AC492" s="5" t="s">
        <v>24</v>
      </c>
      <c r="AD492" s="5" t="s">
        <v>24</v>
      </c>
      <c r="AE492" s="5" t="s">
        <v>24</v>
      </c>
      <c r="AF492" s="5" t="s">
        <v>24</v>
      </c>
      <c r="AG492" s="5" t="s">
        <v>24</v>
      </c>
      <c r="AH492" s="5" t="s">
        <v>24</v>
      </c>
      <c r="AI492" s="5" t="s">
        <v>24</v>
      </c>
      <c r="AJ492" s="5" t="s">
        <v>24</v>
      </c>
      <c r="AK492" s="5" t="s">
        <v>24</v>
      </c>
      <c r="AL492" s="5" t="str">
        <f>VLOOKUP(mambo!$H492,Sheet1!B:C,2,FALSE)</f>
        <v>1405475</v>
      </c>
    </row>
    <row r="493" ht="15.75" customHeight="1">
      <c r="A493" s="5" t="s">
        <v>4927</v>
      </c>
      <c r="B493" s="5" t="s">
        <v>4928</v>
      </c>
      <c r="C493" s="5" t="s">
        <v>503</v>
      </c>
      <c r="D493" s="5" t="s">
        <v>24</v>
      </c>
      <c r="E493" s="5" t="s">
        <v>1848</v>
      </c>
      <c r="F493" s="5" t="s">
        <v>1849</v>
      </c>
      <c r="G493" s="5" t="s">
        <v>24</v>
      </c>
      <c r="H493" s="5" t="s">
        <v>1353</v>
      </c>
      <c r="I493" s="5" t="s">
        <v>24</v>
      </c>
      <c r="J493" s="5" t="s">
        <v>24</v>
      </c>
      <c r="K493" s="5" t="s">
        <v>24</v>
      </c>
      <c r="L493" s="5" t="s">
        <v>24</v>
      </c>
      <c r="M493" s="5" t="s">
        <v>24</v>
      </c>
      <c r="N493" s="5" t="s">
        <v>24</v>
      </c>
      <c r="O493" s="5" t="s">
        <v>3136</v>
      </c>
      <c r="P493" s="5" t="s">
        <v>24</v>
      </c>
      <c r="Q493" s="5" t="s">
        <v>24</v>
      </c>
      <c r="R493" s="5" t="s">
        <v>24</v>
      </c>
      <c r="S493" s="5" t="s">
        <v>1852</v>
      </c>
      <c r="T493" s="5" t="s">
        <v>4929</v>
      </c>
      <c r="U493" s="5" t="s">
        <v>4929</v>
      </c>
      <c r="V493" s="5" t="s">
        <v>1854</v>
      </c>
      <c r="W493" s="5" t="s">
        <v>24</v>
      </c>
      <c r="X493" s="5" t="s">
        <v>24</v>
      </c>
      <c r="Y493" s="5" t="s">
        <v>4930</v>
      </c>
      <c r="Z493" s="5" t="s">
        <v>4931</v>
      </c>
      <c r="AA493" s="5" t="s">
        <v>4931</v>
      </c>
      <c r="AB493" s="5" t="s">
        <v>4931</v>
      </c>
      <c r="AC493" s="5" t="s">
        <v>24</v>
      </c>
      <c r="AD493" s="5" t="s">
        <v>24</v>
      </c>
      <c r="AE493" s="5" t="s">
        <v>24</v>
      </c>
      <c r="AF493" s="5" t="s">
        <v>24</v>
      </c>
      <c r="AG493" s="5" t="s">
        <v>24</v>
      </c>
      <c r="AH493" s="5" t="s">
        <v>24</v>
      </c>
      <c r="AI493" s="5" t="s">
        <v>24</v>
      </c>
      <c r="AJ493" s="5" t="s">
        <v>24</v>
      </c>
      <c r="AK493" s="5" t="s">
        <v>24</v>
      </c>
      <c r="AL493" s="5" t="str">
        <f>VLOOKUP(mambo!$H493,Sheet1!B:C,2,FALSE)</f>
        <v>1415652</v>
      </c>
    </row>
    <row r="494" ht="15.75" customHeight="1">
      <c r="A494" s="5" t="s">
        <v>4932</v>
      </c>
      <c r="B494" s="5" t="s">
        <v>4933</v>
      </c>
      <c r="C494" s="5" t="s">
        <v>2154</v>
      </c>
      <c r="D494" s="5" t="s">
        <v>24</v>
      </c>
      <c r="E494" s="5" t="s">
        <v>1848</v>
      </c>
      <c r="F494" s="5" t="s">
        <v>1849</v>
      </c>
      <c r="G494" s="5" t="s">
        <v>24</v>
      </c>
      <c r="H494" s="5" t="s">
        <v>1053</v>
      </c>
      <c r="I494" s="5" t="s">
        <v>24</v>
      </c>
      <c r="J494" s="5" t="s">
        <v>24</v>
      </c>
      <c r="K494" s="5" t="s">
        <v>24</v>
      </c>
      <c r="L494" s="5" t="s">
        <v>24</v>
      </c>
      <c r="M494" s="5" t="s">
        <v>24</v>
      </c>
      <c r="N494" s="5" t="s">
        <v>24</v>
      </c>
      <c r="O494" s="5" t="s">
        <v>1851</v>
      </c>
      <c r="P494" s="5" t="s">
        <v>24</v>
      </c>
      <c r="Q494" s="5" t="s">
        <v>24</v>
      </c>
      <c r="R494" s="5" t="s">
        <v>24</v>
      </c>
      <c r="S494" s="5" t="s">
        <v>1852</v>
      </c>
      <c r="T494" s="5" t="s">
        <v>2042</v>
      </c>
      <c r="U494" s="5" t="s">
        <v>2042</v>
      </c>
      <c r="V494" s="5" t="s">
        <v>1854</v>
      </c>
      <c r="W494" s="5" t="s">
        <v>24</v>
      </c>
      <c r="X494" s="5" t="s">
        <v>24</v>
      </c>
      <c r="Y494" s="5" t="s">
        <v>4934</v>
      </c>
      <c r="Z494" s="5" t="s">
        <v>4935</v>
      </c>
      <c r="AA494" s="5" t="s">
        <v>4935</v>
      </c>
      <c r="AB494" s="5" t="s">
        <v>4935</v>
      </c>
      <c r="AC494" s="5" t="s">
        <v>24</v>
      </c>
      <c r="AD494" s="5" t="s">
        <v>24</v>
      </c>
      <c r="AE494" s="5" t="s">
        <v>24</v>
      </c>
      <c r="AF494" s="5" t="s">
        <v>24</v>
      </c>
      <c r="AG494" s="5" t="s">
        <v>24</v>
      </c>
      <c r="AH494" s="5" t="s">
        <v>24</v>
      </c>
      <c r="AI494" s="5" t="s">
        <v>24</v>
      </c>
      <c r="AJ494" s="5" t="s">
        <v>24</v>
      </c>
      <c r="AK494" s="5" t="s">
        <v>24</v>
      </c>
      <c r="AL494" s="5" t="str">
        <f>VLOOKUP(mambo!$H494,Sheet1!B:C,2,FALSE)</f>
        <v>1396375</v>
      </c>
    </row>
    <row r="495" ht="15.75" hidden="1" customHeight="1">
      <c r="A495" s="5" t="s">
        <v>4936</v>
      </c>
      <c r="B495" s="5" t="s">
        <v>4937</v>
      </c>
      <c r="C495" s="5" t="s">
        <v>294</v>
      </c>
      <c r="D495" s="5" t="s">
        <v>24</v>
      </c>
      <c r="E495" s="5" t="s">
        <v>1848</v>
      </c>
      <c r="F495" s="5" t="s">
        <v>1849</v>
      </c>
      <c r="G495" s="5" t="s">
        <v>24</v>
      </c>
      <c r="H495" s="5" t="s">
        <v>4938</v>
      </c>
      <c r="I495" s="5" t="s">
        <v>24</v>
      </c>
      <c r="J495" s="5" t="s">
        <v>24</v>
      </c>
      <c r="K495" s="5" t="s">
        <v>24</v>
      </c>
      <c r="L495" s="5" t="s">
        <v>24</v>
      </c>
      <c r="M495" s="5" t="s">
        <v>24</v>
      </c>
      <c r="N495" s="5" t="s">
        <v>24</v>
      </c>
      <c r="O495" s="5" t="s">
        <v>1933</v>
      </c>
      <c r="P495" s="5" t="s">
        <v>24</v>
      </c>
      <c r="Q495" s="5" t="s">
        <v>24</v>
      </c>
      <c r="R495" s="5" t="s">
        <v>24</v>
      </c>
      <c r="S495" s="5" t="s">
        <v>1852</v>
      </c>
      <c r="T495" s="5" t="s">
        <v>2463</v>
      </c>
      <c r="U495" s="5" t="s">
        <v>2463</v>
      </c>
      <c r="V495" s="5" t="s">
        <v>1854</v>
      </c>
      <c r="W495" s="5" t="s">
        <v>24</v>
      </c>
      <c r="X495" s="5" t="s">
        <v>24</v>
      </c>
      <c r="Y495" s="5" t="s">
        <v>4939</v>
      </c>
      <c r="Z495" s="5" t="s">
        <v>4940</v>
      </c>
      <c r="AA495" s="5" t="s">
        <v>4940</v>
      </c>
      <c r="AB495" s="5" t="s">
        <v>4940</v>
      </c>
      <c r="AC495" s="5" t="s">
        <v>24</v>
      </c>
      <c r="AD495" s="5" t="s">
        <v>24</v>
      </c>
      <c r="AE495" s="5" t="s">
        <v>24</v>
      </c>
      <c r="AF495" s="5" t="s">
        <v>24</v>
      </c>
      <c r="AG495" s="5" t="s">
        <v>24</v>
      </c>
      <c r="AH495" s="5" t="s">
        <v>24</v>
      </c>
      <c r="AI495" s="5" t="s">
        <v>24</v>
      </c>
      <c r="AJ495" s="5" t="s">
        <v>24</v>
      </c>
      <c r="AK495" s="5" t="s">
        <v>24</v>
      </c>
      <c r="AL495" s="5" t="str">
        <f>VLOOKUP(mambo!$H495,Sheet1!B:C,2,FALSE)</f>
        <v>#N/A</v>
      </c>
    </row>
    <row r="496" ht="15.75" hidden="1" customHeight="1">
      <c r="A496" s="5" t="s">
        <v>4941</v>
      </c>
      <c r="B496" s="5" t="s">
        <v>4942</v>
      </c>
      <c r="C496" s="5" t="s">
        <v>394</v>
      </c>
      <c r="D496" s="5" t="s">
        <v>24</v>
      </c>
      <c r="E496" s="5" t="s">
        <v>1848</v>
      </c>
      <c r="F496" s="5" t="s">
        <v>1849</v>
      </c>
      <c r="G496" s="5" t="s">
        <v>24</v>
      </c>
      <c r="H496" s="5" t="s">
        <v>4943</v>
      </c>
      <c r="I496" s="5" t="s">
        <v>24</v>
      </c>
      <c r="J496" s="5" t="s">
        <v>24</v>
      </c>
      <c r="K496" s="5" t="s">
        <v>24</v>
      </c>
      <c r="L496" s="5" t="s">
        <v>24</v>
      </c>
      <c r="M496" s="5" t="s">
        <v>24</v>
      </c>
      <c r="N496" s="5" t="s">
        <v>24</v>
      </c>
      <c r="O496" s="5" t="s">
        <v>1933</v>
      </c>
      <c r="P496" s="5" t="s">
        <v>24</v>
      </c>
      <c r="Q496" s="5" t="s">
        <v>24</v>
      </c>
      <c r="R496" s="5" t="s">
        <v>24</v>
      </c>
      <c r="S496" s="5" t="s">
        <v>1852</v>
      </c>
      <c r="T496" s="5" t="s">
        <v>2363</v>
      </c>
      <c r="U496" s="5" t="s">
        <v>2363</v>
      </c>
      <c r="V496" s="5" t="s">
        <v>1854</v>
      </c>
      <c r="W496" s="5" t="s">
        <v>24</v>
      </c>
      <c r="X496" s="5" t="s">
        <v>24</v>
      </c>
      <c r="Y496" s="5" t="s">
        <v>4944</v>
      </c>
      <c r="Z496" s="5" t="s">
        <v>4945</v>
      </c>
      <c r="AA496" s="5" t="s">
        <v>4945</v>
      </c>
      <c r="AB496" s="5" t="s">
        <v>4945</v>
      </c>
      <c r="AC496" s="5" t="s">
        <v>24</v>
      </c>
      <c r="AD496" s="5" t="s">
        <v>24</v>
      </c>
      <c r="AE496" s="5" t="s">
        <v>24</v>
      </c>
      <c r="AF496" s="5" t="s">
        <v>24</v>
      </c>
      <c r="AG496" s="5" t="s">
        <v>24</v>
      </c>
      <c r="AH496" s="5" t="s">
        <v>24</v>
      </c>
      <c r="AI496" s="5" t="s">
        <v>24</v>
      </c>
      <c r="AJ496" s="5" t="s">
        <v>24</v>
      </c>
      <c r="AK496" s="5" t="s">
        <v>24</v>
      </c>
      <c r="AL496" s="5" t="str">
        <f>VLOOKUP(mambo!$H496,Sheet1!B:C,2,FALSE)</f>
        <v>#N/A</v>
      </c>
    </row>
    <row r="497" ht="15.75" hidden="1" customHeight="1">
      <c r="A497" s="5" t="s">
        <v>4946</v>
      </c>
      <c r="B497" s="5" t="s">
        <v>4947</v>
      </c>
      <c r="C497" s="5" t="s">
        <v>394</v>
      </c>
      <c r="D497" s="5" t="s">
        <v>24</v>
      </c>
      <c r="E497" s="5" t="s">
        <v>1848</v>
      </c>
      <c r="F497" s="5" t="s">
        <v>1849</v>
      </c>
      <c r="G497" s="5" t="s">
        <v>24</v>
      </c>
      <c r="H497" s="5" t="s">
        <v>4948</v>
      </c>
      <c r="I497" s="5" t="s">
        <v>24</v>
      </c>
      <c r="J497" s="5" t="s">
        <v>24</v>
      </c>
      <c r="K497" s="5" t="s">
        <v>24</v>
      </c>
      <c r="L497" s="5" t="s">
        <v>24</v>
      </c>
      <c r="M497" s="5" t="s">
        <v>24</v>
      </c>
      <c r="N497" s="5" t="s">
        <v>24</v>
      </c>
      <c r="O497" s="5" t="s">
        <v>1933</v>
      </c>
      <c r="P497" s="5" t="s">
        <v>24</v>
      </c>
      <c r="Q497" s="5" t="s">
        <v>24</v>
      </c>
      <c r="R497" s="5" t="s">
        <v>24</v>
      </c>
      <c r="S497" s="5" t="s">
        <v>1852</v>
      </c>
      <c r="T497" s="5" t="s">
        <v>2363</v>
      </c>
      <c r="U497" s="5" t="s">
        <v>2363</v>
      </c>
      <c r="V497" s="5" t="s">
        <v>1854</v>
      </c>
      <c r="W497" s="5" t="s">
        <v>24</v>
      </c>
      <c r="X497" s="5" t="s">
        <v>24</v>
      </c>
      <c r="Y497" s="5" t="s">
        <v>4949</v>
      </c>
      <c r="Z497" s="5" t="s">
        <v>4950</v>
      </c>
      <c r="AA497" s="5" t="s">
        <v>4950</v>
      </c>
      <c r="AB497" s="5" t="s">
        <v>4950</v>
      </c>
      <c r="AC497" s="5" t="s">
        <v>24</v>
      </c>
      <c r="AD497" s="5" t="s">
        <v>24</v>
      </c>
      <c r="AE497" s="5" t="s">
        <v>24</v>
      </c>
      <c r="AF497" s="5" t="s">
        <v>24</v>
      </c>
      <c r="AG497" s="5" t="s">
        <v>24</v>
      </c>
      <c r="AH497" s="5" t="s">
        <v>24</v>
      </c>
      <c r="AI497" s="5" t="s">
        <v>24</v>
      </c>
      <c r="AJ497" s="5" t="s">
        <v>24</v>
      </c>
      <c r="AK497" s="5" t="s">
        <v>24</v>
      </c>
      <c r="AL497" s="5" t="str">
        <f>VLOOKUP(mambo!$H497,Sheet1!B:C,2,FALSE)</f>
        <v>#N/A</v>
      </c>
    </row>
    <row r="498" ht="15.75" hidden="1" customHeight="1">
      <c r="A498" s="5" t="s">
        <v>4951</v>
      </c>
      <c r="B498" s="5" t="s">
        <v>4952</v>
      </c>
      <c r="C498" s="5" t="s">
        <v>394</v>
      </c>
      <c r="D498" s="5" t="s">
        <v>24</v>
      </c>
      <c r="E498" s="5" t="s">
        <v>1848</v>
      </c>
      <c r="F498" s="5" t="s">
        <v>1849</v>
      </c>
      <c r="G498" s="5" t="s">
        <v>24</v>
      </c>
      <c r="H498" s="5" t="s">
        <v>4953</v>
      </c>
      <c r="I498" s="5" t="s">
        <v>24</v>
      </c>
      <c r="J498" s="5" t="s">
        <v>24</v>
      </c>
      <c r="K498" s="5" t="s">
        <v>24</v>
      </c>
      <c r="L498" s="5" t="s">
        <v>24</v>
      </c>
      <c r="M498" s="5" t="s">
        <v>24</v>
      </c>
      <c r="N498" s="5" t="s">
        <v>24</v>
      </c>
      <c r="O498" s="5" t="s">
        <v>1933</v>
      </c>
      <c r="P498" s="5" t="s">
        <v>24</v>
      </c>
      <c r="Q498" s="5" t="s">
        <v>24</v>
      </c>
      <c r="R498" s="5" t="s">
        <v>24</v>
      </c>
      <c r="S498" s="5" t="s">
        <v>1852</v>
      </c>
      <c r="T498" s="5" t="s">
        <v>2363</v>
      </c>
      <c r="U498" s="5" t="s">
        <v>2363</v>
      </c>
      <c r="V498" s="5" t="s">
        <v>1854</v>
      </c>
      <c r="W498" s="5" t="s">
        <v>24</v>
      </c>
      <c r="X498" s="5" t="s">
        <v>24</v>
      </c>
      <c r="Y498" s="5" t="s">
        <v>4954</v>
      </c>
      <c r="Z498" s="5" t="s">
        <v>4955</v>
      </c>
      <c r="AA498" s="5" t="s">
        <v>4955</v>
      </c>
      <c r="AB498" s="5" t="s">
        <v>4955</v>
      </c>
      <c r="AC498" s="5" t="s">
        <v>24</v>
      </c>
      <c r="AD498" s="5" t="s">
        <v>24</v>
      </c>
      <c r="AE498" s="5" t="s">
        <v>24</v>
      </c>
      <c r="AF498" s="5" t="s">
        <v>24</v>
      </c>
      <c r="AG498" s="5" t="s">
        <v>24</v>
      </c>
      <c r="AH498" s="5" t="s">
        <v>24</v>
      </c>
      <c r="AI498" s="5" t="s">
        <v>24</v>
      </c>
      <c r="AJ498" s="5" t="s">
        <v>24</v>
      </c>
      <c r="AK498" s="5" t="s">
        <v>24</v>
      </c>
      <c r="AL498" s="5" t="str">
        <f>VLOOKUP(mambo!$H498,Sheet1!B:C,2,FALSE)</f>
        <v>#N/A</v>
      </c>
    </row>
    <row r="499" ht="15.75" hidden="1" customHeight="1">
      <c r="A499" s="5" t="s">
        <v>4956</v>
      </c>
      <c r="B499" s="5" t="s">
        <v>4957</v>
      </c>
      <c r="C499" s="5" t="s">
        <v>503</v>
      </c>
      <c r="D499" s="5" t="s">
        <v>24</v>
      </c>
      <c r="E499" s="5" t="s">
        <v>1848</v>
      </c>
      <c r="F499" s="5" t="s">
        <v>1849</v>
      </c>
      <c r="G499" s="5" t="s">
        <v>24</v>
      </c>
      <c r="H499" s="5" t="s">
        <v>4958</v>
      </c>
      <c r="I499" s="5" t="s">
        <v>24</v>
      </c>
      <c r="J499" s="5" t="s">
        <v>24</v>
      </c>
      <c r="K499" s="5" t="s">
        <v>24</v>
      </c>
      <c r="L499" s="5" t="s">
        <v>24</v>
      </c>
      <c r="M499" s="5" t="s">
        <v>24</v>
      </c>
      <c r="N499" s="5" t="s">
        <v>24</v>
      </c>
      <c r="O499" s="5" t="s">
        <v>3023</v>
      </c>
      <c r="P499" s="5" t="s">
        <v>24</v>
      </c>
      <c r="Q499" s="5" t="s">
        <v>24</v>
      </c>
      <c r="R499" s="5" t="s">
        <v>24</v>
      </c>
      <c r="S499" s="5" t="s">
        <v>1852</v>
      </c>
      <c r="T499" s="5" t="s">
        <v>4471</v>
      </c>
      <c r="U499" s="5" t="s">
        <v>4471</v>
      </c>
      <c r="V499" s="5" t="s">
        <v>1854</v>
      </c>
      <c r="W499" s="5" t="s">
        <v>24</v>
      </c>
      <c r="X499" s="5" t="s">
        <v>24</v>
      </c>
      <c r="Y499" s="5" t="s">
        <v>4959</v>
      </c>
      <c r="Z499" s="5" t="s">
        <v>4960</v>
      </c>
      <c r="AA499" s="5" t="s">
        <v>4960</v>
      </c>
      <c r="AB499" s="5" t="s">
        <v>4960</v>
      </c>
      <c r="AC499" s="5" t="s">
        <v>24</v>
      </c>
      <c r="AD499" s="5" t="s">
        <v>24</v>
      </c>
      <c r="AE499" s="5" t="s">
        <v>24</v>
      </c>
      <c r="AF499" s="5" t="s">
        <v>24</v>
      </c>
      <c r="AG499" s="5" t="s">
        <v>24</v>
      </c>
      <c r="AH499" s="5" t="s">
        <v>24</v>
      </c>
      <c r="AI499" s="5" t="s">
        <v>24</v>
      </c>
      <c r="AJ499" s="5" t="s">
        <v>24</v>
      </c>
      <c r="AK499" s="5" t="s">
        <v>24</v>
      </c>
      <c r="AL499" s="5" t="str">
        <f>VLOOKUP(mambo!$H499,Sheet1!B:C,2,FALSE)</f>
        <v>#N/A</v>
      </c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81.13"/>
    <col customWidth="1" min="3" max="3" width="24.25"/>
    <col customWidth="1" min="4" max="4" width="14.75"/>
    <col customWidth="1" min="5" max="5" width="16.38"/>
    <col customWidth="1" min="6" max="6" width="12.0"/>
    <col customWidth="1" min="7" max="7" width="16.0"/>
    <col customWidth="1" min="8" max="8" width="7.75"/>
    <col customWidth="1" min="9" max="9" width="10.0"/>
    <col customWidth="1" min="10" max="10" width="8.25"/>
    <col customWidth="1" min="11" max="11" width="8.38"/>
    <col customWidth="1" min="12" max="12" width="11.38"/>
    <col customWidth="1" min="13" max="13" width="14.88"/>
    <col customWidth="1" min="14" max="14" width="9.38"/>
    <col customWidth="1" min="15" max="15" width="7.75"/>
    <col customWidth="1" min="16" max="16" width="10.0"/>
    <col customWidth="1" min="17" max="17" width="10.13"/>
    <col customWidth="1" min="18" max="18" width="11.75"/>
    <col customWidth="1" min="19" max="19" width="17.75"/>
    <col customWidth="1" min="20" max="20" width="8.38"/>
    <col customWidth="1" min="21" max="21" width="14.63"/>
    <col customWidth="1" min="22" max="22" width="12.0"/>
    <col customWidth="1" min="23" max="23" width="12.25"/>
    <col customWidth="1" min="24" max="24" width="14.13"/>
    <col customWidth="1" min="25" max="27" width="81.13"/>
    <col customWidth="1" min="28" max="28" width="8.63"/>
  </cols>
  <sheetData>
    <row r="1">
      <c r="A1" s="1" t="s">
        <v>1808</v>
      </c>
      <c r="B1" s="1" t="s">
        <v>1809</v>
      </c>
      <c r="C1" s="1" t="s">
        <v>1810</v>
      </c>
      <c r="D1" s="1" t="s">
        <v>1811</v>
      </c>
      <c r="E1" s="1" t="s">
        <v>2</v>
      </c>
      <c r="F1" s="1" t="s">
        <v>1812</v>
      </c>
      <c r="G1" s="1" t="s">
        <v>1813</v>
      </c>
      <c r="H1" s="1" t="s">
        <v>1814</v>
      </c>
      <c r="I1" s="1" t="s">
        <v>1815</v>
      </c>
      <c r="J1" s="1" t="s">
        <v>1816</v>
      </c>
      <c r="K1" s="1" t="s">
        <v>1817</v>
      </c>
      <c r="L1" s="1" t="s">
        <v>1818</v>
      </c>
      <c r="M1" s="1" t="s">
        <v>1819</v>
      </c>
      <c r="N1" s="1" t="s">
        <v>1820</v>
      </c>
      <c r="O1" s="1" t="s">
        <v>1821</v>
      </c>
      <c r="P1" s="1" t="s">
        <v>1822</v>
      </c>
      <c r="Q1" s="1" t="s">
        <v>1823</v>
      </c>
      <c r="R1" s="1" t="s">
        <v>1824</v>
      </c>
      <c r="S1" s="1" t="s">
        <v>1825</v>
      </c>
      <c r="T1" s="1" t="s">
        <v>1826</v>
      </c>
      <c r="U1" s="1" t="s">
        <v>1827</v>
      </c>
      <c r="V1" s="1" t="s">
        <v>1828</v>
      </c>
      <c r="W1" s="1" t="s">
        <v>1829</v>
      </c>
      <c r="X1" s="1" t="s">
        <v>1830</v>
      </c>
      <c r="Y1" s="1" t="s">
        <v>1831</v>
      </c>
      <c r="Z1" s="1" t="s">
        <v>1832</v>
      </c>
      <c r="AA1" s="1" t="s">
        <v>1833</v>
      </c>
      <c r="AB1" s="1" t="s">
        <v>1844</v>
      </c>
    </row>
    <row r="2">
      <c r="A2" s="5" t="s">
        <v>4961</v>
      </c>
      <c r="B2" s="5" t="s">
        <v>4962</v>
      </c>
      <c r="C2" s="5" t="s">
        <v>503</v>
      </c>
      <c r="D2" s="5" t="s">
        <v>24</v>
      </c>
      <c r="E2" s="5" t="s">
        <v>1849</v>
      </c>
      <c r="F2" s="5" t="s">
        <v>4963</v>
      </c>
      <c r="G2" s="5" t="s">
        <v>24</v>
      </c>
      <c r="H2" s="5" t="s">
        <v>24</v>
      </c>
      <c r="I2" s="5" t="s">
        <v>24</v>
      </c>
      <c r="J2" s="5" t="s">
        <v>24</v>
      </c>
      <c r="K2" s="5" t="s">
        <v>24</v>
      </c>
      <c r="L2" s="5" t="s">
        <v>24</v>
      </c>
      <c r="M2" s="5" t="s">
        <v>24</v>
      </c>
      <c r="N2" s="5" t="s">
        <v>24</v>
      </c>
      <c r="O2" s="5" t="s">
        <v>3598</v>
      </c>
      <c r="P2" s="5" t="s">
        <v>24</v>
      </c>
      <c r="Q2" s="5" t="s">
        <v>24</v>
      </c>
      <c r="R2" s="5" t="s">
        <v>24</v>
      </c>
      <c r="S2" s="5" t="s">
        <v>2020</v>
      </c>
      <c r="T2" s="5" t="s">
        <v>2021</v>
      </c>
      <c r="U2" s="5" t="s">
        <v>2021</v>
      </c>
      <c r="V2" s="5" t="s">
        <v>24</v>
      </c>
      <c r="W2" s="5" t="s">
        <v>24</v>
      </c>
      <c r="X2" s="5" t="s">
        <v>24</v>
      </c>
      <c r="Y2" s="5" t="s">
        <v>4964</v>
      </c>
      <c r="Z2" s="5" t="s">
        <v>4965</v>
      </c>
      <c r="AA2" s="5" t="s">
        <v>4965</v>
      </c>
      <c r="AB2" s="5"/>
    </row>
    <row r="3">
      <c r="A3" s="5" t="s">
        <v>4966</v>
      </c>
      <c r="B3" s="5" t="s">
        <v>4967</v>
      </c>
      <c r="C3" s="5" t="s">
        <v>4968</v>
      </c>
      <c r="D3" s="5" t="s">
        <v>24</v>
      </c>
      <c r="E3" s="5" t="s">
        <v>1849</v>
      </c>
      <c r="F3" s="5" t="s">
        <v>4963</v>
      </c>
      <c r="G3" s="5" t="s">
        <v>24</v>
      </c>
      <c r="H3" s="5" t="s">
        <v>24</v>
      </c>
      <c r="I3" s="5" t="s">
        <v>24</v>
      </c>
      <c r="J3" s="5" t="s">
        <v>24</v>
      </c>
      <c r="K3" s="5" t="s">
        <v>24</v>
      </c>
      <c r="L3" s="5" t="s">
        <v>24</v>
      </c>
      <c r="M3" s="5" t="s">
        <v>1885</v>
      </c>
      <c r="N3" s="5" t="s">
        <v>24</v>
      </c>
      <c r="O3" s="5" t="s">
        <v>24</v>
      </c>
      <c r="P3" s="5" t="s">
        <v>24</v>
      </c>
      <c r="Q3" s="5" t="s">
        <v>24</v>
      </c>
      <c r="R3" s="5" t="s">
        <v>24</v>
      </c>
      <c r="S3" s="5" t="s">
        <v>2020</v>
      </c>
      <c r="T3" s="5" t="s">
        <v>2021</v>
      </c>
      <c r="U3" s="5" t="s">
        <v>2021</v>
      </c>
      <c r="V3" s="5" t="s">
        <v>24</v>
      </c>
      <c r="W3" s="5" t="s">
        <v>24</v>
      </c>
      <c r="X3" s="5" t="s">
        <v>24</v>
      </c>
      <c r="Y3" s="5" t="s">
        <v>4969</v>
      </c>
      <c r="Z3" s="5" t="s">
        <v>4970</v>
      </c>
      <c r="AA3" s="5" t="s">
        <v>4970</v>
      </c>
      <c r="AB3" s="5"/>
    </row>
    <row r="4">
      <c r="A4" s="5" t="s">
        <v>4971</v>
      </c>
      <c r="B4" s="5" t="s">
        <v>4972</v>
      </c>
      <c r="C4" s="5" t="s">
        <v>4968</v>
      </c>
      <c r="D4" s="5" t="s">
        <v>24</v>
      </c>
      <c r="E4" s="5" t="s">
        <v>1849</v>
      </c>
      <c r="F4" s="5" t="s">
        <v>4963</v>
      </c>
      <c r="G4" s="5" t="s">
        <v>24</v>
      </c>
      <c r="H4" s="5" t="s">
        <v>24</v>
      </c>
      <c r="I4" s="5" t="s">
        <v>24</v>
      </c>
      <c r="J4" s="5" t="s">
        <v>24</v>
      </c>
      <c r="K4" s="5" t="s">
        <v>24</v>
      </c>
      <c r="L4" s="5" t="s">
        <v>24</v>
      </c>
      <c r="M4" s="5" t="s">
        <v>1885</v>
      </c>
      <c r="N4" s="5" t="s">
        <v>24</v>
      </c>
      <c r="O4" s="5" t="s">
        <v>24</v>
      </c>
      <c r="P4" s="5" t="s">
        <v>24</v>
      </c>
      <c r="Q4" s="5" t="s">
        <v>24</v>
      </c>
      <c r="R4" s="5" t="s">
        <v>24</v>
      </c>
      <c r="S4" s="5" t="s">
        <v>2020</v>
      </c>
      <c r="T4" s="5" t="s">
        <v>2021</v>
      </c>
      <c r="U4" s="5" t="s">
        <v>2021</v>
      </c>
      <c r="V4" s="5" t="s">
        <v>24</v>
      </c>
      <c r="W4" s="5" t="s">
        <v>24</v>
      </c>
      <c r="X4" s="5" t="s">
        <v>24</v>
      </c>
      <c r="Y4" s="5" t="s">
        <v>4973</v>
      </c>
      <c r="Z4" s="5" t="s">
        <v>4974</v>
      </c>
      <c r="AA4" s="5" t="s">
        <v>4974</v>
      </c>
      <c r="AB4" s="5"/>
    </row>
    <row r="5">
      <c r="A5" s="5" t="s">
        <v>4975</v>
      </c>
      <c r="B5" s="5" t="s">
        <v>4976</v>
      </c>
      <c r="C5" s="5" t="s">
        <v>4968</v>
      </c>
      <c r="D5" s="5" t="s">
        <v>24</v>
      </c>
      <c r="E5" s="5" t="s">
        <v>1849</v>
      </c>
      <c r="F5" s="5" t="s">
        <v>4963</v>
      </c>
      <c r="G5" s="5" t="s">
        <v>24</v>
      </c>
      <c r="H5" s="5" t="s">
        <v>24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1885</v>
      </c>
      <c r="N5" s="5" t="s">
        <v>24</v>
      </c>
      <c r="O5" s="5" t="s">
        <v>24</v>
      </c>
      <c r="P5" s="5" t="s">
        <v>24</v>
      </c>
      <c r="Q5" s="5" t="s">
        <v>24</v>
      </c>
      <c r="R5" s="5" t="s">
        <v>24</v>
      </c>
      <c r="S5" s="5" t="s">
        <v>2020</v>
      </c>
      <c r="T5" s="5" t="s">
        <v>2021</v>
      </c>
      <c r="U5" s="5" t="s">
        <v>2021</v>
      </c>
      <c r="V5" s="5" t="s">
        <v>24</v>
      </c>
      <c r="W5" s="5" t="s">
        <v>24</v>
      </c>
      <c r="X5" s="5" t="s">
        <v>24</v>
      </c>
      <c r="Y5" s="5" t="s">
        <v>4977</v>
      </c>
      <c r="Z5" s="5" t="s">
        <v>4978</v>
      </c>
      <c r="AA5" s="5" t="s">
        <v>4978</v>
      </c>
      <c r="AB5" s="5"/>
    </row>
    <row r="6">
      <c r="A6" s="5" t="s">
        <v>4979</v>
      </c>
      <c r="B6" s="5" t="s">
        <v>4980</v>
      </c>
      <c r="C6" s="5" t="s">
        <v>4968</v>
      </c>
      <c r="D6" s="5" t="s">
        <v>24</v>
      </c>
      <c r="E6" s="5" t="s">
        <v>1849</v>
      </c>
      <c r="F6" s="5" t="s">
        <v>4963</v>
      </c>
      <c r="G6" s="5" t="s">
        <v>24</v>
      </c>
      <c r="H6" s="5" t="s">
        <v>24</v>
      </c>
      <c r="I6" s="5" t="s">
        <v>24</v>
      </c>
      <c r="J6" s="5" t="s">
        <v>24</v>
      </c>
      <c r="K6" s="5" t="s">
        <v>24</v>
      </c>
      <c r="L6" s="5" t="s">
        <v>24</v>
      </c>
      <c r="M6" s="5" t="s">
        <v>1885</v>
      </c>
      <c r="N6" s="5" t="s">
        <v>24</v>
      </c>
      <c r="O6" s="5" t="s">
        <v>24</v>
      </c>
      <c r="P6" s="5" t="s">
        <v>24</v>
      </c>
      <c r="Q6" s="5" t="s">
        <v>24</v>
      </c>
      <c r="R6" s="5" t="s">
        <v>24</v>
      </c>
      <c r="S6" s="5" t="s">
        <v>2020</v>
      </c>
      <c r="T6" s="5" t="s">
        <v>2021</v>
      </c>
      <c r="U6" s="5" t="s">
        <v>2021</v>
      </c>
      <c r="V6" s="5" t="s">
        <v>24</v>
      </c>
      <c r="W6" s="5" t="s">
        <v>24</v>
      </c>
      <c r="X6" s="5" t="s">
        <v>24</v>
      </c>
      <c r="Y6" s="5" t="s">
        <v>4981</v>
      </c>
      <c r="Z6" s="5" t="s">
        <v>4982</v>
      </c>
      <c r="AA6" s="5" t="s">
        <v>4982</v>
      </c>
      <c r="AB6" s="5"/>
    </row>
    <row r="7">
      <c r="A7" s="5" t="s">
        <v>4983</v>
      </c>
      <c r="B7" s="5" t="s">
        <v>4984</v>
      </c>
      <c r="C7" s="5" t="s">
        <v>117</v>
      </c>
      <c r="D7" s="5" t="s">
        <v>24</v>
      </c>
      <c r="E7" s="5" t="s">
        <v>1849</v>
      </c>
      <c r="F7" s="5" t="s">
        <v>4963</v>
      </c>
      <c r="G7" s="5" t="s">
        <v>24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5" t="s">
        <v>1851</v>
      </c>
      <c r="P7" s="5" t="s">
        <v>24</v>
      </c>
      <c r="Q7" s="5" t="s">
        <v>24</v>
      </c>
      <c r="R7" s="5" t="s">
        <v>24</v>
      </c>
      <c r="S7" s="5" t="s">
        <v>2020</v>
      </c>
      <c r="T7" s="5" t="s">
        <v>2021</v>
      </c>
      <c r="U7" s="5" t="s">
        <v>2021</v>
      </c>
      <c r="V7" s="5" t="s">
        <v>24</v>
      </c>
      <c r="W7" s="5" t="s">
        <v>24</v>
      </c>
      <c r="X7" s="5" t="s">
        <v>24</v>
      </c>
      <c r="Y7" s="5" t="s">
        <v>4985</v>
      </c>
      <c r="Z7" s="5" t="s">
        <v>4986</v>
      </c>
      <c r="AA7" s="5" t="s">
        <v>4986</v>
      </c>
      <c r="AB7" s="5"/>
    </row>
    <row r="8">
      <c r="A8" s="5" t="s">
        <v>4987</v>
      </c>
      <c r="B8" s="5" t="s">
        <v>4988</v>
      </c>
      <c r="C8" s="5" t="s">
        <v>4968</v>
      </c>
      <c r="D8" s="5" t="s">
        <v>24</v>
      </c>
      <c r="E8" s="5" t="s">
        <v>1849</v>
      </c>
      <c r="F8" s="5" t="s">
        <v>4963</v>
      </c>
      <c r="G8" s="5" t="s">
        <v>24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24</v>
      </c>
      <c r="O8" s="5" t="s">
        <v>24</v>
      </c>
      <c r="P8" s="5" t="s">
        <v>24</v>
      </c>
      <c r="Q8" s="5" t="s">
        <v>24</v>
      </c>
      <c r="R8" s="5" t="s">
        <v>24</v>
      </c>
      <c r="S8" s="5" t="s">
        <v>2020</v>
      </c>
      <c r="T8" s="5" t="s">
        <v>2021</v>
      </c>
      <c r="U8" s="5" t="s">
        <v>2021</v>
      </c>
      <c r="V8" s="5" t="s">
        <v>24</v>
      </c>
      <c r="W8" s="5" t="s">
        <v>24</v>
      </c>
      <c r="X8" s="5" t="s">
        <v>24</v>
      </c>
      <c r="Y8" s="5" t="s">
        <v>4989</v>
      </c>
      <c r="Z8" s="5" t="s">
        <v>4990</v>
      </c>
      <c r="AA8" s="5" t="s">
        <v>4990</v>
      </c>
      <c r="AB8" s="5"/>
    </row>
    <row r="9">
      <c r="A9" s="5" t="s">
        <v>4991</v>
      </c>
      <c r="B9" s="5" t="s">
        <v>4992</v>
      </c>
      <c r="C9" s="5" t="s">
        <v>336</v>
      </c>
      <c r="D9" s="5" t="s">
        <v>24</v>
      </c>
      <c r="E9" s="5" t="s">
        <v>1849</v>
      </c>
      <c r="F9" s="5" t="s">
        <v>4963</v>
      </c>
      <c r="G9" s="5" t="s">
        <v>24</v>
      </c>
      <c r="H9" s="5" t="s">
        <v>24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24</v>
      </c>
      <c r="N9" s="5" t="s">
        <v>24</v>
      </c>
      <c r="O9" s="5" t="s">
        <v>24</v>
      </c>
      <c r="P9" s="5" t="s">
        <v>24</v>
      </c>
      <c r="Q9" s="5" t="s">
        <v>24</v>
      </c>
      <c r="R9" s="5" t="s">
        <v>24</v>
      </c>
      <c r="S9" s="5" t="s">
        <v>2020</v>
      </c>
      <c r="T9" s="5" t="s">
        <v>2021</v>
      </c>
      <c r="U9" s="5" t="s">
        <v>2021</v>
      </c>
      <c r="V9" s="5" t="s">
        <v>24</v>
      </c>
      <c r="W9" s="5" t="s">
        <v>24</v>
      </c>
      <c r="X9" s="5" t="s">
        <v>24</v>
      </c>
      <c r="Y9" s="5" t="s">
        <v>4993</v>
      </c>
      <c r="Z9" s="5" t="s">
        <v>4994</v>
      </c>
      <c r="AA9" s="5" t="s">
        <v>4994</v>
      </c>
      <c r="AB9" s="5"/>
    </row>
    <row r="10">
      <c r="A10" s="5" t="s">
        <v>4995</v>
      </c>
      <c r="B10" s="5" t="s">
        <v>4996</v>
      </c>
      <c r="C10" s="5" t="s">
        <v>336</v>
      </c>
      <c r="D10" s="5" t="s">
        <v>24</v>
      </c>
      <c r="E10" s="5" t="s">
        <v>1849</v>
      </c>
      <c r="F10" s="5" t="s">
        <v>4963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4504</v>
      </c>
      <c r="N10" s="5" t="s">
        <v>24</v>
      </c>
      <c r="O10" s="5" t="s">
        <v>24</v>
      </c>
      <c r="P10" s="5" t="s">
        <v>24</v>
      </c>
      <c r="Q10" s="5" t="s">
        <v>24</v>
      </c>
      <c r="R10" s="5" t="s">
        <v>24</v>
      </c>
      <c r="S10" s="5" t="s">
        <v>2020</v>
      </c>
      <c r="T10" s="5" t="s">
        <v>2021</v>
      </c>
      <c r="U10" s="5" t="s">
        <v>2021</v>
      </c>
      <c r="V10" s="5" t="s">
        <v>24</v>
      </c>
      <c r="W10" s="5" t="s">
        <v>24</v>
      </c>
      <c r="X10" s="5" t="s">
        <v>24</v>
      </c>
      <c r="Y10" s="5" t="s">
        <v>4997</v>
      </c>
      <c r="Z10" s="5" t="s">
        <v>4998</v>
      </c>
      <c r="AA10" s="5" t="s">
        <v>4998</v>
      </c>
      <c r="AB10" s="5"/>
    </row>
    <row r="11">
      <c r="A11" s="5" t="s">
        <v>4999</v>
      </c>
      <c r="B11" s="5" t="s">
        <v>5000</v>
      </c>
      <c r="C11" s="5" t="s">
        <v>336</v>
      </c>
      <c r="D11" s="5" t="s">
        <v>24</v>
      </c>
      <c r="E11" s="5" t="s">
        <v>1849</v>
      </c>
      <c r="F11" s="5" t="s">
        <v>4963</v>
      </c>
      <c r="G11" s="5" t="s">
        <v>24</v>
      </c>
      <c r="H11" s="5" t="s">
        <v>24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5" t="s">
        <v>24</v>
      </c>
      <c r="P11" s="5" t="s">
        <v>24</v>
      </c>
      <c r="Q11" s="5" t="s">
        <v>24</v>
      </c>
      <c r="R11" s="5" t="s">
        <v>24</v>
      </c>
      <c r="S11" s="5" t="s">
        <v>2020</v>
      </c>
      <c r="T11" s="5" t="s">
        <v>2021</v>
      </c>
      <c r="U11" s="5" t="s">
        <v>2021</v>
      </c>
      <c r="V11" s="5" t="s">
        <v>24</v>
      </c>
      <c r="W11" s="5" t="s">
        <v>24</v>
      </c>
      <c r="X11" s="5" t="s">
        <v>24</v>
      </c>
      <c r="Y11" s="5" t="s">
        <v>5001</v>
      </c>
      <c r="Z11" s="5" t="s">
        <v>5002</v>
      </c>
      <c r="AA11" s="5" t="s">
        <v>5002</v>
      </c>
      <c r="AB11" s="5"/>
    </row>
    <row r="12">
      <c r="A12" s="5" t="s">
        <v>5003</v>
      </c>
      <c r="B12" s="5" t="s">
        <v>5004</v>
      </c>
      <c r="C12" s="5" t="s">
        <v>145</v>
      </c>
      <c r="D12" s="5" t="s">
        <v>24</v>
      </c>
      <c r="E12" s="5" t="s">
        <v>1849</v>
      </c>
      <c r="F12" s="5" t="s">
        <v>4963</v>
      </c>
      <c r="G12" s="5" t="s">
        <v>24</v>
      </c>
      <c r="H12" s="5" t="s">
        <v>24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5" t="s">
        <v>24</v>
      </c>
      <c r="O12" s="5" t="s">
        <v>1933</v>
      </c>
      <c r="P12" s="5" t="s">
        <v>24</v>
      </c>
      <c r="Q12" s="5" t="s">
        <v>24</v>
      </c>
      <c r="R12" s="5" t="s">
        <v>24</v>
      </c>
      <c r="S12" s="5" t="s">
        <v>2020</v>
      </c>
      <c r="T12" s="5" t="s">
        <v>2021</v>
      </c>
      <c r="U12" s="5" t="s">
        <v>2021</v>
      </c>
      <c r="V12" s="5" t="s">
        <v>24</v>
      </c>
      <c r="W12" s="5" t="s">
        <v>24</v>
      </c>
      <c r="X12" s="5" t="s">
        <v>24</v>
      </c>
      <c r="Y12" s="5" t="s">
        <v>5005</v>
      </c>
      <c r="Z12" s="5" t="s">
        <v>5006</v>
      </c>
      <c r="AA12" s="5" t="s">
        <v>5006</v>
      </c>
      <c r="AB12" s="5"/>
    </row>
    <row r="13">
      <c r="A13" s="5" t="s">
        <v>5007</v>
      </c>
      <c r="B13" s="5" t="s">
        <v>5008</v>
      </c>
      <c r="C13" s="5" t="s">
        <v>227</v>
      </c>
      <c r="D13" s="5" t="s">
        <v>24</v>
      </c>
      <c r="E13" s="5" t="s">
        <v>1849</v>
      </c>
      <c r="F13" s="5" t="s">
        <v>4963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1885</v>
      </c>
      <c r="N13" s="5" t="s">
        <v>24</v>
      </c>
      <c r="O13" s="5" t="s">
        <v>24</v>
      </c>
      <c r="P13" s="5" t="s">
        <v>24</v>
      </c>
      <c r="Q13" s="5" t="s">
        <v>24</v>
      </c>
      <c r="R13" s="5" t="s">
        <v>24</v>
      </c>
      <c r="S13" s="5" t="s">
        <v>2020</v>
      </c>
      <c r="T13" s="5" t="s">
        <v>2021</v>
      </c>
      <c r="U13" s="5" t="s">
        <v>2021</v>
      </c>
      <c r="V13" s="5" t="s">
        <v>24</v>
      </c>
      <c r="W13" s="5" t="s">
        <v>24</v>
      </c>
      <c r="X13" s="5" t="s">
        <v>24</v>
      </c>
      <c r="Y13" s="5" t="s">
        <v>5009</v>
      </c>
      <c r="Z13" s="5" t="s">
        <v>5010</v>
      </c>
      <c r="AA13" s="5" t="s">
        <v>5010</v>
      </c>
      <c r="AB13" s="5"/>
    </row>
    <row r="14">
      <c r="A14" s="5" t="s">
        <v>5011</v>
      </c>
      <c r="B14" s="5" t="s">
        <v>5012</v>
      </c>
      <c r="C14" s="5" t="s">
        <v>5013</v>
      </c>
      <c r="D14" s="5" t="s">
        <v>24</v>
      </c>
      <c r="E14" s="5" t="s">
        <v>1849</v>
      </c>
      <c r="F14" s="5" t="s">
        <v>4963</v>
      </c>
      <c r="G14" s="5" t="s">
        <v>24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5" t="s">
        <v>24</v>
      </c>
      <c r="O14" s="5" t="s">
        <v>3136</v>
      </c>
      <c r="P14" s="5" t="s">
        <v>24</v>
      </c>
      <c r="Q14" s="5" t="s">
        <v>24</v>
      </c>
      <c r="R14" s="5" t="s">
        <v>24</v>
      </c>
      <c r="S14" s="5" t="s">
        <v>2020</v>
      </c>
      <c r="T14" s="5" t="s">
        <v>2021</v>
      </c>
      <c r="U14" s="5" t="s">
        <v>2021</v>
      </c>
      <c r="V14" s="5" t="s">
        <v>24</v>
      </c>
      <c r="W14" s="5" t="s">
        <v>24</v>
      </c>
      <c r="X14" s="5" t="s">
        <v>24</v>
      </c>
      <c r="Y14" s="5" t="s">
        <v>5014</v>
      </c>
      <c r="Z14" s="5" t="s">
        <v>5015</v>
      </c>
      <c r="AA14" s="5" t="s">
        <v>5015</v>
      </c>
      <c r="AB14" s="5"/>
    </row>
    <row r="15">
      <c r="A15" s="5" t="s">
        <v>5016</v>
      </c>
      <c r="B15" s="5" t="s">
        <v>5017</v>
      </c>
      <c r="C15" s="5" t="s">
        <v>336</v>
      </c>
      <c r="D15" s="5" t="s">
        <v>24</v>
      </c>
      <c r="E15" s="5" t="s">
        <v>1849</v>
      </c>
      <c r="F15" s="5" t="s">
        <v>4963</v>
      </c>
      <c r="G15" s="5" t="s">
        <v>24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5" t="s">
        <v>24</v>
      </c>
      <c r="O15" s="5" t="s">
        <v>1933</v>
      </c>
      <c r="P15" s="5" t="s">
        <v>24</v>
      </c>
      <c r="Q15" s="5" t="s">
        <v>24</v>
      </c>
      <c r="R15" s="5" t="s">
        <v>24</v>
      </c>
      <c r="S15" s="5" t="s">
        <v>2020</v>
      </c>
      <c r="T15" s="5" t="s">
        <v>2021</v>
      </c>
      <c r="U15" s="5" t="s">
        <v>2021</v>
      </c>
      <c r="V15" s="5" t="s">
        <v>24</v>
      </c>
      <c r="W15" s="5" t="s">
        <v>24</v>
      </c>
      <c r="X15" s="5" t="s">
        <v>24</v>
      </c>
      <c r="Y15" s="5" t="s">
        <v>5018</v>
      </c>
      <c r="Z15" s="5" t="s">
        <v>5019</v>
      </c>
      <c r="AA15" s="5" t="s">
        <v>5019</v>
      </c>
      <c r="AB15" s="5"/>
    </row>
    <row r="16">
      <c r="A16" s="5" t="s">
        <v>5020</v>
      </c>
      <c r="B16" s="5" t="s">
        <v>5021</v>
      </c>
      <c r="C16" s="5" t="s">
        <v>145</v>
      </c>
      <c r="D16" s="5" t="s">
        <v>24</v>
      </c>
      <c r="E16" s="5" t="s">
        <v>1849</v>
      </c>
      <c r="F16" s="5" t="s">
        <v>4963</v>
      </c>
      <c r="G16" s="5" t="s">
        <v>24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24</v>
      </c>
      <c r="O16" s="5" t="s">
        <v>1933</v>
      </c>
      <c r="P16" s="5" t="s">
        <v>24</v>
      </c>
      <c r="Q16" s="5" t="s">
        <v>24</v>
      </c>
      <c r="R16" s="5" t="s">
        <v>24</v>
      </c>
      <c r="S16" s="5" t="s">
        <v>2020</v>
      </c>
      <c r="T16" s="5" t="s">
        <v>2021</v>
      </c>
      <c r="U16" s="5" t="s">
        <v>2021</v>
      </c>
      <c r="V16" s="5" t="s">
        <v>24</v>
      </c>
      <c r="W16" s="5" t="s">
        <v>24</v>
      </c>
      <c r="X16" s="5" t="s">
        <v>24</v>
      </c>
      <c r="Y16" s="5" t="s">
        <v>5022</v>
      </c>
      <c r="Z16" s="5" t="s">
        <v>5023</v>
      </c>
      <c r="AA16" s="5" t="s">
        <v>5023</v>
      </c>
      <c r="AB16" s="5"/>
    </row>
    <row r="17">
      <c r="A17" s="5" t="s">
        <v>5024</v>
      </c>
      <c r="B17" s="5" t="s">
        <v>5025</v>
      </c>
      <c r="C17" s="5" t="s">
        <v>5013</v>
      </c>
      <c r="D17" s="5" t="s">
        <v>24</v>
      </c>
      <c r="E17" s="5" t="s">
        <v>1849</v>
      </c>
      <c r="F17" s="5" t="s">
        <v>4963</v>
      </c>
      <c r="G17" s="5" t="s">
        <v>24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5" t="s">
        <v>24</v>
      </c>
      <c r="O17" s="5" t="s">
        <v>1933</v>
      </c>
      <c r="P17" s="5" t="s">
        <v>24</v>
      </c>
      <c r="Q17" s="5" t="s">
        <v>24</v>
      </c>
      <c r="R17" s="5" t="s">
        <v>24</v>
      </c>
      <c r="S17" s="5" t="s">
        <v>2020</v>
      </c>
      <c r="T17" s="5" t="s">
        <v>2021</v>
      </c>
      <c r="U17" s="5" t="s">
        <v>2021</v>
      </c>
      <c r="V17" s="5" t="s">
        <v>24</v>
      </c>
      <c r="W17" s="5" t="s">
        <v>24</v>
      </c>
      <c r="X17" s="5" t="s">
        <v>24</v>
      </c>
      <c r="Y17" s="5" t="s">
        <v>5026</v>
      </c>
      <c r="Z17" s="5" t="s">
        <v>5027</v>
      </c>
      <c r="AA17" s="5" t="s">
        <v>5027</v>
      </c>
      <c r="AB17" s="5"/>
    </row>
    <row r="18">
      <c r="A18" s="5" t="s">
        <v>5028</v>
      </c>
      <c r="B18" s="5" t="s">
        <v>5029</v>
      </c>
      <c r="C18" s="5" t="s">
        <v>5013</v>
      </c>
      <c r="D18" s="5" t="s">
        <v>24</v>
      </c>
      <c r="E18" s="5" t="s">
        <v>1849</v>
      </c>
      <c r="F18" s="5" t="s">
        <v>4963</v>
      </c>
      <c r="G18" s="5" t="s">
        <v>24</v>
      </c>
      <c r="H18" s="5" t="s">
        <v>24</v>
      </c>
      <c r="I18" s="5" t="s">
        <v>24</v>
      </c>
      <c r="J18" s="5" t="s">
        <v>24</v>
      </c>
      <c r="K18" s="5" t="s">
        <v>24</v>
      </c>
      <c r="L18" s="5" t="s">
        <v>24</v>
      </c>
      <c r="M18" s="5" t="s">
        <v>1885</v>
      </c>
      <c r="N18" s="5" t="s">
        <v>24</v>
      </c>
      <c r="O18" s="5" t="s">
        <v>24</v>
      </c>
      <c r="P18" s="5" t="s">
        <v>24</v>
      </c>
      <c r="Q18" s="5" t="s">
        <v>24</v>
      </c>
      <c r="R18" s="5" t="s">
        <v>24</v>
      </c>
      <c r="S18" s="5" t="s">
        <v>2020</v>
      </c>
      <c r="T18" s="5" t="s">
        <v>2021</v>
      </c>
      <c r="U18" s="5" t="s">
        <v>2021</v>
      </c>
      <c r="V18" s="5" t="s">
        <v>24</v>
      </c>
      <c r="W18" s="5" t="s">
        <v>24</v>
      </c>
      <c r="X18" s="5" t="s">
        <v>24</v>
      </c>
      <c r="Y18" s="5" t="s">
        <v>5030</v>
      </c>
      <c r="Z18" s="5" t="s">
        <v>5031</v>
      </c>
      <c r="AA18" s="5" t="s">
        <v>5031</v>
      </c>
      <c r="AB18" s="5"/>
    </row>
    <row r="19">
      <c r="A19" s="5" t="s">
        <v>5032</v>
      </c>
      <c r="B19" s="5" t="s">
        <v>5033</v>
      </c>
      <c r="C19" s="5" t="s">
        <v>145</v>
      </c>
      <c r="D19" s="5" t="s">
        <v>24</v>
      </c>
      <c r="E19" s="5" t="s">
        <v>1849</v>
      </c>
      <c r="F19" s="5" t="s">
        <v>4963</v>
      </c>
      <c r="G19" s="5" t="s">
        <v>24</v>
      </c>
      <c r="H19" s="5" t="s">
        <v>24</v>
      </c>
      <c r="I19" s="5" t="s">
        <v>24</v>
      </c>
      <c r="J19" s="5" t="s">
        <v>24</v>
      </c>
      <c r="K19" s="5" t="s">
        <v>24</v>
      </c>
      <c r="L19" s="5" t="s">
        <v>24</v>
      </c>
      <c r="M19" s="5" t="s">
        <v>24</v>
      </c>
      <c r="N19" s="5" t="s">
        <v>24</v>
      </c>
      <c r="O19" s="5" t="s">
        <v>1933</v>
      </c>
      <c r="P19" s="5" t="s">
        <v>24</v>
      </c>
      <c r="Q19" s="5" t="s">
        <v>24</v>
      </c>
      <c r="R19" s="5" t="s">
        <v>24</v>
      </c>
      <c r="S19" s="5" t="s">
        <v>2020</v>
      </c>
      <c r="T19" s="5" t="s">
        <v>2021</v>
      </c>
      <c r="U19" s="5" t="s">
        <v>2021</v>
      </c>
      <c r="V19" s="5" t="s">
        <v>24</v>
      </c>
      <c r="W19" s="5" t="s">
        <v>24</v>
      </c>
      <c r="X19" s="5" t="s">
        <v>24</v>
      </c>
      <c r="Y19" s="5" t="s">
        <v>5034</v>
      </c>
      <c r="Z19" s="5" t="s">
        <v>5035</v>
      </c>
      <c r="AA19" s="5" t="s">
        <v>5035</v>
      </c>
      <c r="AB19" s="5"/>
    </row>
    <row r="20">
      <c r="A20" s="5" t="s">
        <v>5036</v>
      </c>
      <c r="B20" s="5" t="s">
        <v>5037</v>
      </c>
      <c r="C20" s="5" t="s">
        <v>1240</v>
      </c>
      <c r="D20" s="5" t="s">
        <v>24</v>
      </c>
      <c r="E20" s="5" t="s">
        <v>1849</v>
      </c>
      <c r="F20" s="5" t="s">
        <v>4963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1933</v>
      </c>
      <c r="P20" s="5" t="s">
        <v>24</v>
      </c>
      <c r="Q20" s="5" t="s">
        <v>24</v>
      </c>
      <c r="R20" s="5" t="s">
        <v>24</v>
      </c>
      <c r="S20" s="5" t="s">
        <v>2020</v>
      </c>
      <c r="T20" s="5" t="s">
        <v>2021</v>
      </c>
      <c r="U20" s="5" t="s">
        <v>2021</v>
      </c>
      <c r="V20" s="5" t="s">
        <v>24</v>
      </c>
      <c r="W20" s="5" t="s">
        <v>24</v>
      </c>
      <c r="X20" s="5" t="s">
        <v>24</v>
      </c>
      <c r="Y20" s="5" t="s">
        <v>5038</v>
      </c>
      <c r="Z20" s="5" t="s">
        <v>5039</v>
      </c>
      <c r="AA20" s="5" t="s">
        <v>5039</v>
      </c>
      <c r="AB20" s="5"/>
    </row>
    <row r="21" ht="15.75" customHeight="1">
      <c r="A21" s="5" t="s">
        <v>5040</v>
      </c>
      <c r="B21" s="5" t="s">
        <v>5041</v>
      </c>
      <c r="C21" s="5" t="s">
        <v>5013</v>
      </c>
      <c r="D21" s="5" t="s">
        <v>24</v>
      </c>
      <c r="E21" s="5" t="s">
        <v>1849</v>
      </c>
      <c r="F21" s="5" t="s">
        <v>4963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1933</v>
      </c>
      <c r="P21" s="5" t="s">
        <v>24</v>
      </c>
      <c r="Q21" s="5" t="s">
        <v>24</v>
      </c>
      <c r="R21" s="5" t="s">
        <v>24</v>
      </c>
      <c r="S21" s="5" t="s">
        <v>2020</v>
      </c>
      <c r="T21" s="5" t="s">
        <v>2021</v>
      </c>
      <c r="U21" s="5" t="s">
        <v>2021</v>
      </c>
      <c r="V21" s="5" t="s">
        <v>24</v>
      </c>
      <c r="W21" s="5" t="s">
        <v>24</v>
      </c>
      <c r="X21" s="5" t="s">
        <v>24</v>
      </c>
      <c r="Y21" s="5" t="s">
        <v>5042</v>
      </c>
      <c r="Z21" s="5" t="s">
        <v>5043</v>
      </c>
      <c r="AA21" s="5" t="s">
        <v>5043</v>
      </c>
      <c r="AB21" s="5"/>
    </row>
    <row r="22" ht="15.75" customHeight="1">
      <c r="A22" s="5" t="s">
        <v>5044</v>
      </c>
      <c r="B22" s="5" t="s">
        <v>5045</v>
      </c>
      <c r="C22" s="5" t="s">
        <v>336</v>
      </c>
      <c r="D22" s="5" t="s">
        <v>24</v>
      </c>
      <c r="E22" s="5" t="s">
        <v>1849</v>
      </c>
      <c r="F22" s="5" t="s">
        <v>4963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4504</v>
      </c>
      <c r="N22" s="5" t="s">
        <v>24</v>
      </c>
      <c r="O22" s="5" t="s">
        <v>24</v>
      </c>
      <c r="P22" s="5" t="s">
        <v>24</v>
      </c>
      <c r="Q22" s="5" t="s">
        <v>24</v>
      </c>
      <c r="R22" s="5" t="s">
        <v>24</v>
      </c>
      <c r="S22" s="5" t="s">
        <v>1852</v>
      </c>
      <c r="T22" s="5" t="s">
        <v>5046</v>
      </c>
      <c r="U22" s="5" t="s">
        <v>5046</v>
      </c>
      <c r="V22" s="5" t="s">
        <v>24</v>
      </c>
      <c r="W22" s="5" t="s">
        <v>24</v>
      </c>
      <c r="X22" s="5" t="s">
        <v>24</v>
      </c>
      <c r="Y22" s="5" t="s">
        <v>5047</v>
      </c>
      <c r="Z22" s="5" t="s">
        <v>5048</v>
      </c>
      <c r="AA22" s="5" t="s">
        <v>5048</v>
      </c>
      <c r="AB22" s="5"/>
    </row>
    <row r="23" ht="15.75" customHeight="1">
      <c r="A23" s="5" t="s">
        <v>5049</v>
      </c>
      <c r="B23" s="5" t="s">
        <v>5050</v>
      </c>
      <c r="C23" s="5" t="s">
        <v>2126</v>
      </c>
      <c r="D23" s="5" t="s">
        <v>24</v>
      </c>
      <c r="E23" s="5" t="s">
        <v>1849</v>
      </c>
      <c r="F23" s="5" t="s">
        <v>4963</v>
      </c>
      <c r="G23" s="5" t="s">
        <v>24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5" t="s">
        <v>1933</v>
      </c>
      <c r="P23" s="5" t="s">
        <v>24</v>
      </c>
      <c r="Q23" s="5" t="s">
        <v>24</v>
      </c>
      <c r="R23" s="5" t="s">
        <v>24</v>
      </c>
      <c r="S23" s="5" t="s">
        <v>1852</v>
      </c>
      <c r="T23" s="5" t="s">
        <v>3109</v>
      </c>
      <c r="U23" s="5" t="s">
        <v>3109</v>
      </c>
      <c r="V23" s="5" t="s">
        <v>24</v>
      </c>
      <c r="W23" s="5" t="s">
        <v>24</v>
      </c>
      <c r="X23" s="5" t="s">
        <v>24</v>
      </c>
      <c r="Y23" s="5" t="s">
        <v>5051</v>
      </c>
      <c r="Z23" s="5" t="s">
        <v>5052</v>
      </c>
      <c r="AA23" s="5" t="s">
        <v>5052</v>
      </c>
      <c r="AB23" s="5"/>
    </row>
    <row r="24" ht="15.75" customHeight="1">
      <c r="A24" s="5" t="s">
        <v>5053</v>
      </c>
      <c r="B24" s="5" t="s">
        <v>5054</v>
      </c>
      <c r="C24" s="5" t="s">
        <v>5013</v>
      </c>
      <c r="D24" s="5" t="s">
        <v>24</v>
      </c>
      <c r="E24" s="5" t="s">
        <v>1849</v>
      </c>
      <c r="F24" s="5" t="s">
        <v>4963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1933</v>
      </c>
      <c r="P24" s="5" t="s">
        <v>24</v>
      </c>
      <c r="Q24" s="5" t="s">
        <v>24</v>
      </c>
      <c r="R24" s="5" t="s">
        <v>24</v>
      </c>
      <c r="S24" s="5" t="s">
        <v>2020</v>
      </c>
      <c r="T24" s="5" t="s">
        <v>2021</v>
      </c>
      <c r="U24" s="5" t="s">
        <v>2021</v>
      </c>
      <c r="V24" s="5" t="s">
        <v>24</v>
      </c>
      <c r="W24" s="5" t="s">
        <v>24</v>
      </c>
      <c r="X24" s="5" t="s">
        <v>24</v>
      </c>
      <c r="Y24" s="5" t="s">
        <v>5055</v>
      </c>
      <c r="Z24" s="5" t="s">
        <v>5056</v>
      </c>
      <c r="AA24" s="5" t="s">
        <v>5056</v>
      </c>
      <c r="AB24" s="5"/>
    </row>
    <row r="25" ht="15.75" customHeight="1">
      <c r="A25" s="5" t="s">
        <v>5057</v>
      </c>
      <c r="B25" s="5" t="s">
        <v>5058</v>
      </c>
      <c r="C25" s="5" t="s">
        <v>5013</v>
      </c>
      <c r="D25" s="5" t="s">
        <v>24</v>
      </c>
      <c r="E25" s="5" t="s">
        <v>1849</v>
      </c>
      <c r="F25" s="5" t="s">
        <v>4963</v>
      </c>
      <c r="G25" s="5" t="s">
        <v>24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5" t="s">
        <v>24</v>
      </c>
      <c r="O25" s="5" t="s">
        <v>1933</v>
      </c>
      <c r="P25" s="5" t="s">
        <v>24</v>
      </c>
      <c r="Q25" s="5" t="s">
        <v>24</v>
      </c>
      <c r="R25" s="5" t="s">
        <v>24</v>
      </c>
      <c r="S25" s="5" t="s">
        <v>2020</v>
      </c>
      <c r="T25" s="5" t="s">
        <v>2021</v>
      </c>
      <c r="U25" s="5" t="s">
        <v>2021</v>
      </c>
      <c r="V25" s="5" t="s">
        <v>24</v>
      </c>
      <c r="W25" s="5" t="s">
        <v>24</v>
      </c>
      <c r="X25" s="5" t="s">
        <v>24</v>
      </c>
      <c r="Y25" s="5" t="s">
        <v>5059</v>
      </c>
      <c r="Z25" s="5" t="s">
        <v>5060</v>
      </c>
      <c r="AA25" s="5" t="s">
        <v>5060</v>
      </c>
      <c r="AB25" s="5"/>
    </row>
    <row r="26" ht="15.75" customHeight="1">
      <c r="A26" s="5" t="s">
        <v>5061</v>
      </c>
      <c r="B26" s="5" t="s">
        <v>5062</v>
      </c>
      <c r="C26" s="5" t="s">
        <v>5013</v>
      </c>
      <c r="D26" s="5" t="s">
        <v>24</v>
      </c>
      <c r="E26" s="5" t="s">
        <v>1849</v>
      </c>
      <c r="F26" s="5" t="s">
        <v>4963</v>
      </c>
      <c r="G26" s="5" t="s">
        <v>24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3524</v>
      </c>
      <c r="P26" s="5" t="s">
        <v>24</v>
      </c>
      <c r="Q26" s="5" t="s">
        <v>24</v>
      </c>
      <c r="R26" s="5" t="s">
        <v>24</v>
      </c>
      <c r="S26" s="5" t="s">
        <v>2020</v>
      </c>
      <c r="T26" s="5" t="s">
        <v>2021</v>
      </c>
      <c r="U26" s="5" t="s">
        <v>2021</v>
      </c>
      <c r="V26" s="5" t="s">
        <v>24</v>
      </c>
      <c r="W26" s="5" t="s">
        <v>24</v>
      </c>
      <c r="X26" s="5" t="s">
        <v>24</v>
      </c>
      <c r="Y26" s="5" t="s">
        <v>5063</v>
      </c>
      <c r="Z26" s="5" t="s">
        <v>5064</v>
      </c>
      <c r="AA26" s="5" t="s">
        <v>5064</v>
      </c>
      <c r="AB26" s="5"/>
    </row>
    <row r="27" ht="15.75" customHeight="1">
      <c r="A27" s="5" t="s">
        <v>5065</v>
      </c>
      <c r="B27" s="5" t="s">
        <v>5066</v>
      </c>
      <c r="C27" s="5" t="s">
        <v>145</v>
      </c>
      <c r="D27" s="5" t="s">
        <v>24</v>
      </c>
      <c r="E27" s="5" t="s">
        <v>1849</v>
      </c>
      <c r="F27" s="5" t="s">
        <v>4963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5" t="s">
        <v>1933</v>
      </c>
      <c r="P27" s="5" t="s">
        <v>24</v>
      </c>
      <c r="Q27" s="5" t="s">
        <v>24</v>
      </c>
      <c r="R27" s="5" t="s">
        <v>24</v>
      </c>
      <c r="S27" s="5" t="s">
        <v>2020</v>
      </c>
      <c r="T27" s="5" t="s">
        <v>2021</v>
      </c>
      <c r="U27" s="5" t="s">
        <v>2021</v>
      </c>
      <c r="V27" s="5" t="s">
        <v>24</v>
      </c>
      <c r="W27" s="5" t="s">
        <v>24</v>
      </c>
      <c r="X27" s="5" t="s">
        <v>24</v>
      </c>
      <c r="Y27" s="5" t="s">
        <v>5067</v>
      </c>
      <c r="Z27" s="5" t="s">
        <v>5068</v>
      </c>
      <c r="AA27" s="5" t="s">
        <v>5068</v>
      </c>
      <c r="AB27" s="5"/>
    </row>
    <row r="28" ht="15.75" customHeight="1">
      <c r="A28" s="5" t="s">
        <v>5069</v>
      </c>
      <c r="B28" s="5" t="s">
        <v>5070</v>
      </c>
      <c r="C28" s="5" t="s">
        <v>5013</v>
      </c>
      <c r="D28" s="5" t="s">
        <v>24</v>
      </c>
      <c r="E28" s="5" t="s">
        <v>1849</v>
      </c>
      <c r="F28" s="5" t="s">
        <v>4963</v>
      </c>
      <c r="G28" s="5" t="s">
        <v>24</v>
      </c>
      <c r="H28" s="5" t="s">
        <v>24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24</v>
      </c>
      <c r="N28" s="5" t="s">
        <v>24</v>
      </c>
      <c r="O28" s="5" t="s">
        <v>1933</v>
      </c>
      <c r="P28" s="5" t="s">
        <v>24</v>
      </c>
      <c r="Q28" s="5" t="s">
        <v>24</v>
      </c>
      <c r="R28" s="5" t="s">
        <v>24</v>
      </c>
      <c r="S28" s="5" t="s">
        <v>2020</v>
      </c>
      <c r="T28" s="5" t="s">
        <v>2021</v>
      </c>
      <c r="U28" s="5" t="s">
        <v>2021</v>
      </c>
      <c r="V28" s="5" t="s">
        <v>24</v>
      </c>
      <c r="W28" s="5" t="s">
        <v>24</v>
      </c>
      <c r="X28" s="5" t="s">
        <v>24</v>
      </c>
      <c r="Y28" s="5" t="s">
        <v>5071</v>
      </c>
      <c r="Z28" s="5" t="s">
        <v>5072</v>
      </c>
      <c r="AA28" s="5" t="s">
        <v>5072</v>
      </c>
      <c r="AB28" s="5"/>
    </row>
    <row r="29" ht="15.75" customHeight="1">
      <c r="A29" s="5" t="s">
        <v>5073</v>
      </c>
      <c r="B29" s="5" t="s">
        <v>5074</v>
      </c>
      <c r="C29" s="5" t="s">
        <v>5013</v>
      </c>
      <c r="D29" s="5" t="s">
        <v>24</v>
      </c>
      <c r="E29" s="5" t="s">
        <v>1849</v>
      </c>
      <c r="F29" s="5" t="s">
        <v>4963</v>
      </c>
      <c r="G29" s="5" t="s">
        <v>24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  <c r="N29" s="5" t="s">
        <v>24</v>
      </c>
      <c r="O29" s="5" t="s">
        <v>1933</v>
      </c>
      <c r="P29" s="5" t="s">
        <v>24</v>
      </c>
      <c r="Q29" s="5" t="s">
        <v>24</v>
      </c>
      <c r="R29" s="5" t="s">
        <v>24</v>
      </c>
      <c r="S29" s="5" t="s">
        <v>2020</v>
      </c>
      <c r="T29" s="5" t="s">
        <v>2021</v>
      </c>
      <c r="U29" s="5" t="s">
        <v>2021</v>
      </c>
      <c r="V29" s="5" t="s">
        <v>24</v>
      </c>
      <c r="W29" s="5" t="s">
        <v>24</v>
      </c>
      <c r="X29" s="5" t="s">
        <v>24</v>
      </c>
      <c r="Y29" s="5" t="s">
        <v>5075</v>
      </c>
      <c r="Z29" s="5" t="s">
        <v>5076</v>
      </c>
      <c r="AA29" s="5" t="s">
        <v>5076</v>
      </c>
      <c r="AB29" s="5"/>
    </row>
    <row r="30" ht="15.75" customHeight="1">
      <c r="A30" s="5" t="s">
        <v>5077</v>
      </c>
      <c r="B30" s="5" t="s">
        <v>5078</v>
      </c>
      <c r="C30" s="5" t="s">
        <v>5013</v>
      </c>
      <c r="D30" s="5" t="s">
        <v>24</v>
      </c>
      <c r="E30" s="5" t="s">
        <v>1849</v>
      </c>
      <c r="F30" s="5" t="s">
        <v>4963</v>
      </c>
      <c r="G30" s="5" t="s">
        <v>24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5" t="s">
        <v>2715</v>
      </c>
      <c r="P30" s="5" t="s">
        <v>24</v>
      </c>
      <c r="Q30" s="5" t="s">
        <v>24</v>
      </c>
      <c r="R30" s="5" t="s">
        <v>24</v>
      </c>
      <c r="S30" s="5" t="s">
        <v>2020</v>
      </c>
      <c r="T30" s="5" t="s">
        <v>2021</v>
      </c>
      <c r="U30" s="5" t="s">
        <v>2021</v>
      </c>
      <c r="V30" s="5" t="s">
        <v>24</v>
      </c>
      <c r="W30" s="5" t="s">
        <v>24</v>
      </c>
      <c r="X30" s="5" t="s">
        <v>24</v>
      </c>
      <c r="Y30" s="5" t="s">
        <v>5079</v>
      </c>
      <c r="Z30" s="5" t="s">
        <v>5080</v>
      </c>
      <c r="AA30" s="5" t="s">
        <v>5080</v>
      </c>
      <c r="AB30" s="5"/>
    </row>
    <row r="31" ht="15.75" customHeight="1">
      <c r="A31" s="5" t="s">
        <v>5081</v>
      </c>
      <c r="B31" s="5" t="s">
        <v>5082</v>
      </c>
      <c r="C31" s="5" t="s">
        <v>5013</v>
      </c>
      <c r="D31" s="5" t="s">
        <v>24</v>
      </c>
      <c r="E31" s="5" t="s">
        <v>1849</v>
      </c>
      <c r="F31" s="5" t="s">
        <v>4963</v>
      </c>
      <c r="G31" s="5" t="s">
        <v>24</v>
      </c>
      <c r="H31" s="5" t="s">
        <v>24</v>
      </c>
      <c r="I31" s="5" t="s">
        <v>24</v>
      </c>
      <c r="J31" s="5" t="s">
        <v>24</v>
      </c>
      <c r="K31" s="5" t="s">
        <v>24</v>
      </c>
      <c r="L31" s="5" t="s">
        <v>24</v>
      </c>
      <c r="M31" s="5" t="s">
        <v>24</v>
      </c>
      <c r="N31" s="5" t="s">
        <v>24</v>
      </c>
      <c r="O31" s="5" t="s">
        <v>1933</v>
      </c>
      <c r="P31" s="5" t="s">
        <v>24</v>
      </c>
      <c r="Q31" s="5" t="s">
        <v>24</v>
      </c>
      <c r="R31" s="5" t="s">
        <v>24</v>
      </c>
      <c r="S31" s="5" t="s">
        <v>2020</v>
      </c>
      <c r="T31" s="5" t="s">
        <v>2021</v>
      </c>
      <c r="U31" s="5" t="s">
        <v>2021</v>
      </c>
      <c r="V31" s="5" t="s">
        <v>24</v>
      </c>
      <c r="W31" s="5" t="s">
        <v>24</v>
      </c>
      <c r="X31" s="5" t="s">
        <v>24</v>
      </c>
      <c r="Y31" s="5" t="s">
        <v>5083</v>
      </c>
      <c r="Z31" s="5" t="s">
        <v>5084</v>
      </c>
      <c r="AA31" s="5" t="s">
        <v>5084</v>
      </c>
      <c r="AB31" s="5"/>
    </row>
    <row r="32" ht="15.75" customHeight="1">
      <c r="A32" s="5" t="s">
        <v>5085</v>
      </c>
      <c r="B32" s="5" t="s">
        <v>5086</v>
      </c>
      <c r="C32" s="5" t="s">
        <v>5013</v>
      </c>
      <c r="D32" s="5" t="s">
        <v>24</v>
      </c>
      <c r="E32" s="5" t="s">
        <v>1849</v>
      </c>
      <c r="F32" s="5" t="s">
        <v>4963</v>
      </c>
      <c r="G32" s="5" t="s">
        <v>24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5" t="s">
        <v>1933</v>
      </c>
      <c r="P32" s="5" t="s">
        <v>24</v>
      </c>
      <c r="Q32" s="5" t="s">
        <v>24</v>
      </c>
      <c r="R32" s="5" t="s">
        <v>24</v>
      </c>
      <c r="S32" s="5" t="s">
        <v>2020</v>
      </c>
      <c r="T32" s="5" t="s">
        <v>2021</v>
      </c>
      <c r="U32" s="5" t="s">
        <v>2021</v>
      </c>
      <c r="V32" s="5" t="s">
        <v>24</v>
      </c>
      <c r="W32" s="5" t="s">
        <v>24</v>
      </c>
      <c r="X32" s="5" t="s">
        <v>24</v>
      </c>
      <c r="Y32" s="5" t="s">
        <v>5087</v>
      </c>
      <c r="Z32" s="5" t="s">
        <v>5088</v>
      </c>
      <c r="AA32" s="5" t="s">
        <v>5088</v>
      </c>
      <c r="AB32" s="5"/>
    </row>
    <row r="33" ht="15.75" customHeight="1">
      <c r="A33" s="5" t="s">
        <v>5089</v>
      </c>
      <c r="B33" s="5" t="s">
        <v>5090</v>
      </c>
      <c r="C33" s="5" t="s">
        <v>4968</v>
      </c>
      <c r="D33" s="5" t="s">
        <v>24</v>
      </c>
      <c r="E33" s="5" t="s">
        <v>1849</v>
      </c>
      <c r="F33" s="5" t="s">
        <v>4963</v>
      </c>
      <c r="G33" s="5" t="s">
        <v>24</v>
      </c>
      <c r="H33" s="5" t="s">
        <v>24</v>
      </c>
      <c r="I33" s="5" t="s">
        <v>24</v>
      </c>
      <c r="J33" s="5" t="s">
        <v>24</v>
      </c>
      <c r="K33" s="5" t="s">
        <v>24</v>
      </c>
      <c r="L33" s="5" t="s">
        <v>24</v>
      </c>
      <c r="M33" s="5" t="s">
        <v>1885</v>
      </c>
      <c r="N33" s="5" t="s">
        <v>24</v>
      </c>
      <c r="O33" s="5" t="s">
        <v>24</v>
      </c>
      <c r="P33" s="5" t="s">
        <v>24</v>
      </c>
      <c r="Q33" s="5" t="s">
        <v>24</v>
      </c>
      <c r="R33" s="5" t="s">
        <v>24</v>
      </c>
      <c r="S33" s="5" t="s">
        <v>2020</v>
      </c>
      <c r="T33" s="5" t="s">
        <v>2021</v>
      </c>
      <c r="U33" s="5" t="s">
        <v>2021</v>
      </c>
      <c r="V33" s="5" t="s">
        <v>24</v>
      </c>
      <c r="W33" s="5" t="s">
        <v>24</v>
      </c>
      <c r="X33" s="5" t="s">
        <v>24</v>
      </c>
      <c r="Y33" s="5" t="s">
        <v>5091</v>
      </c>
      <c r="Z33" s="5" t="s">
        <v>5092</v>
      </c>
      <c r="AA33" s="5" t="s">
        <v>5092</v>
      </c>
      <c r="AB33" s="5"/>
    </row>
    <row r="34" ht="15.75" customHeight="1">
      <c r="A34" s="5" t="s">
        <v>5093</v>
      </c>
      <c r="B34" s="5" t="s">
        <v>5094</v>
      </c>
      <c r="C34" s="5" t="s">
        <v>5095</v>
      </c>
      <c r="D34" s="5" t="s">
        <v>24</v>
      </c>
      <c r="E34" s="5" t="s">
        <v>1849</v>
      </c>
      <c r="F34" s="5" t="s">
        <v>4963</v>
      </c>
      <c r="G34" s="5" t="s">
        <v>24</v>
      </c>
      <c r="H34" s="5" t="s">
        <v>24</v>
      </c>
      <c r="I34" s="5" t="s">
        <v>24</v>
      </c>
      <c r="J34" s="5" t="s">
        <v>24</v>
      </c>
      <c r="K34" s="5" t="s">
        <v>24</v>
      </c>
      <c r="L34" s="5" t="s">
        <v>24</v>
      </c>
      <c r="M34" s="5" t="s">
        <v>24</v>
      </c>
      <c r="N34" s="5" t="s">
        <v>24</v>
      </c>
      <c r="O34" s="5" t="s">
        <v>2148</v>
      </c>
      <c r="P34" s="5" t="s">
        <v>24</v>
      </c>
      <c r="Q34" s="5" t="s">
        <v>24</v>
      </c>
      <c r="R34" s="5" t="s">
        <v>24</v>
      </c>
      <c r="S34" s="5" t="s">
        <v>2020</v>
      </c>
      <c r="T34" s="5" t="s">
        <v>2021</v>
      </c>
      <c r="U34" s="5" t="s">
        <v>2021</v>
      </c>
      <c r="V34" s="5" t="s">
        <v>24</v>
      </c>
      <c r="W34" s="5" t="s">
        <v>24</v>
      </c>
      <c r="X34" s="5" t="s">
        <v>24</v>
      </c>
      <c r="Y34" s="5" t="s">
        <v>5096</v>
      </c>
      <c r="Z34" s="5" t="s">
        <v>5097</v>
      </c>
      <c r="AA34" s="5" t="s">
        <v>5097</v>
      </c>
      <c r="AB34" s="5"/>
    </row>
    <row r="35" ht="15.75" customHeight="1">
      <c r="A35" s="5" t="s">
        <v>5098</v>
      </c>
      <c r="B35" s="5" t="s">
        <v>5099</v>
      </c>
      <c r="C35" s="5" t="s">
        <v>145</v>
      </c>
      <c r="D35" s="5" t="s">
        <v>24</v>
      </c>
      <c r="E35" s="5" t="s">
        <v>1849</v>
      </c>
      <c r="F35" s="5" t="s">
        <v>4963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5" t="s">
        <v>1894</v>
      </c>
      <c r="P35" s="5" t="s">
        <v>24</v>
      </c>
      <c r="Q35" s="5" t="s">
        <v>24</v>
      </c>
      <c r="R35" s="5" t="s">
        <v>24</v>
      </c>
      <c r="S35" s="5" t="s">
        <v>2020</v>
      </c>
      <c r="T35" s="5" t="s">
        <v>2021</v>
      </c>
      <c r="U35" s="5" t="s">
        <v>2021</v>
      </c>
      <c r="V35" s="5" t="s">
        <v>24</v>
      </c>
      <c r="W35" s="5" t="s">
        <v>24</v>
      </c>
      <c r="X35" s="5" t="s">
        <v>24</v>
      </c>
      <c r="Y35" s="5" t="s">
        <v>5100</v>
      </c>
      <c r="Z35" s="5" t="s">
        <v>5101</v>
      </c>
      <c r="AA35" s="5" t="s">
        <v>5101</v>
      </c>
      <c r="AB35" s="5"/>
    </row>
    <row r="36" ht="15.75" customHeight="1">
      <c r="A36" s="5" t="s">
        <v>5102</v>
      </c>
      <c r="B36" s="5" t="s">
        <v>5103</v>
      </c>
      <c r="C36" s="5" t="s">
        <v>5013</v>
      </c>
      <c r="D36" s="5" t="s">
        <v>24</v>
      </c>
      <c r="E36" s="5" t="s">
        <v>1849</v>
      </c>
      <c r="F36" s="5" t="s">
        <v>4963</v>
      </c>
      <c r="G36" s="5" t="s">
        <v>24</v>
      </c>
      <c r="H36" s="5" t="s">
        <v>24</v>
      </c>
      <c r="I36" s="5" t="s">
        <v>24</v>
      </c>
      <c r="J36" s="5" t="s">
        <v>24</v>
      </c>
      <c r="K36" s="5" t="s">
        <v>24</v>
      </c>
      <c r="L36" s="5" t="s">
        <v>24</v>
      </c>
      <c r="M36" s="5" t="s">
        <v>3048</v>
      </c>
      <c r="N36" s="5" t="s">
        <v>24</v>
      </c>
      <c r="O36" s="5" t="s">
        <v>24</v>
      </c>
      <c r="P36" s="5" t="s">
        <v>24</v>
      </c>
      <c r="Q36" s="5" t="s">
        <v>24</v>
      </c>
      <c r="R36" s="5" t="s">
        <v>24</v>
      </c>
      <c r="S36" s="5" t="s">
        <v>2020</v>
      </c>
      <c r="T36" s="5" t="s">
        <v>2021</v>
      </c>
      <c r="U36" s="5" t="s">
        <v>2021</v>
      </c>
      <c r="V36" s="5" t="s">
        <v>24</v>
      </c>
      <c r="W36" s="5" t="s">
        <v>24</v>
      </c>
      <c r="X36" s="5" t="s">
        <v>24</v>
      </c>
      <c r="Y36" s="5" t="s">
        <v>5104</v>
      </c>
      <c r="Z36" s="5" t="s">
        <v>5105</v>
      </c>
      <c r="AA36" s="5" t="s">
        <v>5105</v>
      </c>
      <c r="AB36" s="5"/>
    </row>
    <row r="37" ht="15.75" customHeight="1">
      <c r="A37" s="5" t="s">
        <v>5106</v>
      </c>
      <c r="B37" s="5" t="s">
        <v>5107</v>
      </c>
      <c r="C37" s="5" t="s">
        <v>5013</v>
      </c>
      <c r="D37" s="5" t="s">
        <v>24</v>
      </c>
      <c r="E37" s="5" t="s">
        <v>1849</v>
      </c>
      <c r="F37" s="5" t="s">
        <v>4963</v>
      </c>
      <c r="G37" s="5" t="s">
        <v>24</v>
      </c>
      <c r="H37" s="5" t="s">
        <v>24</v>
      </c>
      <c r="I37" s="5" t="s">
        <v>24</v>
      </c>
      <c r="J37" s="5" t="s">
        <v>24</v>
      </c>
      <c r="K37" s="5" t="s">
        <v>24</v>
      </c>
      <c r="L37" s="5" t="s">
        <v>24</v>
      </c>
      <c r="M37" s="5" t="s">
        <v>24</v>
      </c>
      <c r="N37" s="5" t="s">
        <v>24</v>
      </c>
      <c r="O37" s="5" t="s">
        <v>1851</v>
      </c>
      <c r="P37" s="5" t="s">
        <v>24</v>
      </c>
      <c r="Q37" s="5" t="s">
        <v>24</v>
      </c>
      <c r="R37" s="5" t="s">
        <v>24</v>
      </c>
      <c r="S37" s="5" t="s">
        <v>2020</v>
      </c>
      <c r="T37" s="5" t="s">
        <v>2021</v>
      </c>
      <c r="U37" s="5" t="s">
        <v>2021</v>
      </c>
      <c r="V37" s="5" t="s">
        <v>24</v>
      </c>
      <c r="W37" s="5" t="s">
        <v>24</v>
      </c>
      <c r="X37" s="5" t="s">
        <v>24</v>
      </c>
      <c r="Y37" s="5" t="s">
        <v>5108</v>
      </c>
      <c r="Z37" s="5" t="s">
        <v>5109</v>
      </c>
      <c r="AA37" s="5" t="s">
        <v>5109</v>
      </c>
      <c r="AB37" s="5"/>
    </row>
    <row r="38" ht="15.75" customHeight="1">
      <c r="A38" s="5" t="s">
        <v>5110</v>
      </c>
      <c r="B38" s="5" t="s">
        <v>5111</v>
      </c>
      <c r="C38" s="5" t="s">
        <v>4968</v>
      </c>
      <c r="D38" s="5" t="s">
        <v>24</v>
      </c>
      <c r="E38" s="5" t="s">
        <v>1849</v>
      </c>
      <c r="F38" s="5" t="s">
        <v>4963</v>
      </c>
      <c r="G38" s="5" t="s">
        <v>24</v>
      </c>
      <c r="H38" s="5" t="s">
        <v>24</v>
      </c>
      <c r="I38" s="5" t="s">
        <v>24</v>
      </c>
      <c r="J38" s="5" t="s">
        <v>24</v>
      </c>
      <c r="K38" s="5" t="s">
        <v>24</v>
      </c>
      <c r="L38" s="5" t="s">
        <v>24</v>
      </c>
      <c r="M38" s="5" t="s">
        <v>1885</v>
      </c>
      <c r="N38" s="5" t="s">
        <v>24</v>
      </c>
      <c r="O38" s="5" t="s">
        <v>24</v>
      </c>
      <c r="P38" s="5" t="s">
        <v>24</v>
      </c>
      <c r="Q38" s="5" t="s">
        <v>24</v>
      </c>
      <c r="R38" s="5" t="s">
        <v>24</v>
      </c>
      <c r="S38" s="5" t="s">
        <v>2020</v>
      </c>
      <c r="T38" s="5" t="s">
        <v>2021</v>
      </c>
      <c r="U38" s="5" t="s">
        <v>2021</v>
      </c>
      <c r="V38" s="5" t="s">
        <v>24</v>
      </c>
      <c r="W38" s="5" t="s">
        <v>24</v>
      </c>
      <c r="X38" s="5" t="s">
        <v>24</v>
      </c>
      <c r="Y38" s="5" t="s">
        <v>5112</v>
      </c>
      <c r="Z38" s="5" t="s">
        <v>5113</v>
      </c>
      <c r="AA38" s="5" t="s">
        <v>5113</v>
      </c>
      <c r="AB38" s="5"/>
    </row>
    <row r="39" ht="15.75" customHeight="1">
      <c r="A39" s="5" t="s">
        <v>5114</v>
      </c>
      <c r="B39" s="5" t="s">
        <v>5115</v>
      </c>
      <c r="C39" s="5" t="s">
        <v>503</v>
      </c>
      <c r="D39" s="5" t="s">
        <v>24</v>
      </c>
      <c r="E39" s="5" t="s">
        <v>1849</v>
      </c>
      <c r="F39" s="5" t="s">
        <v>4963</v>
      </c>
      <c r="G39" s="5" t="s">
        <v>24</v>
      </c>
      <c r="H39" s="5" t="s">
        <v>24</v>
      </c>
      <c r="I39" s="5" t="s">
        <v>24</v>
      </c>
      <c r="J39" s="5" t="s">
        <v>24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3136</v>
      </c>
      <c r="P39" s="5" t="s">
        <v>24</v>
      </c>
      <c r="Q39" s="5" t="s">
        <v>24</v>
      </c>
      <c r="R39" s="5" t="s">
        <v>24</v>
      </c>
      <c r="S39" s="5" t="s">
        <v>2020</v>
      </c>
      <c r="T39" s="5" t="s">
        <v>2021</v>
      </c>
      <c r="U39" s="5" t="s">
        <v>2021</v>
      </c>
      <c r="V39" s="5" t="s">
        <v>24</v>
      </c>
      <c r="W39" s="5" t="s">
        <v>24</v>
      </c>
      <c r="X39" s="5" t="s">
        <v>24</v>
      </c>
      <c r="Y39" s="5" t="s">
        <v>5116</v>
      </c>
      <c r="Z39" s="5" t="s">
        <v>5117</v>
      </c>
      <c r="AA39" s="5" t="s">
        <v>5117</v>
      </c>
      <c r="AB39" s="5"/>
    </row>
    <row r="40" ht="15.75" customHeight="1">
      <c r="A40" s="5" t="s">
        <v>5118</v>
      </c>
      <c r="B40" s="5" t="s">
        <v>5119</v>
      </c>
      <c r="C40" s="5" t="s">
        <v>145</v>
      </c>
      <c r="D40" s="5" t="s">
        <v>24</v>
      </c>
      <c r="E40" s="5" t="s">
        <v>1849</v>
      </c>
      <c r="F40" s="5" t="s">
        <v>4963</v>
      </c>
      <c r="G40" s="5" t="s">
        <v>24</v>
      </c>
      <c r="H40" s="5" t="s">
        <v>24</v>
      </c>
      <c r="I40" s="5" t="s">
        <v>24</v>
      </c>
      <c r="J40" s="5" t="s">
        <v>24</v>
      </c>
      <c r="K40" s="5" t="s">
        <v>24</v>
      </c>
      <c r="L40" s="5" t="s">
        <v>24</v>
      </c>
      <c r="M40" s="5" t="s">
        <v>24</v>
      </c>
      <c r="N40" s="5" t="s">
        <v>24</v>
      </c>
      <c r="O40" s="5" t="s">
        <v>1969</v>
      </c>
      <c r="P40" s="5" t="s">
        <v>24</v>
      </c>
      <c r="Q40" s="5" t="s">
        <v>24</v>
      </c>
      <c r="R40" s="5" t="s">
        <v>24</v>
      </c>
      <c r="S40" s="5" t="s">
        <v>1852</v>
      </c>
      <c r="T40" s="5" t="s">
        <v>5120</v>
      </c>
      <c r="U40" s="5" t="s">
        <v>5120</v>
      </c>
      <c r="V40" s="5" t="s">
        <v>24</v>
      </c>
      <c r="W40" s="5" t="s">
        <v>24</v>
      </c>
      <c r="X40" s="5" t="s">
        <v>24</v>
      </c>
      <c r="Y40" s="5" t="s">
        <v>5121</v>
      </c>
      <c r="Z40" s="5" t="s">
        <v>5122</v>
      </c>
      <c r="AA40" s="5" t="s">
        <v>5122</v>
      </c>
      <c r="AB40" s="5"/>
    </row>
    <row r="41" ht="15.75" customHeight="1">
      <c r="A41" s="5" t="s">
        <v>5123</v>
      </c>
      <c r="B41" s="5" t="s">
        <v>5124</v>
      </c>
      <c r="C41" s="5" t="s">
        <v>2126</v>
      </c>
      <c r="D41" s="5" t="s">
        <v>24</v>
      </c>
      <c r="E41" s="5" t="s">
        <v>1849</v>
      </c>
      <c r="F41" s="5" t="s">
        <v>4963</v>
      </c>
      <c r="G41" s="5" t="s">
        <v>24</v>
      </c>
      <c r="H41" s="5" t="s">
        <v>24</v>
      </c>
      <c r="I41" s="5" t="s">
        <v>24</v>
      </c>
      <c r="J41" s="5" t="s">
        <v>24</v>
      </c>
      <c r="K41" s="5" t="s">
        <v>24</v>
      </c>
      <c r="L41" s="5" t="s">
        <v>24</v>
      </c>
      <c r="M41" s="5" t="s">
        <v>1885</v>
      </c>
      <c r="N41" s="5" t="s">
        <v>24</v>
      </c>
      <c r="O41" s="5" t="s">
        <v>2085</v>
      </c>
      <c r="P41" s="5" t="s">
        <v>24</v>
      </c>
      <c r="Q41" s="5" t="s">
        <v>24</v>
      </c>
      <c r="R41" s="5" t="s">
        <v>24</v>
      </c>
      <c r="S41" s="5" t="s">
        <v>1852</v>
      </c>
      <c r="T41" s="5" t="s">
        <v>5125</v>
      </c>
      <c r="U41" s="5" t="s">
        <v>5125</v>
      </c>
      <c r="V41" s="5" t="s">
        <v>24</v>
      </c>
      <c r="W41" s="5" t="s">
        <v>24</v>
      </c>
      <c r="X41" s="5" t="s">
        <v>24</v>
      </c>
      <c r="Y41" s="5" t="s">
        <v>5126</v>
      </c>
      <c r="Z41" s="5" t="s">
        <v>5127</v>
      </c>
      <c r="AA41" s="5" t="s">
        <v>5127</v>
      </c>
      <c r="AB41" s="5"/>
    </row>
    <row r="42" ht="15.75" customHeight="1">
      <c r="A42" s="5" t="s">
        <v>5128</v>
      </c>
      <c r="B42" s="5" t="s">
        <v>5129</v>
      </c>
      <c r="C42" s="5" t="s">
        <v>145</v>
      </c>
      <c r="D42" s="5" t="s">
        <v>24</v>
      </c>
      <c r="E42" s="5" t="s">
        <v>1849</v>
      </c>
      <c r="F42" s="5" t="s">
        <v>4963</v>
      </c>
      <c r="G42" s="5" t="s">
        <v>24</v>
      </c>
      <c r="H42" s="5" t="s">
        <v>24</v>
      </c>
      <c r="I42" s="5" t="s">
        <v>24</v>
      </c>
      <c r="J42" s="5" t="s">
        <v>24</v>
      </c>
      <c r="K42" s="5" t="s">
        <v>24</v>
      </c>
      <c r="L42" s="5" t="s">
        <v>24</v>
      </c>
      <c r="M42" s="5" t="s">
        <v>3048</v>
      </c>
      <c r="N42" s="5" t="s">
        <v>24</v>
      </c>
      <c r="O42" s="5" t="s">
        <v>24</v>
      </c>
      <c r="P42" s="5" t="s">
        <v>24</v>
      </c>
      <c r="Q42" s="5" t="s">
        <v>24</v>
      </c>
      <c r="R42" s="5" t="s">
        <v>24</v>
      </c>
      <c r="S42" s="5" t="s">
        <v>2020</v>
      </c>
      <c r="T42" s="5" t="s">
        <v>2021</v>
      </c>
      <c r="U42" s="5" t="s">
        <v>2021</v>
      </c>
      <c r="V42" s="5" t="s">
        <v>24</v>
      </c>
      <c r="W42" s="5" t="s">
        <v>24</v>
      </c>
      <c r="X42" s="5" t="s">
        <v>24</v>
      </c>
      <c r="Y42" s="5" t="s">
        <v>5130</v>
      </c>
      <c r="Z42" s="5" t="s">
        <v>5131</v>
      </c>
      <c r="AA42" s="5" t="s">
        <v>5131</v>
      </c>
      <c r="AB42" s="5"/>
    </row>
    <row r="43" ht="15.75" customHeight="1">
      <c r="A43" s="5" t="s">
        <v>5132</v>
      </c>
      <c r="B43" s="5" t="s">
        <v>5133</v>
      </c>
      <c r="C43" s="5" t="s">
        <v>4968</v>
      </c>
      <c r="D43" s="5" t="s">
        <v>24</v>
      </c>
      <c r="E43" s="5" t="s">
        <v>1849</v>
      </c>
      <c r="F43" s="5" t="s">
        <v>4963</v>
      </c>
      <c r="G43" s="5" t="s">
        <v>24</v>
      </c>
      <c r="H43" s="5" t="s">
        <v>24</v>
      </c>
      <c r="I43" s="5" t="s">
        <v>24</v>
      </c>
      <c r="J43" s="5" t="s">
        <v>24</v>
      </c>
      <c r="K43" s="5" t="s">
        <v>24</v>
      </c>
      <c r="L43" s="5" t="s">
        <v>24</v>
      </c>
      <c r="M43" s="5" t="s">
        <v>1885</v>
      </c>
      <c r="N43" s="5" t="s">
        <v>24</v>
      </c>
      <c r="O43" s="5" t="s">
        <v>24</v>
      </c>
      <c r="P43" s="5" t="s">
        <v>24</v>
      </c>
      <c r="Q43" s="5" t="s">
        <v>24</v>
      </c>
      <c r="R43" s="5" t="s">
        <v>24</v>
      </c>
      <c r="S43" s="5" t="s">
        <v>2020</v>
      </c>
      <c r="T43" s="5" t="s">
        <v>2021</v>
      </c>
      <c r="U43" s="5" t="s">
        <v>2021</v>
      </c>
      <c r="V43" s="5" t="s">
        <v>24</v>
      </c>
      <c r="W43" s="5" t="s">
        <v>24</v>
      </c>
      <c r="X43" s="5" t="s">
        <v>24</v>
      </c>
      <c r="Y43" s="5" t="s">
        <v>5134</v>
      </c>
      <c r="Z43" s="5" t="s">
        <v>5135</v>
      </c>
      <c r="AA43" s="5" t="s">
        <v>5135</v>
      </c>
      <c r="AB43" s="5"/>
    </row>
    <row r="44" ht="15.75" customHeight="1">
      <c r="A44" s="5" t="s">
        <v>5136</v>
      </c>
      <c r="B44" s="5" t="s">
        <v>5137</v>
      </c>
      <c r="C44" s="5" t="s">
        <v>5138</v>
      </c>
      <c r="D44" s="5" t="s">
        <v>24</v>
      </c>
      <c r="E44" s="5" t="s">
        <v>1849</v>
      </c>
      <c r="F44" s="5" t="s">
        <v>4963</v>
      </c>
      <c r="G44" s="5" t="s">
        <v>24</v>
      </c>
      <c r="H44" s="5" t="s">
        <v>24</v>
      </c>
      <c r="I44" s="5" t="s">
        <v>24</v>
      </c>
      <c r="J44" s="5" t="s">
        <v>24</v>
      </c>
      <c r="K44" s="5" t="s">
        <v>24</v>
      </c>
      <c r="L44" s="5" t="s">
        <v>24</v>
      </c>
      <c r="M44" s="5" t="s">
        <v>1885</v>
      </c>
      <c r="N44" s="5" t="s">
        <v>24</v>
      </c>
      <c r="O44" s="5" t="s">
        <v>24</v>
      </c>
      <c r="P44" s="5" t="s">
        <v>24</v>
      </c>
      <c r="Q44" s="5" t="s">
        <v>24</v>
      </c>
      <c r="R44" s="5" t="s">
        <v>24</v>
      </c>
      <c r="S44" s="5" t="s">
        <v>1852</v>
      </c>
      <c r="T44" s="5" t="s">
        <v>5139</v>
      </c>
      <c r="U44" s="5" t="s">
        <v>5139</v>
      </c>
      <c r="V44" s="5" t="s">
        <v>24</v>
      </c>
      <c r="W44" s="5" t="s">
        <v>24</v>
      </c>
      <c r="X44" s="5" t="s">
        <v>24</v>
      </c>
      <c r="Y44" s="5" t="s">
        <v>5140</v>
      </c>
      <c r="Z44" s="5" t="s">
        <v>5141</v>
      </c>
      <c r="AA44" s="5" t="s">
        <v>5141</v>
      </c>
      <c r="AB44" s="5"/>
    </row>
    <row r="45" ht="15.75" customHeight="1">
      <c r="A45" s="5" t="s">
        <v>5142</v>
      </c>
      <c r="B45" s="5" t="s">
        <v>5143</v>
      </c>
      <c r="C45" s="5" t="s">
        <v>145</v>
      </c>
      <c r="D45" s="5" t="s">
        <v>24</v>
      </c>
      <c r="E45" s="5" t="s">
        <v>1849</v>
      </c>
      <c r="F45" s="5" t="s">
        <v>4963</v>
      </c>
      <c r="G45" s="5" t="s">
        <v>24</v>
      </c>
      <c r="H45" s="5" t="s">
        <v>24</v>
      </c>
      <c r="I45" s="5" t="s">
        <v>24</v>
      </c>
      <c r="J45" s="5" t="s">
        <v>24</v>
      </c>
      <c r="K45" s="5" t="s">
        <v>24</v>
      </c>
      <c r="L45" s="5" t="s">
        <v>24</v>
      </c>
      <c r="M45" s="5" t="s">
        <v>24</v>
      </c>
      <c r="N45" s="5" t="s">
        <v>24</v>
      </c>
      <c r="O45" s="5" t="s">
        <v>1933</v>
      </c>
      <c r="P45" s="5" t="s">
        <v>24</v>
      </c>
      <c r="Q45" s="5" t="s">
        <v>24</v>
      </c>
      <c r="R45" s="5" t="s">
        <v>24</v>
      </c>
      <c r="S45" s="5" t="s">
        <v>2020</v>
      </c>
      <c r="T45" s="5" t="s">
        <v>2021</v>
      </c>
      <c r="U45" s="5" t="s">
        <v>2021</v>
      </c>
      <c r="V45" s="5" t="s">
        <v>24</v>
      </c>
      <c r="W45" s="5" t="s">
        <v>24</v>
      </c>
      <c r="X45" s="5" t="s">
        <v>24</v>
      </c>
      <c r="Y45" s="5" t="s">
        <v>5144</v>
      </c>
      <c r="Z45" s="5" t="s">
        <v>5145</v>
      </c>
      <c r="AA45" s="5" t="s">
        <v>5145</v>
      </c>
      <c r="AB45" s="5"/>
    </row>
    <row r="46" ht="15.75" customHeight="1">
      <c r="A46" s="5" t="s">
        <v>5146</v>
      </c>
      <c r="B46" s="5" t="s">
        <v>5147</v>
      </c>
      <c r="C46" s="5" t="s">
        <v>145</v>
      </c>
      <c r="D46" s="5" t="s">
        <v>24</v>
      </c>
      <c r="E46" s="5" t="s">
        <v>1849</v>
      </c>
      <c r="F46" s="5" t="s">
        <v>4963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24</v>
      </c>
      <c r="N46" s="5" t="s">
        <v>24</v>
      </c>
      <c r="O46" s="5" t="s">
        <v>1933</v>
      </c>
      <c r="P46" s="5" t="s">
        <v>24</v>
      </c>
      <c r="Q46" s="5" t="s">
        <v>24</v>
      </c>
      <c r="R46" s="5" t="s">
        <v>24</v>
      </c>
      <c r="S46" s="5" t="s">
        <v>2020</v>
      </c>
      <c r="T46" s="5" t="s">
        <v>2021</v>
      </c>
      <c r="U46" s="5" t="s">
        <v>2021</v>
      </c>
      <c r="V46" s="5" t="s">
        <v>24</v>
      </c>
      <c r="W46" s="5" t="s">
        <v>24</v>
      </c>
      <c r="X46" s="5" t="s">
        <v>24</v>
      </c>
      <c r="Y46" s="5" t="s">
        <v>5148</v>
      </c>
      <c r="Z46" s="5" t="s">
        <v>5149</v>
      </c>
      <c r="AA46" s="5" t="s">
        <v>5149</v>
      </c>
      <c r="AB46" s="5"/>
    </row>
    <row r="47" ht="15.75" customHeight="1">
      <c r="A47" s="5" t="s">
        <v>5150</v>
      </c>
      <c r="B47" s="5" t="s">
        <v>5151</v>
      </c>
      <c r="C47" s="5" t="s">
        <v>5013</v>
      </c>
      <c r="D47" s="5" t="s">
        <v>24</v>
      </c>
      <c r="E47" s="5" t="s">
        <v>1849</v>
      </c>
      <c r="F47" s="5" t="s">
        <v>4963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24</v>
      </c>
      <c r="N47" s="5" t="s">
        <v>24</v>
      </c>
      <c r="O47" s="5" t="s">
        <v>1933</v>
      </c>
      <c r="P47" s="5" t="s">
        <v>24</v>
      </c>
      <c r="Q47" s="5" t="s">
        <v>24</v>
      </c>
      <c r="R47" s="5" t="s">
        <v>24</v>
      </c>
      <c r="S47" s="5" t="s">
        <v>2020</v>
      </c>
      <c r="T47" s="5" t="s">
        <v>2021</v>
      </c>
      <c r="U47" s="5" t="s">
        <v>2021</v>
      </c>
      <c r="V47" s="5" t="s">
        <v>24</v>
      </c>
      <c r="W47" s="5" t="s">
        <v>24</v>
      </c>
      <c r="X47" s="5" t="s">
        <v>24</v>
      </c>
      <c r="Y47" s="5" t="s">
        <v>5152</v>
      </c>
      <c r="Z47" s="5" t="s">
        <v>5153</v>
      </c>
      <c r="AA47" s="5" t="s">
        <v>5153</v>
      </c>
      <c r="AB47" s="5"/>
    </row>
    <row r="48" ht="15.75" customHeight="1">
      <c r="A48" s="5" t="s">
        <v>5154</v>
      </c>
      <c r="B48" s="5" t="s">
        <v>5155</v>
      </c>
      <c r="C48" s="5" t="s">
        <v>5013</v>
      </c>
      <c r="D48" s="5" t="s">
        <v>24</v>
      </c>
      <c r="E48" s="5" t="s">
        <v>1849</v>
      </c>
      <c r="F48" s="5" t="s">
        <v>4963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1885</v>
      </c>
      <c r="N48" s="5" t="s">
        <v>24</v>
      </c>
      <c r="O48" s="5" t="s">
        <v>24</v>
      </c>
      <c r="P48" s="5" t="s">
        <v>24</v>
      </c>
      <c r="Q48" s="5" t="s">
        <v>24</v>
      </c>
      <c r="R48" s="5" t="s">
        <v>24</v>
      </c>
      <c r="S48" s="5" t="s">
        <v>1852</v>
      </c>
      <c r="T48" s="5" t="s">
        <v>2026</v>
      </c>
      <c r="U48" s="5" t="s">
        <v>2026</v>
      </c>
      <c r="V48" s="5" t="s">
        <v>24</v>
      </c>
      <c r="W48" s="5" t="s">
        <v>24</v>
      </c>
      <c r="X48" s="5" t="s">
        <v>24</v>
      </c>
      <c r="Y48" s="5" t="s">
        <v>5156</v>
      </c>
      <c r="Z48" s="5" t="s">
        <v>5157</v>
      </c>
      <c r="AA48" s="5" t="s">
        <v>5157</v>
      </c>
      <c r="AB48" s="5"/>
    </row>
    <row r="49" ht="15.75" customHeight="1">
      <c r="A49" s="5" t="s">
        <v>5158</v>
      </c>
      <c r="B49" s="5" t="s">
        <v>5159</v>
      </c>
      <c r="C49" s="5" t="s">
        <v>145</v>
      </c>
      <c r="D49" s="5" t="s">
        <v>24</v>
      </c>
      <c r="E49" s="5" t="s">
        <v>1849</v>
      </c>
      <c r="F49" s="5" t="s">
        <v>4963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  <c r="N49" s="5" t="s">
        <v>24</v>
      </c>
      <c r="O49" s="5" t="s">
        <v>1969</v>
      </c>
      <c r="P49" s="5" t="s">
        <v>24</v>
      </c>
      <c r="Q49" s="5" t="s">
        <v>24</v>
      </c>
      <c r="R49" s="5" t="s">
        <v>24</v>
      </c>
      <c r="S49" s="5" t="s">
        <v>2020</v>
      </c>
      <c r="T49" s="5" t="s">
        <v>2021</v>
      </c>
      <c r="U49" s="5" t="s">
        <v>2021</v>
      </c>
      <c r="V49" s="5" t="s">
        <v>24</v>
      </c>
      <c r="W49" s="5" t="s">
        <v>24</v>
      </c>
      <c r="X49" s="5" t="s">
        <v>24</v>
      </c>
      <c r="Y49" s="5" t="s">
        <v>5160</v>
      </c>
      <c r="Z49" s="5" t="s">
        <v>5161</v>
      </c>
      <c r="AA49" s="5" t="s">
        <v>5161</v>
      </c>
      <c r="AB49" s="5"/>
    </row>
    <row r="50" ht="15.75" customHeight="1">
      <c r="A50" s="5" t="s">
        <v>5162</v>
      </c>
      <c r="B50" s="5" t="s">
        <v>5163</v>
      </c>
      <c r="C50" s="5" t="s">
        <v>145</v>
      </c>
      <c r="D50" s="5" t="s">
        <v>24</v>
      </c>
      <c r="E50" s="5" t="s">
        <v>1849</v>
      </c>
      <c r="F50" s="5" t="s">
        <v>4963</v>
      </c>
      <c r="G50" s="5" t="s">
        <v>24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24</v>
      </c>
      <c r="N50" s="5" t="s">
        <v>24</v>
      </c>
      <c r="O50" s="5" t="s">
        <v>1933</v>
      </c>
      <c r="P50" s="5" t="s">
        <v>24</v>
      </c>
      <c r="Q50" s="5" t="s">
        <v>24</v>
      </c>
      <c r="R50" s="5" t="s">
        <v>24</v>
      </c>
      <c r="S50" s="5" t="s">
        <v>2020</v>
      </c>
      <c r="T50" s="5" t="s">
        <v>2021</v>
      </c>
      <c r="U50" s="5" t="s">
        <v>2021</v>
      </c>
      <c r="V50" s="5" t="s">
        <v>24</v>
      </c>
      <c r="W50" s="5" t="s">
        <v>24</v>
      </c>
      <c r="X50" s="5" t="s">
        <v>24</v>
      </c>
      <c r="Y50" s="5" t="s">
        <v>5164</v>
      </c>
      <c r="Z50" s="5" t="s">
        <v>5165</v>
      </c>
      <c r="AA50" s="5" t="s">
        <v>5165</v>
      </c>
      <c r="AB50" s="5"/>
    </row>
    <row r="51" ht="15.75" customHeight="1">
      <c r="A51" s="5" t="s">
        <v>5166</v>
      </c>
      <c r="B51" s="5" t="s">
        <v>5167</v>
      </c>
      <c r="C51" s="5" t="s">
        <v>5138</v>
      </c>
      <c r="D51" s="5" t="s">
        <v>24</v>
      </c>
      <c r="E51" s="5" t="s">
        <v>1849</v>
      </c>
      <c r="F51" s="5" t="s">
        <v>4963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1885</v>
      </c>
      <c r="N51" s="5" t="s">
        <v>24</v>
      </c>
      <c r="O51" s="5" t="s">
        <v>24</v>
      </c>
      <c r="P51" s="5" t="s">
        <v>24</v>
      </c>
      <c r="Q51" s="5" t="s">
        <v>24</v>
      </c>
      <c r="R51" s="5" t="s">
        <v>24</v>
      </c>
      <c r="S51" s="5" t="s">
        <v>1852</v>
      </c>
      <c r="T51" s="5" t="s">
        <v>5139</v>
      </c>
      <c r="U51" s="5" t="s">
        <v>5139</v>
      </c>
      <c r="V51" s="5" t="s">
        <v>24</v>
      </c>
      <c r="W51" s="5" t="s">
        <v>24</v>
      </c>
      <c r="X51" s="5" t="s">
        <v>24</v>
      </c>
      <c r="Y51" s="5" t="s">
        <v>5168</v>
      </c>
      <c r="Z51" s="5" t="s">
        <v>5169</v>
      </c>
      <c r="AA51" s="5" t="s">
        <v>5169</v>
      </c>
      <c r="AB51" s="5"/>
    </row>
    <row r="52" ht="15.75" customHeight="1">
      <c r="A52" s="5" t="s">
        <v>5170</v>
      </c>
      <c r="B52" s="5" t="s">
        <v>5171</v>
      </c>
      <c r="C52" s="5" t="s">
        <v>139</v>
      </c>
      <c r="D52" s="5" t="s">
        <v>24</v>
      </c>
      <c r="E52" s="5" t="s">
        <v>1849</v>
      </c>
      <c r="F52" s="5" t="s">
        <v>4963</v>
      </c>
      <c r="G52" s="5" t="s">
        <v>24</v>
      </c>
      <c r="H52" s="5" t="s">
        <v>24</v>
      </c>
      <c r="I52" s="5" t="s">
        <v>24</v>
      </c>
      <c r="J52" s="5" t="s">
        <v>24</v>
      </c>
      <c r="K52" s="5" t="s">
        <v>24</v>
      </c>
      <c r="L52" s="5" t="s">
        <v>24</v>
      </c>
      <c r="M52" s="5" t="s">
        <v>1885</v>
      </c>
      <c r="N52" s="5" t="s">
        <v>24</v>
      </c>
      <c r="O52" s="5" t="s">
        <v>4104</v>
      </c>
      <c r="P52" s="5" t="s">
        <v>24</v>
      </c>
      <c r="Q52" s="5" t="s">
        <v>24</v>
      </c>
      <c r="R52" s="5" t="s">
        <v>24</v>
      </c>
      <c r="S52" s="5" t="s">
        <v>2020</v>
      </c>
      <c r="T52" s="5" t="s">
        <v>2021</v>
      </c>
      <c r="U52" s="5" t="s">
        <v>2021</v>
      </c>
      <c r="V52" s="5" t="s">
        <v>24</v>
      </c>
      <c r="W52" s="5" t="s">
        <v>24</v>
      </c>
      <c r="X52" s="5" t="s">
        <v>24</v>
      </c>
      <c r="Y52" s="5" t="s">
        <v>5172</v>
      </c>
      <c r="Z52" s="5" t="s">
        <v>5173</v>
      </c>
      <c r="AA52" s="5" t="s">
        <v>5173</v>
      </c>
      <c r="AB52" s="5"/>
    </row>
    <row r="53" ht="15.75" customHeight="1">
      <c r="A53" s="5" t="s">
        <v>5174</v>
      </c>
      <c r="B53" s="5" t="s">
        <v>5175</v>
      </c>
      <c r="C53" s="5" t="s">
        <v>336</v>
      </c>
      <c r="D53" s="5" t="s">
        <v>24</v>
      </c>
      <c r="E53" s="5" t="s">
        <v>1849</v>
      </c>
      <c r="F53" s="5" t="s">
        <v>4963</v>
      </c>
      <c r="G53" s="5" t="s">
        <v>24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5" t="s">
        <v>24</v>
      </c>
      <c r="N53" s="5" t="s">
        <v>24</v>
      </c>
      <c r="O53" s="5" t="s">
        <v>4505</v>
      </c>
      <c r="P53" s="5" t="s">
        <v>24</v>
      </c>
      <c r="Q53" s="5" t="s">
        <v>24</v>
      </c>
      <c r="R53" s="5" t="s">
        <v>24</v>
      </c>
      <c r="S53" s="5" t="s">
        <v>2020</v>
      </c>
      <c r="T53" s="5" t="s">
        <v>2021</v>
      </c>
      <c r="U53" s="5" t="s">
        <v>2021</v>
      </c>
      <c r="V53" s="5" t="s">
        <v>24</v>
      </c>
      <c r="W53" s="5" t="s">
        <v>24</v>
      </c>
      <c r="X53" s="5" t="s">
        <v>24</v>
      </c>
      <c r="Y53" s="5" t="s">
        <v>5176</v>
      </c>
      <c r="Z53" s="5" t="s">
        <v>5177</v>
      </c>
      <c r="AA53" s="5" t="s">
        <v>5177</v>
      </c>
      <c r="AB53" s="5"/>
    </row>
    <row r="54" ht="15.75" customHeight="1">
      <c r="A54" s="5" t="s">
        <v>5178</v>
      </c>
      <c r="B54" s="5" t="s">
        <v>5179</v>
      </c>
      <c r="C54" s="5" t="s">
        <v>5013</v>
      </c>
      <c r="D54" s="5" t="s">
        <v>24</v>
      </c>
      <c r="E54" s="5" t="s">
        <v>1849</v>
      </c>
      <c r="F54" s="5" t="s">
        <v>4963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4504</v>
      </c>
      <c r="N54" s="5" t="s">
        <v>24</v>
      </c>
      <c r="O54" s="5" t="s">
        <v>24</v>
      </c>
      <c r="P54" s="5" t="s">
        <v>24</v>
      </c>
      <c r="Q54" s="5" t="s">
        <v>24</v>
      </c>
      <c r="R54" s="5" t="s">
        <v>24</v>
      </c>
      <c r="S54" s="5" t="s">
        <v>2020</v>
      </c>
      <c r="T54" s="5" t="s">
        <v>2021</v>
      </c>
      <c r="U54" s="5" t="s">
        <v>2021</v>
      </c>
      <c r="V54" s="5" t="s">
        <v>24</v>
      </c>
      <c r="W54" s="5" t="s">
        <v>24</v>
      </c>
      <c r="X54" s="5" t="s">
        <v>24</v>
      </c>
      <c r="Y54" s="5" t="s">
        <v>5180</v>
      </c>
      <c r="Z54" s="5" t="s">
        <v>5181</v>
      </c>
      <c r="AA54" s="5" t="s">
        <v>5181</v>
      </c>
      <c r="AB54" s="5"/>
    </row>
    <row r="55" ht="15.75" customHeight="1">
      <c r="A55" s="5" t="s">
        <v>5182</v>
      </c>
      <c r="B55" s="5" t="s">
        <v>5183</v>
      </c>
      <c r="C55" s="5" t="s">
        <v>227</v>
      </c>
      <c r="D55" s="5" t="s">
        <v>24</v>
      </c>
      <c r="E55" s="5" t="s">
        <v>1849</v>
      </c>
      <c r="F55" s="5" t="s">
        <v>4963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5" t="s">
        <v>4372</v>
      </c>
      <c r="O55" s="5" t="s">
        <v>1933</v>
      </c>
      <c r="P55" s="5" t="s">
        <v>24</v>
      </c>
      <c r="Q55" s="5" t="s">
        <v>24</v>
      </c>
      <c r="R55" s="5" t="s">
        <v>24</v>
      </c>
      <c r="S55" s="5" t="s">
        <v>1852</v>
      </c>
      <c r="T55" s="5" t="s">
        <v>5184</v>
      </c>
      <c r="U55" s="5" t="s">
        <v>5184</v>
      </c>
      <c r="V55" s="5" t="s">
        <v>24</v>
      </c>
      <c r="W55" s="5" t="s">
        <v>24</v>
      </c>
      <c r="X55" s="5" t="s">
        <v>24</v>
      </c>
      <c r="Y55" s="5" t="s">
        <v>5185</v>
      </c>
      <c r="Z55" s="5" t="s">
        <v>5186</v>
      </c>
      <c r="AA55" s="5" t="s">
        <v>5186</v>
      </c>
      <c r="AB55" s="5"/>
    </row>
    <row r="56" ht="15.75" customHeight="1">
      <c r="A56" s="5" t="s">
        <v>5187</v>
      </c>
      <c r="B56" s="5" t="s">
        <v>5188</v>
      </c>
      <c r="C56" s="5" t="s">
        <v>5013</v>
      </c>
      <c r="D56" s="5" t="s">
        <v>24</v>
      </c>
      <c r="E56" s="5" t="s">
        <v>1849</v>
      </c>
      <c r="F56" s="5" t="s">
        <v>4963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4504</v>
      </c>
      <c r="N56" s="5" t="s">
        <v>24</v>
      </c>
      <c r="O56" s="5" t="s">
        <v>24</v>
      </c>
      <c r="P56" s="5" t="s">
        <v>24</v>
      </c>
      <c r="Q56" s="5" t="s">
        <v>24</v>
      </c>
      <c r="R56" s="5" t="s">
        <v>24</v>
      </c>
      <c r="S56" s="5" t="s">
        <v>2020</v>
      </c>
      <c r="T56" s="5" t="s">
        <v>2021</v>
      </c>
      <c r="U56" s="5" t="s">
        <v>2021</v>
      </c>
      <c r="V56" s="5" t="s">
        <v>24</v>
      </c>
      <c r="W56" s="5" t="s">
        <v>24</v>
      </c>
      <c r="X56" s="5" t="s">
        <v>24</v>
      </c>
      <c r="Y56" s="5" t="s">
        <v>5189</v>
      </c>
      <c r="Z56" s="5" t="s">
        <v>5190</v>
      </c>
      <c r="AA56" s="5" t="s">
        <v>5190</v>
      </c>
      <c r="AB56" s="5"/>
    </row>
    <row r="57" ht="15.75" customHeight="1">
      <c r="A57" s="5" t="s">
        <v>5191</v>
      </c>
      <c r="B57" s="5" t="s">
        <v>5192</v>
      </c>
      <c r="C57" s="5" t="s">
        <v>5013</v>
      </c>
      <c r="D57" s="5" t="s">
        <v>24</v>
      </c>
      <c r="E57" s="5" t="s">
        <v>1849</v>
      </c>
      <c r="F57" s="5" t="s">
        <v>4963</v>
      </c>
      <c r="G57" s="5" t="s">
        <v>24</v>
      </c>
      <c r="H57" s="5" t="s">
        <v>24</v>
      </c>
      <c r="I57" s="5" t="s">
        <v>24</v>
      </c>
      <c r="J57" s="5" t="s">
        <v>24</v>
      </c>
      <c r="K57" s="5" t="s">
        <v>24</v>
      </c>
      <c r="L57" s="5" t="s">
        <v>24</v>
      </c>
      <c r="M57" s="5" t="s">
        <v>3048</v>
      </c>
      <c r="N57" s="5" t="s">
        <v>24</v>
      </c>
      <c r="O57" s="5" t="s">
        <v>24</v>
      </c>
      <c r="P57" s="5" t="s">
        <v>24</v>
      </c>
      <c r="Q57" s="5" t="s">
        <v>24</v>
      </c>
      <c r="R57" s="5" t="s">
        <v>24</v>
      </c>
      <c r="S57" s="5" t="s">
        <v>1852</v>
      </c>
      <c r="T57" s="5" t="s">
        <v>5193</v>
      </c>
      <c r="U57" s="5" t="s">
        <v>5193</v>
      </c>
      <c r="V57" s="5" t="s">
        <v>24</v>
      </c>
      <c r="W57" s="5" t="s">
        <v>24</v>
      </c>
      <c r="X57" s="5" t="s">
        <v>24</v>
      </c>
      <c r="Y57" s="5" t="s">
        <v>5194</v>
      </c>
      <c r="Z57" s="5" t="s">
        <v>5195</v>
      </c>
      <c r="AA57" s="5" t="s">
        <v>5195</v>
      </c>
      <c r="AB57" s="5"/>
    </row>
    <row r="58" ht="15.75" customHeight="1">
      <c r="A58" s="5" t="s">
        <v>5196</v>
      </c>
      <c r="B58" s="5" t="s">
        <v>5197</v>
      </c>
      <c r="C58" s="5" t="s">
        <v>5013</v>
      </c>
      <c r="D58" s="5" t="s">
        <v>24</v>
      </c>
      <c r="E58" s="5" t="s">
        <v>1849</v>
      </c>
      <c r="F58" s="5" t="s">
        <v>4963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5" t="s">
        <v>24</v>
      </c>
      <c r="O58" s="5" t="s">
        <v>2715</v>
      </c>
      <c r="P58" s="5" t="s">
        <v>24</v>
      </c>
      <c r="Q58" s="5" t="s">
        <v>24</v>
      </c>
      <c r="R58" s="5" t="s">
        <v>24</v>
      </c>
      <c r="S58" s="5" t="s">
        <v>2020</v>
      </c>
      <c r="T58" s="5" t="s">
        <v>2021</v>
      </c>
      <c r="U58" s="5" t="s">
        <v>2021</v>
      </c>
      <c r="V58" s="5" t="s">
        <v>24</v>
      </c>
      <c r="W58" s="5" t="s">
        <v>24</v>
      </c>
      <c r="X58" s="5" t="s">
        <v>24</v>
      </c>
      <c r="Y58" s="5" t="s">
        <v>5198</v>
      </c>
      <c r="Z58" s="5" t="s">
        <v>5199</v>
      </c>
      <c r="AA58" s="5" t="s">
        <v>5199</v>
      </c>
      <c r="AB58" s="5"/>
    </row>
    <row r="59" ht="15.75" customHeight="1">
      <c r="A59" s="5" t="s">
        <v>5200</v>
      </c>
      <c r="B59" s="5" t="s">
        <v>5201</v>
      </c>
      <c r="C59" s="5" t="s">
        <v>5013</v>
      </c>
      <c r="D59" s="5" t="s">
        <v>24</v>
      </c>
      <c r="E59" s="5" t="s">
        <v>1849</v>
      </c>
      <c r="F59" s="5" t="s">
        <v>4963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1885</v>
      </c>
      <c r="N59" s="5" t="s">
        <v>24</v>
      </c>
      <c r="O59" s="5" t="s">
        <v>24</v>
      </c>
      <c r="P59" s="5" t="s">
        <v>24</v>
      </c>
      <c r="Q59" s="5" t="s">
        <v>24</v>
      </c>
      <c r="R59" s="5" t="s">
        <v>24</v>
      </c>
      <c r="S59" s="5" t="s">
        <v>1852</v>
      </c>
      <c r="T59" s="5" t="s">
        <v>5202</v>
      </c>
      <c r="U59" s="5" t="s">
        <v>5202</v>
      </c>
      <c r="V59" s="5" t="s">
        <v>24</v>
      </c>
      <c r="W59" s="5" t="s">
        <v>24</v>
      </c>
      <c r="X59" s="5" t="s">
        <v>24</v>
      </c>
      <c r="Y59" s="5" t="s">
        <v>5203</v>
      </c>
      <c r="Z59" s="5" t="s">
        <v>5204</v>
      </c>
      <c r="AA59" s="5" t="s">
        <v>5204</v>
      </c>
      <c r="AB59" s="5"/>
    </row>
    <row r="60" ht="15.75" customHeight="1">
      <c r="A60" s="5" t="s">
        <v>5205</v>
      </c>
      <c r="B60" s="5" t="s">
        <v>5206</v>
      </c>
      <c r="C60" s="5" t="s">
        <v>139</v>
      </c>
      <c r="D60" s="5" t="s">
        <v>24</v>
      </c>
      <c r="E60" s="5" t="s">
        <v>1849</v>
      </c>
      <c r="F60" s="5" t="s">
        <v>4963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1885</v>
      </c>
      <c r="N60" s="5" t="s">
        <v>24</v>
      </c>
      <c r="O60" s="5" t="s">
        <v>5207</v>
      </c>
      <c r="P60" s="5" t="s">
        <v>24</v>
      </c>
      <c r="Q60" s="5" t="s">
        <v>24</v>
      </c>
      <c r="R60" s="5" t="s">
        <v>24</v>
      </c>
      <c r="S60" s="5" t="s">
        <v>2020</v>
      </c>
      <c r="T60" s="5" t="s">
        <v>2021</v>
      </c>
      <c r="U60" s="5" t="s">
        <v>2021</v>
      </c>
      <c r="V60" s="5" t="s">
        <v>24</v>
      </c>
      <c r="W60" s="5" t="s">
        <v>24</v>
      </c>
      <c r="X60" s="5" t="s">
        <v>24</v>
      </c>
      <c r="Y60" s="5" t="s">
        <v>5208</v>
      </c>
      <c r="Z60" s="5" t="s">
        <v>5209</v>
      </c>
      <c r="AA60" s="5" t="s">
        <v>5209</v>
      </c>
      <c r="AB60" s="5"/>
    </row>
    <row r="61" ht="15.75" customHeight="1">
      <c r="A61" s="5" t="s">
        <v>5210</v>
      </c>
      <c r="B61" s="5" t="s">
        <v>5211</v>
      </c>
      <c r="C61" s="5" t="s">
        <v>1915</v>
      </c>
      <c r="D61" s="5" t="s">
        <v>24</v>
      </c>
      <c r="E61" s="5" t="s">
        <v>1849</v>
      </c>
      <c r="F61" s="5" t="s">
        <v>4963</v>
      </c>
      <c r="G61" s="5" t="s">
        <v>24</v>
      </c>
      <c r="H61" s="5" t="s">
        <v>24</v>
      </c>
      <c r="I61" s="5" t="s">
        <v>24</v>
      </c>
      <c r="J61" s="5" t="s">
        <v>24</v>
      </c>
      <c r="K61" s="5" t="s">
        <v>24</v>
      </c>
      <c r="L61" s="5" t="s">
        <v>24</v>
      </c>
      <c r="M61" s="5" t="s">
        <v>24</v>
      </c>
      <c r="N61" s="5" t="s">
        <v>24</v>
      </c>
      <c r="O61" s="5" t="s">
        <v>1851</v>
      </c>
      <c r="P61" s="5" t="s">
        <v>24</v>
      </c>
      <c r="Q61" s="5" t="s">
        <v>24</v>
      </c>
      <c r="R61" s="5" t="s">
        <v>24</v>
      </c>
      <c r="S61" s="5" t="s">
        <v>1852</v>
      </c>
      <c r="T61" s="5" t="s">
        <v>5212</v>
      </c>
      <c r="U61" s="5" t="s">
        <v>5212</v>
      </c>
      <c r="V61" s="5" t="s">
        <v>24</v>
      </c>
      <c r="W61" s="5" t="s">
        <v>24</v>
      </c>
      <c r="X61" s="5" t="s">
        <v>24</v>
      </c>
      <c r="Y61" s="5" t="s">
        <v>5213</v>
      </c>
      <c r="Z61" s="5" t="s">
        <v>5214</v>
      </c>
      <c r="AA61" s="5" t="s">
        <v>5214</v>
      </c>
      <c r="AB61" s="5"/>
    </row>
    <row r="62" ht="15.75" customHeight="1">
      <c r="A62" s="5" t="s">
        <v>5215</v>
      </c>
      <c r="B62" s="5" t="s">
        <v>5216</v>
      </c>
      <c r="C62" s="5" t="s">
        <v>139</v>
      </c>
      <c r="D62" s="5" t="s">
        <v>24</v>
      </c>
      <c r="E62" s="5" t="s">
        <v>1849</v>
      </c>
      <c r="F62" s="5" t="s">
        <v>4963</v>
      </c>
      <c r="G62" s="5" t="s">
        <v>24</v>
      </c>
      <c r="H62" s="5" t="s">
        <v>24</v>
      </c>
      <c r="I62" s="5" t="s">
        <v>24</v>
      </c>
      <c r="J62" s="5" t="s">
        <v>24</v>
      </c>
      <c r="K62" s="5" t="s">
        <v>24</v>
      </c>
      <c r="L62" s="5" t="s">
        <v>24</v>
      </c>
      <c r="M62" s="5" t="s">
        <v>1885</v>
      </c>
      <c r="N62" s="5" t="s">
        <v>24</v>
      </c>
      <c r="O62" s="5" t="s">
        <v>1886</v>
      </c>
      <c r="P62" s="5" t="s">
        <v>24</v>
      </c>
      <c r="Q62" s="5" t="s">
        <v>24</v>
      </c>
      <c r="R62" s="5" t="s">
        <v>24</v>
      </c>
      <c r="S62" s="5" t="s">
        <v>2020</v>
      </c>
      <c r="T62" s="5" t="s">
        <v>2021</v>
      </c>
      <c r="U62" s="5" t="s">
        <v>2021</v>
      </c>
      <c r="V62" s="5" t="s">
        <v>24</v>
      </c>
      <c r="W62" s="5" t="s">
        <v>24</v>
      </c>
      <c r="X62" s="5" t="s">
        <v>24</v>
      </c>
      <c r="Y62" s="5" t="s">
        <v>5217</v>
      </c>
      <c r="Z62" s="5" t="s">
        <v>5218</v>
      </c>
      <c r="AA62" s="5" t="s">
        <v>5218</v>
      </c>
      <c r="AB62" s="5"/>
    </row>
    <row r="63" ht="15.75" customHeight="1">
      <c r="A63" s="5" t="s">
        <v>5219</v>
      </c>
      <c r="B63" s="5" t="s">
        <v>5220</v>
      </c>
      <c r="C63" s="5" t="s">
        <v>106</v>
      </c>
      <c r="D63" s="5" t="s">
        <v>24</v>
      </c>
      <c r="E63" s="5" t="s">
        <v>1849</v>
      </c>
      <c r="F63" s="5" t="s">
        <v>4963</v>
      </c>
      <c r="G63" s="5" t="s">
        <v>24</v>
      </c>
      <c r="H63" s="5" t="s">
        <v>24</v>
      </c>
      <c r="I63" s="5" t="s">
        <v>24</v>
      </c>
      <c r="J63" s="5" t="s">
        <v>24</v>
      </c>
      <c r="K63" s="5" t="s">
        <v>24</v>
      </c>
      <c r="L63" s="5" t="s">
        <v>24</v>
      </c>
      <c r="M63" s="5" t="s">
        <v>1885</v>
      </c>
      <c r="N63" s="5" t="s">
        <v>24</v>
      </c>
      <c r="O63" s="5" t="s">
        <v>2085</v>
      </c>
      <c r="P63" s="5" t="s">
        <v>24</v>
      </c>
      <c r="Q63" s="5" t="s">
        <v>24</v>
      </c>
      <c r="R63" s="5" t="s">
        <v>24</v>
      </c>
      <c r="S63" s="5" t="s">
        <v>1852</v>
      </c>
      <c r="T63" s="5" t="s">
        <v>2047</v>
      </c>
      <c r="U63" s="5" t="s">
        <v>2047</v>
      </c>
      <c r="V63" s="5" t="s">
        <v>24</v>
      </c>
      <c r="W63" s="5" t="s">
        <v>24</v>
      </c>
      <c r="X63" s="5" t="s">
        <v>24</v>
      </c>
      <c r="Y63" s="5" t="s">
        <v>5221</v>
      </c>
      <c r="Z63" s="5" t="s">
        <v>5222</v>
      </c>
      <c r="AA63" s="5" t="s">
        <v>5222</v>
      </c>
      <c r="AB63" s="5"/>
    </row>
    <row r="64" ht="15.75" customHeight="1">
      <c r="A64" s="5" t="s">
        <v>5223</v>
      </c>
      <c r="B64" s="5" t="s">
        <v>5224</v>
      </c>
      <c r="C64" s="5" t="s">
        <v>145</v>
      </c>
      <c r="D64" s="5" t="s">
        <v>24</v>
      </c>
      <c r="E64" s="5" t="s">
        <v>1849</v>
      </c>
      <c r="F64" s="5" t="s">
        <v>4963</v>
      </c>
      <c r="G64" s="5" t="s">
        <v>24</v>
      </c>
      <c r="H64" s="5" t="s">
        <v>24</v>
      </c>
      <c r="I64" s="5" t="s">
        <v>24</v>
      </c>
      <c r="J64" s="5" t="s">
        <v>24</v>
      </c>
      <c r="K64" s="5" t="s">
        <v>24</v>
      </c>
      <c r="L64" s="5" t="s">
        <v>24</v>
      </c>
      <c r="M64" s="5" t="s">
        <v>3048</v>
      </c>
      <c r="N64" s="5" t="s">
        <v>24</v>
      </c>
      <c r="O64" s="5" t="s">
        <v>24</v>
      </c>
      <c r="P64" s="5" t="s">
        <v>24</v>
      </c>
      <c r="Q64" s="5" t="s">
        <v>24</v>
      </c>
      <c r="R64" s="5" t="s">
        <v>24</v>
      </c>
      <c r="S64" s="5" t="s">
        <v>2020</v>
      </c>
      <c r="T64" s="5" t="s">
        <v>2021</v>
      </c>
      <c r="U64" s="5" t="s">
        <v>2021</v>
      </c>
      <c r="V64" s="5" t="s">
        <v>24</v>
      </c>
      <c r="W64" s="5" t="s">
        <v>24</v>
      </c>
      <c r="X64" s="5" t="s">
        <v>24</v>
      </c>
      <c r="Y64" s="5" t="s">
        <v>5225</v>
      </c>
      <c r="Z64" s="5" t="s">
        <v>5226</v>
      </c>
      <c r="AA64" s="5" t="s">
        <v>5226</v>
      </c>
      <c r="AB64" s="5"/>
    </row>
    <row r="65" ht="15.75" customHeight="1">
      <c r="A65" s="5" t="s">
        <v>5227</v>
      </c>
      <c r="B65" s="5" t="s">
        <v>5228</v>
      </c>
      <c r="C65" s="5" t="s">
        <v>5095</v>
      </c>
      <c r="D65" s="5" t="s">
        <v>24</v>
      </c>
      <c r="E65" s="5" t="s">
        <v>1849</v>
      </c>
      <c r="F65" s="5" t="s">
        <v>4963</v>
      </c>
      <c r="G65" s="5" t="s">
        <v>24</v>
      </c>
      <c r="H65" s="5" t="s">
        <v>24</v>
      </c>
      <c r="I65" s="5" t="s">
        <v>24</v>
      </c>
      <c r="J65" s="5" t="s">
        <v>24</v>
      </c>
      <c r="K65" s="5" t="s">
        <v>24</v>
      </c>
      <c r="L65" s="5" t="s">
        <v>24</v>
      </c>
      <c r="M65" s="5" t="s">
        <v>24</v>
      </c>
      <c r="N65" s="5" t="s">
        <v>24</v>
      </c>
      <c r="O65" s="5" t="s">
        <v>1933</v>
      </c>
      <c r="P65" s="5" t="s">
        <v>24</v>
      </c>
      <c r="Q65" s="5" t="s">
        <v>24</v>
      </c>
      <c r="R65" s="5" t="s">
        <v>24</v>
      </c>
      <c r="S65" s="5" t="s">
        <v>2020</v>
      </c>
      <c r="T65" s="5" t="s">
        <v>2021</v>
      </c>
      <c r="U65" s="5" t="s">
        <v>2021</v>
      </c>
      <c r="V65" s="5" t="s">
        <v>24</v>
      </c>
      <c r="W65" s="5" t="s">
        <v>24</v>
      </c>
      <c r="X65" s="5" t="s">
        <v>24</v>
      </c>
      <c r="Y65" s="5" t="s">
        <v>5229</v>
      </c>
      <c r="Z65" s="5" t="s">
        <v>5230</v>
      </c>
      <c r="AA65" s="5" t="s">
        <v>5230</v>
      </c>
      <c r="AB65" s="5"/>
    </row>
    <row r="66" ht="15.75" customHeight="1">
      <c r="A66" s="5" t="s">
        <v>5231</v>
      </c>
      <c r="B66" s="5" t="s">
        <v>5232</v>
      </c>
      <c r="C66" s="5" t="s">
        <v>5013</v>
      </c>
      <c r="D66" s="5" t="s">
        <v>24</v>
      </c>
      <c r="E66" s="5" t="s">
        <v>1849</v>
      </c>
      <c r="F66" s="5" t="s">
        <v>4963</v>
      </c>
      <c r="G66" s="5" t="s">
        <v>24</v>
      </c>
      <c r="H66" s="5" t="s">
        <v>24</v>
      </c>
      <c r="I66" s="5" t="s">
        <v>24</v>
      </c>
      <c r="J66" s="5" t="s">
        <v>24</v>
      </c>
      <c r="K66" s="5" t="s">
        <v>24</v>
      </c>
      <c r="L66" s="5" t="s">
        <v>24</v>
      </c>
      <c r="M66" s="5" t="s">
        <v>24</v>
      </c>
      <c r="N66" s="5" t="s">
        <v>24</v>
      </c>
      <c r="O66" s="5" t="s">
        <v>2715</v>
      </c>
      <c r="P66" s="5" t="s">
        <v>24</v>
      </c>
      <c r="Q66" s="5" t="s">
        <v>24</v>
      </c>
      <c r="R66" s="5" t="s">
        <v>24</v>
      </c>
      <c r="S66" s="5" t="s">
        <v>2020</v>
      </c>
      <c r="T66" s="5" t="s">
        <v>2021</v>
      </c>
      <c r="U66" s="5" t="s">
        <v>2021</v>
      </c>
      <c r="V66" s="5" t="s">
        <v>24</v>
      </c>
      <c r="W66" s="5" t="s">
        <v>24</v>
      </c>
      <c r="X66" s="5" t="s">
        <v>24</v>
      </c>
      <c r="Y66" s="5" t="s">
        <v>5233</v>
      </c>
      <c r="Z66" s="5" t="s">
        <v>5234</v>
      </c>
      <c r="AA66" s="5" t="s">
        <v>5234</v>
      </c>
      <c r="AB66" s="5"/>
    </row>
    <row r="67" ht="15.75" customHeight="1">
      <c r="A67" s="5" t="s">
        <v>5235</v>
      </c>
      <c r="B67" s="5" t="s">
        <v>5236</v>
      </c>
      <c r="C67" s="5" t="s">
        <v>5013</v>
      </c>
      <c r="D67" s="5" t="s">
        <v>24</v>
      </c>
      <c r="E67" s="5" t="s">
        <v>1849</v>
      </c>
      <c r="F67" s="5" t="s">
        <v>4963</v>
      </c>
      <c r="G67" s="5" t="s">
        <v>24</v>
      </c>
      <c r="H67" s="5" t="s">
        <v>24</v>
      </c>
      <c r="I67" s="5" t="s">
        <v>24</v>
      </c>
      <c r="J67" s="5" t="s">
        <v>24</v>
      </c>
      <c r="K67" s="5" t="s">
        <v>24</v>
      </c>
      <c r="L67" s="5" t="s">
        <v>24</v>
      </c>
      <c r="M67" s="5" t="s">
        <v>24</v>
      </c>
      <c r="N67" s="5" t="s">
        <v>24</v>
      </c>
      <c r="O67" s="5" t="s">
        <v>1851</v>
      </c>
      <c r="P67" s="5" t="s">
        <v>24</v>
      </c>
      <c r="Q67" s="5" t="s">
        <v>24</v>
      </c>
      <c r="R67" s="5" t="s">
        <v>24</v>
      </c>
      <c r="S67" s="5" t="s">
        <v>2020</v>
      </c>
      <c r="T67" s="5" t="s">
        <v>2021</v>
      </c>
      <c r="U67" s="5" t="s">
        <v>2021</v>
      </c>
      <c r="V67" s="5" t="s">
        <v>24</v>
      </c>
      <c r="W67" s="5" t="s">
        <v>24</v>
      </c>
      <c r="X67" s="5" t="s">
        <v>24</v>
      </c>
      <c r="Y67" s="5" t="s">
        <v>5237</v>
      </c>
      <c r="Z67" s="5" t="s">
        <v>5238</v>
      </c>
      <c r="AA67" s="5" t="s">
        <v>5238</v>
      </c>
      <c r="AB67" s="5"/>
    </row>
    <row r="68" ht="15.75" customHeight="1">
      <c r="A68" s="5" t="s">
        <v>5239</v>
      </c>
      <c r="B68" s="5" t="s">
        <v>5240</v>
      </c>
      <c r="C68" s="5" t="s">
        <v>1240</v>
      </c>
      <c r="D68" s="5" t="s">
        <v>24</v>
      </c>
      <c r="E68" s="5" t="s">
        <v>1849</v>
      </c>
      <c r="F68" s="5" t="s">
        <v>4963</v>
      </c>
      <c r="G68" s="5" t="s">
        <v>24</v>
      </c>
      <c r="H68" s="5" t="s">
        <v>24</v>
      </c>
      <c r="I68" s="5" t="s">
        <v>24</v>
      </c>
      <c r="J68" s="5" t="s">
        <v>24</v>
      </c>
      <c r="K68" s="5" t="s">
        <v>24</v>
      </c>
      <c r="L68" s="5" t="s">
        <v>24</v>
      </c>
      <c r="M68" s="5" t="s">
        <v>24</v>
      </c>
      <c r="N68" s="5" t="s">
        <v>24</v>
      </c>
      <c r="O68" s="5" t="s">
        <v>1933</v>
      </c>
      <c r="P68" s="5" t="s">
        <v>24</v>
      </c>
      <c r="Q68" s="5" t="s">
        <v>24</v>
      </c>
      <c r="R68" s="5" t="s">
        <v>24</v>
      </c>
      <c r="S68" s="5" t="s">
        <v>2020</v>
      </c>
      <c r="T68" s="5" t="s">
        <v>2021</v>
      </c>
      <c r="U68" s="5" t="s">
        <v>2021</v>
      </c>
      <c r="V68" s="5" t="s">
        <v>24</v>
      </c>
      <c r="W68" s="5" t="s">
        <v>24</v>
      </c>
      <c r="X68" s="5" t="s">
        <v>24</v>
      </c>
      <c r="Y68" s="5" t="s">
        <v>5241</v>
      </c>
      <c r="Z68" s="5" t="s">
        <v>5242</v>
      </c>
      <c r="AA68" s="5" t="s">
        <v>5242</v>
      </c>
      <c r="AB68" s="5"/>
    </row>
    <row r="69" ht="15.75" customHeight="1">
      <c r="A69" s="5" t="s">
        <v>5243</v>
      </c>
      <c r="B69" s="5" t="s">
        <v>5244</v>
      </c>
      <c r="C69" s="5" t="s">
        <v>2126</v>
      </c>
      <c r="D69" s="5" t="s">
        <v>24</v>
      </c>
      <c r="E69" s="5" t="s">
        <v>1849</v>
      </c>
      <c r="F69" s="5" t="s">
        <v>4963</v>
      </c>
      <c r="G69" s="5" t="s">
        <v>24</v>
      </c>
      <c r="H69" s="5" t="s">
        <v>24</v>
      </c>
      <c r="I69" s="5" t="s">
        <v>24</v>
      </c>
      <c r="J69" s="5" t="s">
        <v>24</v>
      </c>
      <c r="K69" s="5" t="s">
        <v>24</v>
      </c>
      <c r="L69" s="5" t="s">
        <v>24</v>
      </c>
      <c r="M69" s="5" t="s">
        <v>1885</v>
      </c>
      <c r="N69" s="5" t="s">
        <v>24</v>
      </c>
      <c r="O69" s="5" t="s">
        <v>2085</v>
      </c>
      <c r="P69" s="5" t="s">
        <v>24</v>
      </c>
      <c r="Q69" s="5" t="s">
        <v>24</v>
      </c>
      <c r="R69" s="5" t="s">
        <v>24</v>
      </c>
      <c r="S69" s="5" t="s">
        <v>1852</v>
      </c>
      <c r="T69" s="5" t="s">
        <v>5125</v>
      </c>
      <c r="U69" s="5" t="s">
        <v>5125</v>
      </c>
      <c r="V69" s="5" t="s">
        <v>24</v>
      </c>
      <c r="W69" s="5" t="s">
        <v>24</v>
      </c>
      <c r="X69" s="5" t="s">
        <v>24</v>
      </c>
      <c r="Y69" s="5" t="s">
        <v>5245</v>
      </c>
      <c r="Z69" s="5" t="s">
        <v>5246</v>
      </c>
      <c r="AA69" s="5" t="s">
        <v>5246</v>
      </c>
      <c r="AB69" s="5"/>
    </row>
    <row r="70" ht="15.75" customHeight="1">
      <c r="A70" s="5" t="s">
        <v>5247</v>
      </c>
      <c r="B70" s="5" t="s">
        <v>5248</v>
      </c>
      <c r="C70" s="5" t="s">
        <v>5013</v>
      </c>
      <c r="D70" s="5" t="s">
        <v>24</v>
      </c>
      <c r="E70" s="5" t="s">
        <v>1849</v>
      </c>
      <c r="F70" s="5" t="s">
        <v>4963</v>
      </c>
      <c r="G70" s="5" t="s">
        <v>24</v>
      </c>
      <c r="H70" s="5" t="s">
        <v>24</v>
      </c>
      <c r="I70" s="5" t="s">
        <v>24</v>
      </c>
      <c r="J70" s="5" t="s">
        <v>24</v>
      </c>
      <c r="K70" s="5" t="s">
        <v>24</v>
      </c>
      <c r="L70" s="5" t="s">
        <v>24</v>
      </c>
      <c r="M70" s="5" t="s">
        <v>24</v>
      </c>
      <c r="N70" s="5" t="s">
        <v>24</v>
      </c>
      <c r="O70" s="5" t="s">
        <v>3654</v>
      </c>
      <c r="P70" s="5" t="s">
        <v>24</v>
      </c>
      <c r="Q70" s="5" t="s">
        <v>24</v>
      </c>
      <c r="R70" s="5" t="s">
        <v>24</v>
      </c>
      <c r="S70" s="5" t="s">
        <v>1852</v>
      </c>
      <c r="T70" s="5" t="s">
        <v>5125</v>
      </c>
      <c r="U70" s="5" t="s">
        <v>5125</v>
      </c>
      <c r="V70" s="5" t="s">
        <v>24</v>
      </c>
      <c r="W70" s="5" t="s">
        <v>24</v>
      </c>
      <c r="X70" s="5" t="s">
        <v>24</v>
      </c>
      <c r="Y70" s="5" t="s">
        <v>5249</v>
      </c>
      <c r="Z70" s="5" t="s">
        <v>5250</v>
      </c>
      <c r="AA70" s="5" t="s">
        <v>5250</v>
      </c>
      <c r="AB70" s="5"/>
    </row>
    <row r="71" ht="15.75" customHeight="1">
      <c r="A71" s="5" t="s">
        <v>5251</v>
      </c>
      <c r="B71" s="5" t="s">
        <v>5252</v>
      </c>
      <c r="C71" s="5" t="s">
        <v>227</v>
      </c>
      <c r="D71" s="5" t="s">
        <v>24</v>
      </c>
      <c r="E71" s="5" t="s">
        <v>1849</v>
      </c>
      <c r="F71" s="5" t="s">
        <v>4963</v>
      </c>
      <c r="G71" s="5" t="s">
        <v>24</v>
      </c>
      <c r="H71" s="5" t="s">
        <v>24</v>
      </c>
      <c r="I71" s="5" t="s">
        <v>24</v>
      </c>
      <c r="J71" s="5" t="s">
        <v>24</v>
      </c>
      <c r="K71" s="5" t="s">
        <v>24</v>
      </c>
      <c r="L71" s="5" t="s">
        <v>24</v>
      </c>
      <c r="M71" s="5" t="s">
        <v>24</v>
      </c>
      <c r="N71" s="5" t="s">
        <v>24</v>
      </c>
      <c r="O71" s="5" t="s">
        <v>1933</v>
      </c>
      <c r="P71" s="5" t="s">
        <v>24</v>
      </c>
      <c r="Q71" s="5" t="s">
        <v>24</v>
      </c>
      <c r="R71" s="5" t="s">
        <v>24</v>
      </c>
      <c r="S71" s="5" t="s">
        <v>1852</v>
      </c>
      <c r="T71" s="5" t="s">
        <v>2042</v>
      </c>
      <c r="U71" s="5" t="s">
        <v>2042</v>
      </c>
      <c r="V71" s="5" t="s">
        <v>24</v>
      </c>
      <c r="W71" s="5" t="s">
        <v>24</v>
      </c>
      <c r="X71" s="5" t="s">
        <v>24</v>
      </c>
      <c r="Y71" s="5" t="s">
        <v>5253</v>
      </c>
      <c r="Z71" s="5" t="s">
        <v>5254</v>
      </c>
      <c r="AA71" s="5" t="s">
        <v>5254</v>
      </c>
      <c r="AB71" s="5"/>
    </row>
    <row r="72" ht="15.75" customHeight="1">
      <c r="A72" s="5" t="s">
        <v>5255</v>
      </c>
      <c r="B72" s="5" t="s">
        <v>5256</v>
      </c>
      <c r="C72" s="5" t="s">
        <v>139</v>
      </c>
      <c r="D72" s="5" t="s">
        <v>24</v>
      </c>
      <c r="E72" s="5" t="s">
        <v>1849</v>
      </c>
      <c r="F72" s="5" t="s">
        <v>4963</v>
      </c>
      <c r="G72" s="5" t="s">
        <v>24</v>
      </c>
      <c r="H72" s="5" t="s">
        <v>24</v>
      </c>
      <c r="I72" s="5" t="s">
        <v>24</v>
      </c>
      <c r="J72" s="5" t="s">
        <v>24</v>
      </c>
      <c r="K72" s="5" t="s">
        <v>24</v>
      </c>
      <c r="L72" s="5" t="s">
        <v>24</v>
      </c>
      <c r="M72" s="5" t="s">
        <v>1885</v>
      </c>
      <c r="N72" s="5" t="s">
        <v>24</v>
      </c>
      <c r="O72" s="5" t="s">
        <v>1886</v>
      </c>
      <c r="P72" s="5" t="s">
        <v>24</v>
      </c>
      <c r="Q72" s="5" t="s">
        <v>24</v>
      </c>
      <c r="R72" s="5" t="s">
        <v>24</v>
      </c>
      <c r="S72" s="5" t="s">
        <v>2020</v>
      </c>
      <c r="T72" s="5" t="s">
        <v>2021</v>
      </c>
      <c r="U72" s="5" t="s">
        <v>2021</v>
      </c>
      <c r="V72" s="5" t="s">
        <v>24</v>
      </c>
      <c r="W72" s="5" t="s">
        <v>24</v>
      </c>
      <c r="X72" s="5" t="s">
        <v>24</v>
      </c>
      <c r="Y72" s="5" t="s">
        <v>5257</v>
      </c>
      <c r="Z72" s="5" t="s">
        <v>5258</v>
      </c>
      <c r="AA72" s="5" t="s">
        <v>5258</v>
      </c>
      <c r="AB72" s="5"/>
    </row>
    <row r="73" ht="15.75" customHeight="1">
      <c r="A73" s="5" t="s">
        <v>5259</v>
      </c>
      <c r="B73" s="5" t="s">
        <v>5260</v>
      </c>
      <c r="C73" s="5" t="s">
        <v>2126</v>
      </c>
      <c r="D73" s="5" t="s">
        <v>24</v>
      </c>
      <c r="E73" s="5" t="s">
        <v>1849</v>
      </c>
      <c r="F73" s="5" t="s">
        <v>4963</v>
      </c>
      <c r="G73" s="5" t="s">
        <v>24</v>
      </c>
      <c r="H73" s="5" t="s">
        <v>24</v>
      </c>
      <c r="I73" s="5" t="s">
        <v>24</v>
      </c>
      <c r="J73" s="5" t="s">
        <v>24</v>
      </c>
      <c r="K73" s="5" t="s">
        <v>24</v>
      </c>
      <c r="L73" s="5" t="s">
        <v>24</v>
      </c>
      <c r="M73" s="5" t="s">
        <v>24</v>
      </c>
      <c r="N73" s="5" t="s">
        <v>24</v>
      </c>
      <c r="O73" s="5" t="s">
        <v>4849</v>
      </c>
      <c r="P73" s="5" t="s">
        <v>24</v>
      </c>
      <c r="Q73" s="5" t="s">
        <v>24</v>
      </c>
      <c r="R73" s="5" t="s">
        <v>24</v>
      </c>
      <c r="S73" s="5" t="s">
        <v>1852</v>
      </c>
      <c r="T73" s="5" t="s">
        <v>5261</v>
      </c>
      <c r="U73" s="5" t="s">
        <v>5261</v>
      </c>
      <c r="V73" s="5" t="s">
        <v>24</v>
      </c>
      <c r="W73" s="5" t="s">
        <v>24</v>
      </c>
      <c r="X73" s="5" t="s">
        <v>24</v>
      </c>
      <c r="Y73" s="5" t="s">
        <v>5262</v>
      </c>
      <c r="Z73" s="5" t="s">
        <v>5263</v>
      </c>
      <c r="AA73" s="5" t="s">
        <v>5263</v>
      </c>
      <c r="AB73" s="5"/>
    </row>
    <row r="74" ht="15.75" customHeight="1">
      <c r="A74" s="5" t="s">
        <v>5264</v>
      </c>
      <c r="B74" s="5" t="s">
        <v>5265</v>
      </c>
      <c r="C74" s="5" t="s">
        <v>5013</v>
      </c>
      <c r="D74" s="5" t="s">
        <v>24</v>
      </c>
      <c r="E74" s="5" t="s">
        <v>1849</v>
      </c>
      <c r="F74" s="5" t="s">
        <v>4963</v>
      </c>
      <c r="G74" s="5" t="s">
        <v>24</v>
      </c>
      <c r="H74" s="5" t="s">
        <v>24</v>
      </c>
      <c r="I74" s="5" t="s">
        <v>24</v>
      </c>
      <c r="J74" s="5" t="s">
        <v>24</v>
      </c>
      <c r="K74" s="5" t="s">
        <v>24</v>
      </c>
      <c r="L74" s="5" t="s">
        <v>24</v>
      </c>
      <c r="M74" s="5" t="s">
        <v>24</v>
      </c>
      <c r="N74" s="5" t="s">
        <v>24</v>
      </c>
      <c r="O74" s="5" t="s">
        <v>3654</v>
      </c>
      <c r="P74" s="5" t="s">
        <v>24</v>
      </c>
      <c r="Q74" s="5" t="s">
        <v>24</v>
      </c>
      <c r="R74" s="5" t="s">
        <v>24</v>
      </c>
      <c r="S74" s="5" t="s">
        <v>1852</v>
      </c>
      <c r="T74" s="5" t="s">
        <v>5266</v>
      </c>
      <c r="U74" s="5" t="s">
        <v>5266</v>
      </c>
      <c r="V74" s="5" t="s">
        <v>24</v>
      </c>
      <c r="W74" s="5" t="s">
        <v>24</v>
      </c>
      <c r="X74" s="5" t="s">
        <v>24</v>
      </c>
      <c r="Y74" s="5" t="s">
        <v>5267</v>
      </c>
      <c r="Z74" s="5" t="s">
        <v>5268</v>
      </c>
      <c r="AA74" s="5" t="s">
        <v>5268</v>
      </c>
      <c r="AB74" s="5"/>
    </row>
    <row r="75" ht="15.75" customHeight="1">
      <c r="A75" s="5" t="s">
        <v>5269</v>
      </c>
      <c r="B75" s="5" t="s">
        <v>5270</v>
      </c>
      <c r="C75" s="5" t="s">
        <v>294</v>
      </c>
      <c r="D75" s="5" t="s">
        <v>24</v>
      </c>
      <c r="E75" s="5" t="s">
        <v>1849</v>
      </c>
      <c r="F75" s="5" t="s">
        <v>4963</v>
      </c>
      <c r="G75" s="5" t="s">
        <v>24</v>
      </c>
      <c r="H75" s="5" t="s">
        <v>24</v>
      </c>
      <c r="I75" s="5" t="s">
        <v>24</v>
      </c>
      <c r="J75" s="5" t="s">
        <v>24</v>
      </c>
      <c r="K75" s="5" t="s">
        <v>24</v>
      </c>
      <c r="L75" s="5" t="s">
        <v>24</v>
      </c>
      <c r="M75" s="5" t="s">
        <v>24</v>
      </c>
      <c r="N75" s="5" t="s">
        <v>24</v>
      </c>
      <c r="O75" s="5" t="s">
        <v>4089</v>
      </c>
      <c r="P75" s="5" t="s">
        <v>24</v>
      </c>
      <c r="Q75" s="5" t="s">
        <v>24</v>
      </c>
      <c r="R75" s="5" t="s">
        <v>24</v>
      </c>
      <c r="S75" s="5" t="s">
        <v>1852</v>
      </c>
      <c r="T75" s="5" t="s">
        <v>5271</v>
      </c>
      <c r="U75" s="5" t="s">
        <v>5271</v>
      </c>
      <c r="V75" s="5" t="s">
        <v>24</v>
      </c>
      <c r="W75" s="5" t="s">
        <v>24</v>
      </c>
      <c r="X75" s="5" t="s">
        <v>24</v>
      </c>
      <c r="Y75" s="5" t="s">
        <v>5272</v>
      </c>
      <c r="Z75" s="5" t="s">
        <v>5273</v>
      </c>
      <c r="AA75" s="5" t="s">
        <v>5273</v>
      </c>
      <c r="AB75" s="5"/>
    </row>
    <row r="76" ht="15.75" customHeight="1">
      <c r="A76" s="5" t="s">
        <v>5274</v>
      </c>
      <c r="B76" s="5" t="s">
        <v>5275</v>
      </c>
      <c r="C76" s="5" t="s">
        <v>5013</v>
      </c>
      <c r="D76" s="5" t="s">
        <v>24</v>
      </c>
      <c r="E76" s="5" t="s">
        <v>1849</v>
      </c>
      <c r="F76" s="5" t="s">
        <v>4963</v>
      </c>
      <c r="G76" s="5" t="s">
        <v>24</v>
      </c>
      <c r="H76" s="5" t="s">
        <v>24</v>
      </c>
      <c r="I76" s="5" t="s">
        <v>24</v>
      </c>
      <c r="J76" s="5" t="s">
        <v>24</v>
      </c>
      <c r="K76" s="5" t="s">
        <v>24</v>
      </c>
      <c r="L76" s="5" t="s">
        <v>24</v>
      </c>
      <c r="M76" s="5" t="s">
        <v>1885</v>
      </c>
      <c r="N76" s="5" t="s">
        <v>24</v>
      </c>
      <c r="O76" s="5" t="s">
        <v>24</v>
      </c>
      <c r="P76" s="5" t="s">
        <v>24</v>
      </c>
      <c r="Q76" s="5" t="s">
        <v>24</v>
      </c>
      <c r="R76" s="5" t="s">
        <v>24</v>
      </c>
      <c r="S76" s="5" t="s">
        <v>1852</v>
      </c>
      <c r="T76" s="5" t="s">
        <v>5125</v>
      </c>
      <c r="U76" s="5" t="s">
        <v>5125</v>
      </c>
      <c r="V76" s="5" t="s">
        <v>24</v>
      </c>
      <c r="W76" s="5" t="s">
        <v>24</v>
      </c>
      <c r="X76" s="5" t="s">
        <v>24</v>
      </c>
      <c r="Y76" s="5" t="s">
        <v>5276</v>
      </c>
      <c r="Z76" s="5" t="s">
        <v>5277</v>
      </c>
      <c r="AA76" s="5" t="s">
        <v>5277</v>
      </c>
      <c r="AB76" s="5"/>
    </row>
    <row r="77" ht="15.75" customHeight="1">
      <c r="A77" s="5" t="s">
        <v>5278</v>
      </c>
      <c r="B77" s="5" t="s">
        <v>5279</v>
      </c>
      <c r="C77" s="5" t="s">
        <v>106</v>
      </c>
      <c r="D77" s="5" t="s">
        <v>24</v>
      </c>
      <c r="E77" s="5" t="s">
        <v>1849</v>
      </c>
      <c r="F77" s="5" t="s">
        <v>4963</v>
      </c>
      <c r="G77" s="5" t="s">
        <v>24</v>
      </c>
      <c r="H77" s="5" t="s">
        <v>24</v>
      </c>
      <c r="I77" s="5" t="s">
        <v>24</v>
      </c>
      <c r="J77" s="5" t="s">
        <v>24</v>
      </c>
      <c r="K77" s="5" t="s">
        <v>24</v>
      </c>
      <c r="L77" s="5" t="s">
        <v>24</v>
      </c>
      <c r="M77" s="5" t="s">
        <v>24</v>
      </c>
      <c r="N77" s="5" t="s">
        <v>24</v>
      </c>
      <c r="O77" s="5" t="s">
        <v>1851</v>
      </c>
      <c r="P77" s="5" t="s">
        <v>24</v>
      </c>
      <c r="Q77" s="5" t="s">
        <v>24</v>
      </c>
      <c r="R77" s="5" t="s">
        <v>24</v>
      </c>
      <c r="S77" s="5" t="s">
        <v>1852</v>
      </c>
      <c r="T77" s="5" t="s">
        <v>4743</v>
      </c>
      <c r="U77" s="5" t="s">
        <v>4743</v>
      </c>
      <c r="V77" s="5" t="s">
        <v>24</v>
      </c>
      <c r="W77" s="5" t="s">
        <v>24</v>
      </c>
      <c r="X77" s="5" t="s">
        <v>24</v>
      </c>
      <c r="Y77" s="5" t="s">
        <v>5280</v>
      </c>
      <c r="Z77" s="5" t="s">
        <v>5281</v>
      </c>
      <c r="AA77" s="5" t="s">
        <v>5281</v>
      </c>
      <c r="AB77" s="5"/>
    </row>
    <row r="78" ht="15.75" customHeight="1">
      <c r="A78" s="5" t="s">
        <v>5282</v>
      </c>
      <c r="B78" s="5" t="s">
        <v>5283</v>
      </c>
      <c r="C78" s="5" t="s">
        <v>106</v>
      </c>
      <c r="D78" s="5" t="s">
        <v>24</v>
      </c>
      <c r="E78" s="5" t="s">
        <v>1849</v>
      </c>
      <c r="F78" s="5" t="s">
        <v>4963</v>
      </c>
      <c r="G78" s="5" t="s">
        <v>24</v>
      </c>
      <c r="H78" s="5" t="s">
        <v>24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1885</v>
      </c>
      <c r="N78" s="5" t="s">
        <v>24</v>
      </c>
      <c r="O78" s="5" t="s">
        <v>2085</v>
      </c>
      <c r="P78" s="5" t="s">
        <v>24</v>
      </c>
      <c r="Q78" s="5" t="s">
        <v>24</v>
      </c>
      <c r="R78" s="5" t="s">
        <v>24</v>
      </c>
      <c r="S78" s="5" t="s">
        <v>1852</v>
      </c>
      <c r="T78" s="5" t="s">
        <v>2047</v>
      </c>
      <c r="U78" s="5" t="s">
        <v>2047</v>
      </c>
      <c r="V78" s="5" t="s">
        <v>24</v>
      </c>
      <c r="W78" s="5" t="s">
        <v>24</v>
      </c>
      <c r="X78" s="5" t="s">
        <v>24</v>
      </c>
      <c r="Y78" s="5" t="s">
        <v>5284</v>
      </c>
      <c r="Z78" s="5" t="s">
        <v>5285</v>
      </c>
      <c r="AA78" s="5" t="s">
        <v>5285</v>
      </c>
      <c r="AB78" s="5"/>
    </row>
    <row r="79" ht="15.75" customHeight="1">
      <c r="A79" s="5" t="s">
        <v>5286</v>
      </c>
      <c r="B79" s="5" t="s">
        <v>5287</v>
      </c>
      <c r="C79" s="5" t="s">
        <v>5288</v>
      </c>
      <c r="D79" s="5" t="s">
        <v>24</v>
      </c>
      <c r="E79" s="5" t="s">
        <v>1849</v>
      </c>
      <c r="F79" s="5" t="s">
        <v>4963</v>
      </c>
      <c r="G79" s="5" t="s">
        <v>24</v>
      </c>
      <c r="H79" s="5" t="s">
        <v>24</v>
      </c>
      <c r="I79" s="5" t="s">
        <v>24</v>
      </c>
      <c r="J79" s="5" t="s">
        <v>24</v>
      </c>
      <c r="K79" s="5" t="s">
        <v>24</v>
      </c>
      <c r="L79" s="5" t="s">
        <v>24</v>
      </c>
      <c r="M79" s="5" t="s">
        <v>24</v>
      </c>
      <c r="N79" s="5" t="s">
        <v>24</v>
      </c>
      <c r="O79" s="5" t="s">
        <v>1933</v>
      </c>
      <c r="P79" s="5" t="s">
        <v>24</v>
      </c>
      <c r="Q79" s="5" t="s">
        <v>24</v>
      </c>
      <c r="R79" s="5" t="s">
        <v>24</v>
      </c>
      <c r="S79" s="5" t="s">
        <v>1852</v>
      </c>
      <c r="T79" s="5" t="s">
        <v>2502</v>
      </c>
      <c r="U79" s="5" t="s">
        <v>2502</v>
      </c>
      <c r="V79" s="5" t="s">
        <v>24</v>
      </c>
      <c r="W79" s="5" t="s">
        <v>24</v>
      </c>
      <c r="X79" s="5" t="s">
        <v>24</v>
      </c>
      <c r="Y79" s="5" t="s">
        <v>5289</v>
      </c>
      <c r="Z79" s="5" t="s">
        <v>5290</v>
      </c>
      <c r="AA79" s="5" t="s">
        <v>5290</v>
      </c>
      <c r="AB79" s="5"/>
    </row>
    <row r="80" ht="15.75" customHeight="1">
      <c r="A80" s="5" t="s">
        <v>5291</v>
      </c>
      <c r="B80" s="5" t="s">
        <v>5292</v>
      </c>
      <c r="C80" s="5" t="s">
        <v>2126</v>
      </c>
      <c r="D80" s="5" t="s">
        <v>24</v>
      </c>
      <c r="E80" s="5" t="s">
        <v>1849</v>
      </c>
      <c r="F80" s="5" t="s">
        <v>4963</v>
      </c>
      <c r="G80" s="5" t="s">
        <v>24</v>
      </c>
      <c r="H80" s="5" t="s">
        <v>24</v>
      </c>
      <c r="I80" s="5" t="s">
        <v>24</v>
      </c>
      <c r="J80" s="5" t="s">
        <v>24</v>
      </c>
      <c r="K80" s="5" t="s">
        <v>24</v>
      </c>
      <c r="L80" s="5" t="s">
        <v>24</v>
      </c>
      <c r="M80" s="5" t="s">
        <v>24</v>
      </c>
      <c r="N80" s="5" t="s">
        <v>24</v>
      </c>
      <c r="O80" s="5" t="s">
        <v>1894</v>
      </c>
      <c r="P80" s="5" t="s">
        <v>24</v>
      </c>
      <c r="Q80" s="5" t="s">
        <v>24</v>
      </c>
      <c r="R80" s="5" t="s">
        <v>24</v>
      </c>
      <c r="S80" s="5" t="s">
        <v>2020</v>
      </c>
      <c r="T80" s="5" t="s">
        <v>2021</v>
      </c>
      <c r="U80" s="5" t="s">
        <v>2021</v>
      </c>
      <c r="V80" s="5" t="s">
        <v>24</v>
      </c>
      <c r="W80" s="5" t="s">
        <v>24</v>
      </c>
      <c r="X80" s="5" t="s">
        <v>24</v>
      </c>
      <c r="Y80" s="5" t="s">
        <v>5293</v>
      </c>
      <c r="Z80" s="5" t="s">
        <v>5294</v>
      </c>
      <c r="AA80" s="5" t="s">
        <v>5294</v>
      </c>
      <c r="AB80" s="5"/>
    </row>
    <row r="81" ht="15.75" customHeight="1">
      <c r="A81" s="5" t="s">
        <v>5295</v>
      </c>
      <c r="B81" s="5" t="s">
        <v>5296</v>
      </c>
      <c r="C81" s="5" t="s">
        <v>5013</v>
      </c>
      <c r="D81" s="5" t="s">
        <v>24</v>
      </c>
      <c r="E81" s="5" t="s">
        <v>1849</v>
      </c>
      <c r="F81" s="5" t="s">
        <v>4963</v>
      </c>
      <c r="G81" s="5" t="s">
        <v>24</v>
      </c>
      <c r="H81" s="5" t="s">
        <v>24</v>
      </c>
      <c r="I81" s="5" t="s">
        <v>24</v>
      </c>
      <c r="J81" s="5" t="s">
        <v>24</v>
      </c>
      <c r="K81" s="5" t="s">
        <v>24</v>
      </c>
      <c r="L81" s="5" t="s">
        <v>24</v>
      </c>
      <c r="M81" s="5" t="s">
        <v>24</v>
      </c>
      <c r="N81" s="5" t="s">
        <v>24</v>
      </c>
      <c r="O81" s="5" t="s">
        <v>1933</v>
      </c>
      <c r="P81" s="5" t="s">
        <v>24</v>
      </c>
      <c r="Q81" s="5" t="s">
        <v>24</v>
      </c>
      <c r="R81" s="5" t="s">
        <v>24</v>
      </c>
      <c r="S81" s="5" t="s">
        <v>2020</v>
      </c>
      <c r="T81" s="5" t="s">
        <v>2021</v>
      </c>
      <c r="U81" s="5" t="s">
        <v>2021</v>
      </c>
      <c r="V81" s="5" t="s">
        <v>24</v>
      </c>
      <c r="W81" s="5" t="s">
        <v>24</v>
      </c>
      <c r="X81" s="5" t="s">
        <v>24</v>
      </c>
      <c r="Y81" s="5" t="s">
        <v>5297</v>
      </c>
      <c r="Z81" s="5" t="s">
        <v>5298</v>
      </c>
      <c r="AA81" s="5" t="s">
        <v>5298</v>
      </c>
      <c r="AB81" s="5"/>
    </row>
    <row r="82" ht="15.75" customHeight="1">
      <c r="A82" s="5" t="s">
        <v>5299</v>
      </c>
      <c r="B82" s="5" t="s">
        <v>5300</v>
      </c>
      <c r="C82" s="5" t="s">
        <v>145</v>
      </c>
      <c r="D82" s="5" t="s">
        <v>24</v>
      </c>
      <c r="E82" s="5" t="s">
        <v>1849</v>
      </c>
      <c r="F82" s="5" t="s">
        <v>4963</v>
      </c>
      <c r="G82" s="5" t="s">
        <v>24</v>
      </c>
      <c r="H82" s="5" t="s">
        <v>24</v>
      </c>
      <c r="I82" s="5" t="s">
        <v>24</v>
      </c>
      <c r="J82" s="5" t="s">
        <v>24</v>
      </c>
      <c r="K82" s="5" t="s">
        <v>24</v>
      </c>
      <c r="L82" s="5" t="s">
        <v>24</v>
      </c>
      <c r="M82" s="5" t="s">
        <v>24</v>
      </c>
      <c r="N82" s="5" t="s">
        <v>24</v>
      </c>
      <c r="O82" s="5" t="s">
        <v>1933</v>
      </c>
      <c r="P82" s="5" t="s">
        <v>24</v>
      </c>
      <c r="Q82" s="5" t="s">
        <v>24</v>
      </c>
      <c r="R82" s="5" t="s">
        <v>24</v>
      </c>
      <c r="S82" s="5" t="s">
        <v>2020</v>
      </c>
      <c r="T82" s="5" t="s">
        <v>2021</v>
      </c>
      <c r="U82" s="5" t="s">
        <v>2021</v>
      </c>
      <c r="V82" s="5" t="s">
        <v>24</v>
      </c>
      <c r="W82" s="5" t="s">
        <v>24</v>
      </c>
      <c r="X82" s="5" t="s">
        <v>24</v>
      </c>
      <c r="Y82" s="5" t="s">
        <v>5301</v>
      </c>
      <c r="Z82" s="5" t="s">
        <v>5302</v>
      </c>
      <c r="AA82" s="5" t="s">
        <v>5302</v>
      </c>
      <c r="AB82" s="5"/>
    </row>
    <row r="83" ht="15.75" customHeight="1">
      <c r="A83" s="5" t="s">
        <v>5303</v>
      </c>
      <c r="B83" s="5" t="s">
        <v>5304</v>
      </c>
      <c r="C83" s="5" t="s">
        <v>106</v>
      </c>
      <c r="D83" s="5" t="s">
        <v>24</v>
      </c>
      <c r="E83" s="5" t="s">
        <v>1849</v>
      </c>
      <c r="F83" s="5" t="s">
        <v>4963</v>
      </c>
      <c r="G83" s="5" t="s">
        <v>24</v>
      </c>
      <c r="H83" s="5" t="s">
        <v>24</v>
      </c>
      <c r="I83" s="5" t="s">
        <v>24</v>
      </c>
      <c r="J83" s="5" t="s">
        <v>24</v>
      </c>
      <c r="K83" s="5" t="s">
        <v>24</v>
      </c>
      <c r="L83" s="5" t="s">
        <v>24</v>
      </c>
      <c r="M83" s="5" t="s">
        <v>24</v>
      </c>
      <c r="N83" s="5" t="s">
        <v>24</v>
      </c>
      <c r="O83" s="5" t="s">
        <v>1851</v>
      </c>
      <c r="P83" s="5" t="s">
        <v>24</v>
      </c>
      <c r="Q83" s="5" t="s">
        <v>24</v>
      </c>
      <c r="R83" s="5" t="s">
        <v>24</v>
      </c>
      <c r="S83" s="5" t="s">
        <v>2020</v>
      </c>
      <c r="T83" s="5" t="s">
        <v>2021</v>
      </c>
      <c r="U83" s="5" t="s">
        <v>2021</v>
      </c>
      <c r="V83" s="5" t="s">
        <v>24</v>
      </c>
      <c r="W83" s="5" t="s">
        <v>24</v>
      </c>
      <c r="X83" s="5" t="s">
        <v>24</v>
      </c>
      <c r="Y83" s="5" t="s">
        <v>5305</v>
      </c>
      <c r="Z83" s="5" t="s">
        <v>5306</v>
      </c>
      <c r="AA83" s="5" t="s">
        <v>5306</v>
      </c>
      <c r="AB83" s="5"/>
    </row>
    <row r="84" ht="15.75" customHeight="1">
      <c r="A84" s="5" t="s">
        <v>5307</v>
      </c>
      <c r="B84" s="5" t="s">
        <v>5308</v>
      </c>
      <c r="C84" s="5" t="s">
        <v>145</v>
      </c>
      <c r="D84" s="5" t="s">
        <v>24</v>
      </c>
      <c r="E84" s="5" t="s">
        <v>1849</v>
      </c>
      <c r="F84" s="5" t="s">
        <v>4963</v>
      </c>
      <c r="G84" s="5" t="s">
        <v>24</v>
      </c>
      <c r="H84" s="5" t="s">
        <v>24</v>
      </c>
      <c r="I84" s="5" t="s">
        <v>24</v>
      </c>
      <c r="J84" s="5" t="s">
        <v>24</v>
      </c>
      <c r="K84" s="5" t="s">
        <v>24</v>
      </c>
      <c r="L84" s="5" t="s">
        <v>24</v>
      </c>
      <c r="M84" s="5" t="s">
        <v>1885</v>
      </c>
      <c r="N84" s="5" t="s">
        <v>24</v>
      </c>
      <c r="O84" s="5" t="s">
        <v>1917</v>
      </c>
      <c r="P84" s="5" t="s">
        <v>24</v>
      </c>
      <c r="Q84" s="5" t="s">
        <v>24</v>
      </c>
      <c r="R84" s="5" t="s">
        <v>24</v>
      </c>
      <c r="S84" s="5" t="s">
        <v>1852</v>
      </c>
      <c r="T84" s="5" t="s">
        <v>4743</v>
      </c>
      <c r="U84" s="5" t="s">
        <v>4743</v>
      </c>
      <c r="V84" s="5" t="s">
        <v>24</v>
      </c>
      <c r="W84" s="5" t="s">
        <v>24</v>
      </c>
      <c r="X84" s="5" t="s">
        <v>24</v>
      </c>
      <c r="Y84" s="5" t="s">
        <v>5309</v>
      </c>
      <c r="Z84" s="5" t="s">
        <v>5310</v>
      </c>
      <c r="AA84" s="5" t="s">
        <v>5310</v>
      </c>
      <c r="AB84" s="5"/>
    </row>
    <row r="85" ht="15.75" customHeight="1">
      <c r="A85" s="5" t="s">
        <v>5311</v>
      </c>
      <c r="B85" s="5" t="s">
        <v>5312</v>
      </c>
      <c r="C85" s="5" t="s">
        <v>294</v>
      </c>
      <c r="D85" s="5" t="s">
        <v>24</v>
      </c>
      <c r="E85" s="5" t="s">
        <v>1849</v>
      </c>
      <c r="F85" s="5" t="s">
        <v>4963</v>
      </c>
      <c r="G85" s="5" t="s">
        <v>24</v>
      </c>
      <c r="H85" s="5" t="s">
        <v>24</v>
      </c>
      <c r="I85" s="5" t="s">
        <v>24</v>
      </c>
      <c r="J85" s="5" t="s">
        <v>24</v>
      </c>
      <c r="K85" s="5" t="s">
        <v>24</v>
      </c>
      <c r="L85" s="5" t="s">
        <v>24</v>
      </c>
      <c r="M85" s="5" t="s">
        <v>24</v>
      </c>
      <c r="N85" s="5" t="s">
        <v>24</v>
      </c>
      <c r="O85" s="5" t="s">
        <v>4089</v>
      </c>
      <c r="P85" s="5" t="s">
        <v>24</v>
      </c>
      <c r="Q85" s="5" t="s">
        <v>24</v>
      </c>
      <c r="R85" s="5" t="s">
        <v>24</v>
      </c>
      <c r="S85" s="5" t="s">
        <v>1852</v>
      </c>
      <c r="T85" s="5" t="s">
        <v>5271</v>
      </c>
      <c r="U85" s="5" t="s">
        <v>5271</v>
      </c>
      <c r="V85" s="5" t="s">
        <v>24</v>
      </c>
      <c r="W85" s="5" t="s">
        <v>24</v>
      </c>
      <c r="X85" s="5" t="s">
        <v>24</v>
      </c>
      <c r="Y85" s="5" t="s">
        <v>5313</v>
      </c>
      <c r="Z85" s="5" t="s">
        <v>5314</v>
      </c>
      <c r="AA85" s="5" t="s">
        <v>5314</v>
      </c>
      <c r="AB85" s="5"/>
    </row>
    <row r="86" ht="15.75" customHeight="1">
      <c r="A86" s="5" t="s">
        <v>5315</v>
      </c>
      <c r="B86" s="5" t="s">
        <v>5316</v>
      </c>
      <c r="C86" s="5" t="s">
        <v>5095</v>
      </c>
      <c r="D86" s="5" t="s">
        <v>24</v>
      </c>
      <c r="E86" s="5" t="s">
        <v>1849</v>
      </c>
      <c r="F86" s="5" t="s">
        <v>4963</v>
      </c>
      <c r="G86" s="5" t="s">
        <v>24</v>
      </c>
      <c r="H86" s="5" t="s">
        <v>24</v>
      </c>
      <c r="I86" s="5" t="s">
        <v>24</v>
      </c>
      <c r="J86" s="5" t="s">
        <v>24</v>
      </c>
      <c r="K86" s="5" t="s">
        <v>24</v>
      </c>
      <c r="L86" s="5" t="s">
        <v>24</v>
      </c>
      <c r="M86" s="5" t="s">
        <v>24</v>
      </c>
      <c r="N86" s="5" t="s">
        <v>24</v>
      </c>
      <c r="O86" s="5" t="s">
        <v>1933</v>
      </c>
      <c r="P86" s="5" t="s">
        <v>24</v>
      </c>
      <c r="Q86" s="5" t="s">
        <v>24</v>
      </c>
      <c r="R86" s="5" t="s">
        <v>24</v>
      </c>
      <c r="S86" s="5" t="s">
        <v>2020</v>
      </c>
      <c r="T86" s="5" t="s">
        <v>2021</v>
      </c>
      <c r="U86" s="5" t="s">
        <v>2021</v>
      </c>
      <c r="V86" s="5" t="s">
        <v>24</v>
      </c>
      <c r="W86" s="5" t="s">
        <v>24</v>
      </c>
      <c r="X86" s="5" t="s">
        <v>24</v>
      </c>
      <c r="Y86" s="5" t="s">
        <v>5317</v>
      </c>
      <c r="Z86" s="5" t="s">
        <v>5318</v>
      </c>
      <c r="AA86" s="5" t="s">
        <v>5318</v>
      </c>
      <c r="AB86" s="5"/>
    </row>
    <row r="87" ht="15.75" customHeight="1">
      <c r="A87" s="5" t="s">
        <v>5319</v>
      </c>
      <c r="B87" s="5" t="s">
        <v>5320</v>
      </c>
      <c r="C87" s="5" t="s">
        <v>145</v>
      </c>
      <c r="D87" s="5" t="s">
        <v>24</v>
      </c>
      <c r="E87" s="5" t="s">
        <v>1849</v>
      </c>
      <c r="F87" s="5" t="s">
        <v>4963</v>
      </c>
      <c r="G87" s="5" t="s">
        <v>24</v>
      </c>
      <c r="H87" s="5" t="s">
        <v>24</v>
      </c>
      <c r="I87" s="5" t="s">
        <v>24</v>
      </c>
      <c r="J87" s="5" t="s">
        <v>24</v>
      </c>
      <c r="K87" s="5" t="s">
        <v>24</v>
      </c>
      <c r="L87" s="5" t="s">
        <v>24</v>
      </c>
      <c r="M87" s="5" t="s">
        <v>3048</v>
      </c>
      <c r="N87" s="5" t="s">
        <v>24</v>
      </c>
      <c r="O87" s="5" t="s">
        <v>24</v>
      </c>
      <c r="P87" s="5" t="s">
        <v>24</v>
      </c>
      <c r="Q87" s="5" t="s">
        <v>24</v>
      </c>
      <c r="R87" s="5" t="s">
        <v>24</v>
      </c>
      <c r="S87" s="5" t="s">
        <v>2020</v>
      </c>
      <c r="T87" s="5" t="s">
        <v>2021</v>
      </c>
      <c r="U87" s="5" t="s">
        <v>2021</v>
      </c>
      <c r="V87" s="5" t="s">
        <v>24</v>
      </c>
      <c r="W87" s="5" t="s">
        <v>24</v>
      </c>
      <c r="X87" s="5" t="s">
        <v>24</v>
      </c>
      <c r="Y87" s="5" t="s">
        <v>5321</v>
      </c>
      <c r="Z87" s="5" t="s">
        <v>5322</v>
      </c>
      <c r="AA87" s="5" t="s">
        <v>5322</v>
      </c>
      <c r="AB87" s="5"/>
    </row>
    <row r="88" ht="15.75" customHeight="1">
      <c r="A88" s="5" t="s">
        <v>5323</v>
      </c>
      <c r="B88" s="5" t="s">
        <v>5324</v>
      </c>
      <c r="C88" s="5" t="s">
        <v>5138</v>
      </c>
      <c r="D88" s="5" t="s">
        <v>24</v>
      </c>
      <c r="E88" s="5" t="s">
        <v>1849</v>
      </c>
      <c r="F88" s="5" t="s">
        <v>4963</v>
      </c>
      <c r="G88" s="5" t="s">
        <v>24</v>
      </c>
      <c r="H88" s="5" t="s">
        <v>24</v>
      </c>
      <c r="I88" s="5" t="s">
        <v>24</v>
      </c>
      <c r="J88" s="5" t="s">
        <v>24</v>
      </c>
      <c r="K88" s="5" t="s">
        <v>24</v>
      </c>
      <c r="L88" s="5" t="s">
        <v>24</v>
      </c>
      <c r="M88" s="5" t="s">
        <v>24</v>
      </c>
      <c r="N88" s="5" t="s">
        <v>24</v>
      </c>
      <c r="O88" s="5" t="s">
        <v>1933</v>
      </c>
      <c r="P88" s="5" t="s">
        <v>24</v>
      </c>
      <c r="Q88" s="5" t="s">
        <v>24</v>
      </c>
      <c r="R88" s="5" t="s">
        <v>24</v>
      </c>
      <c r="S88" s="5" t="s">
        <v>1852</v>
      </c>
      <c r="T88" s="5" t="s">
        <v>5325</v>
      </c>
      <c r="U88" s="5" t="s">
        <v>5325</v>
      </c>
      <c r="V88" s="5" t="s">
        <v>24</v>
      </c>
      <c r="W88" s="5" t="s">
        <v>24</v>
      </c>
      <c r="X88" s="5" t="s">
        <v>24</v>
      </c>
      <c r="Y88" s="5" t="s">
        <v>5326</v>
      </c>
      <c r="Z88" s="5" t="s">
        <v>5327</v>
      </c>
      <c r="AA88" s="5" t="s">
        <v>5327</v>
      </c>
      <c r="AB88" s="5"/>
    </row>
    <row r="89" ht="15.75" customHeight="1">
      <c r="A89" s="5" t="s">
        <v>5328</v>
      </c>
      <c r="B89" s="5" t="s">
        <v>5329</v>
      </c>
      <c r="C89" s="5" t="s">
        <v>227</v>
      </c>
      <c r="D89" s="5" t="s">
        <v>24</v>
      </c>
      <c r="E89" s="5" t="s">
        <v>1849</v>
      </c>
      <c r="F89" s="5" t="s">
        <v>4963</v>
      </c>
      <c r="G89" s="5" t="s">
        <v>24</v>
      </c>
      <c r="H89" s="5" t="s">
        <v>24</v>
      </c>
      <c r="I89" s="5" t="s">
        <v>24</v>
      </c>
      <c r="J89" s="5" t="s">
        <v>24</v>
      </c>
      <c r="K89" s="5" t="s">
        <v>24</v>
      </c>
      <c r="L89" s="5" t="s">
        <v>24</v>
      </c>
      <c r="M89" s="5" t="s">
        <v>24</v>
      </c>
      <c r="N89" s="5" t="s">
        <v>24</v>
      </c>
      <c r="O89" s="5" t="s">
        <v>3001</v>
      </c>
      <c r="P89" s="5" t="s">
        <v>24</v>
      </c>
      <c r="Q89" s="5" t="s">
        <v>24</v>
      </c>
      <c r="R89" s="5" t="s">
        <v>24</v>
      </c>
      <c r="S89" s="5" t="s">
        <v>2020</v>
      </c>
      <c r="T89" s="5" t="s">
        <v>2021</v>
      </c>
      <c r="U89" s="5" t="s">
        <v>2021</v>
      </c>
      <c r="V89" s="5" t="s">
        <v>24</v>
      </c>
      <c r="W89" s="5" t="s">
        <v>24</v>
      </c>
      <c r="X89" s="5" t="s">
        <v>24</v>
      </c>
      <c r="Y89" s="5" t="s">
        <v>5330</v>
      </c>
      <c r="Z89" s="5" t="s">
        <v>5331</v>
      </c>
      <c r="AA89" s="5" t="s">
        <v>5331</v>
      </c>
      <c r="AB89" s="5"/>
    </row>
    <row r="90" ht="15.75" customHeight="1">
      <c r="A90" s="5" t="s">
        <v>5332</v>
      </c>
      <c r="B90" s="5" t="s">
        <v>5333</v>
      </c>
      <c r="C90" s="5" t="s">
        <v>1915</v>
      </c>
      <c r="D90" s="5" t="s">
        <v>24</v>
      </c>
      <c r="E90" s="5" t="s">
        <v>1849</v>
      </c>
      <c r="F90" s="5" t="s">
        <v>4963</v>
      </c>
      <c r="G90" s="5" t="s">
        <v>24</v>
      </c>
      <c r="H90" s="5" t="s">
        <v>24</v>
      </c>
      <c r="I90" s="5" t="s">
        <v>24</v>
      </c>
      <c r="J90" s="5" t="s">
        <v>24</v>
      </c>
      <c r="K90" s="5" t="s">
        <v>24</v>
      </c>
      <c r="L90" s="5" t="s">
        <v>24</v>
      </c>
      <c r="M90" s="5" t="s">
        <v>1885</v>
      </c>
      <c r="N90" s="5" t="s">
        <v>24</v>
      </c>
      <c r="O90" s="5" t="s">
        <v>1917</v>
      </c>
      <c r="P90" s="5" t="s">
        <v>24</v>
      </c>
      <c r="Q90" s="5" t="s">
        <v>24</v>
      </c>
      <c r="R90" s="5" t="s">
        <v>24</v>
      </c>
      <c r="S90" s="5" t="s">
        <v>1852</v>
      </c>
      <c r="T90" s="5" t="s">
        <v>3403</v>
      </c>
      <c r="U90" s="5" t="s">
        <v>3403</v>
      </c>
      <c r="V90" s="5" t="s">
        <v>24</v>
      </c>
      <c r="W90" s="5" t="s">
        <v>24</v>
      </c>
      <c r="X90" s="5" t="s">
        <v>24</v>
      </c>
      <c r="Y90" s="5" t="s">
        <v>5334</v>
      </c>
      <c r="Z90" s="5" t="s">
        <v>5335</v>
      </c>
      <c r="AA90" s="5" t="s">
        <v>5335</v>
      </c>
      <c r="AB90" s="5"/>
    </row>
    <row r="91" ht="15.75" customHeight="1">
      <c r="A91" s="5" t="s">
        <v>5336</v>
      </c>
      <c r="B91" s="5" t="s">
        <v>5337</v>
      </c>
      <c r="C91" s="5" t="s">
        <v>145</v>
      </c>
      <c r="D91" s="5" t="s">
        <v>24</v>
      </c>
      <c r="E91" s="5" t="s">
        <v>1849</v>
      </c>
      <c r="F91" s="5" t="s">
        <v>4963</v>
      </c>
      <c r="G91" s="5" t="s">
        <v>24</v>
      </c>
      <c r="H91" s="5" t="s">
        <v>24</v>
      </c>
      <c r="I91" s="5" t="s">
        <v>24</v>
      </c>
      <c r="J91" s="5" t="s">
        <v>24</v>
      </c>
      <c r="K91" s="5" t="s">
        <v>24</v>
      </c>
      <c r="L91" s="5" t="s">
        <v>24</v>
      </c>
      <c r="M91" s="5" t="s">
        <v>24</v>
      </c>
      <c r="N91" s="5" t="s">
        <v>24</v>
      </c>
      <c r="O91" s="5" t="s">
        <v>1933</v>
      </c>
      <c r="P91" s="5" t="s">
        <v>24</v>
      </c>
      <c r="Q91" s="5" t="s">
        <v>24</v>
      </c>
      <c r="R91" s="5" t="s">
        <v>24</v>
      </c>
      <c r="S91" s="5" t="s">
        <v>2020</v>
      </c>
      <c r="T91" s="5" t="s">
        <v>2021</v>
      </c>
      <c r="U91" s="5" t="s">
        <v>2021</v>
      </c>
      <c r="V91" s="5" t="s">
        <v>24</v>
      </c>
      <c r="W91" s="5" t="s">
        <v>24</v>
      </c>
      <c r="X91" s="5" t="s">
        <v>24</v>
      </c>
      <c r="Y91" s="5" t="s">
        <v>5338</v>
      </c>
      <c r="Z91" s="5" t="s">
        <v>5339</v>
      </c>
      <c r="AA91" s="5" t="s">
        <v>5339</v>
      </c>
      <c r="AB91" s="5"/>
    </row>
    <row r="92" ht="15.75" customHeight="1">
      <c r="A92" s="5" t="s">
        <v>5340</v>
      </c>
      <c r="B92" s="5" t="s">
        <v>5341</v>
      </c>
      <c r="C92" s="5" t="s">
        <v>2126</v>
      </c>
      <c r="D92" s="5" t="s">
        <v>24</v>
      </c>
      <c r="E92" s="5" t="s">
        <v>1849</v>
      </c>
      <c r="F92" s="5" t="s">
        <v>4963</v>
      </c>
      <c r="G92" s="5" t="s">
        <v>24</v>
      </c>
      <c r="H92" s="5" t="s">
        <v>24</v>
      </c>
      <c r="I92" s="5" t="s">
        <v>24</v>
      </c>
      <c r="J92" s="5" t="s">
        <v>24</v>
      </c>
      <c r="K92" s="5" t="s">
        <v>24</v>
      </c>
      <c r="L92" s="5" t="s">
        <v>24</v>
      </c>
      <c r="M92" s="5" t="s">
        <v>1885</v>
      </c>
      <c r="N92" s="5" t="s">
        <v>24</v>
      </c>
      <c r="O92" s="5" t="s">
        <v>2085</v>
      </c>
      <c r="P92" s="5" t="s">
        <v>24</v>
      </c>
      <c r="Q92" s="5" t="s">
        <v>24</v>
      </c>
      <c r="R92" s="5" t="s">
        <v>24</v>
      </c>
      <c r="S92" s="5" t="s">
        <v>1852</v>
      </c>
      <c r="T92" s="5" t="s">
        <v>5125</v>
      </c>
      <c r="U92" s="5" t="s">
        <v>5125</v>
      </c>
      <c r="V92" s="5" t="s">
        <v>24</v>
      </c>
      <c r="W92" s="5" t="s">
        <v>24</v>
      </c>
      <c r="X92" s="5" t="s">
        <v>24</v>
      </c>
      <c r="Y92" s="5" t="s">
        <v>5342</v>
      </c>
      <c r="Z92" s="5" t="s">
        <v>5343</v>
      </c>
      <c r="AA92" s="5" t="s">
        <v>5343</v>
      </c>
      <c r="AB92" s="5"/>
    </row>
    <row r="93" ht="15.75" customHeight="1">
      <c r="A93" s="5" t="s">
        <v>5344</v>
      </c>
      <c r="B93" s="5" t="s">
        <v>5345</v>
      </c>
      <c r="C93" s="5" t="s">
        <v>227</v>
      </c>
      <c r="D93" s="5" t="s">
        <v>24</v>
      </c>
      <c r="E93" s="5" t="s">
        <v>1849</v>
      </c>
      <c r="F93" s="5" t="s">
        <v>4963</v>
      </c>
      <c r="G93" s="5" t="s">
        <v>24</v>
      </c>
      <c r="H93" s="5" t="s">
        <v>24</v>
      </c>
      <c r="I93" s="5" t="s">
        <v>24</v>
      </c>
      <c r="J93" s="5" t="s">
        <v>24</v>
      </c>
      <c r="K93" s="5" t="s">
        <v>24</v>
      </c>
      <c r="L93" s="5" t="s">
        <v>24</v>
      </c>
      <c r="M93" s="5" t="s">
        <v>24</v>
      </c>
      <c r="N93" s="5" t="s">
        <v>24</v>
      </c>
      <c r="O93" s="5" t="s">
        <v>1933</v>
      </c>
      <c r="P93" s="5" t="s">
        <v>24</v>
      </c>
      <c r="Q93" s="5" t="s">
        <v>24</v>
      </c>
      <c r="R93" s="5" t="s">
        <v>24</v>
      </c>
      <c r="S93" s="5" t="s">
        <v>1852</v>
      </c>
      <c r="T93" s="5" t="s">
        <v>5184</v>
      </c>
      <c r="U93" s="5" t="s">
        <v>5184</v>
      </c>
      <c r="V93" s="5" t="s">
        <v>24</v>
      </c>
      <c r="W93" s="5" t="s">
        <v>24</v>
      </c>
      <c r="X93" s="5" t="s">
        <v>24</v>
      </c>
      <c r="Y93" s="5" t="s">
        <v>5346</v>
      </c>
      <c r="Z93" s="5" t="s">
        <v>5347</v>
      </c>
      <c r="AA93" s="5" t="s">
        <v>5347</v>
      </c>
      <c r="AB93" s="5"/>
    </row>
    <row r="94" ht="15.75" customHeight="1">
      <c r="A94" s="5" t="s">
        <v>5348</v>
      </c>
      <c r="B94" s="5" t="s">
        <v>5349</v>
      </c>
      <c r="C94" s="5" t="s">
        <v>503</v>
      </c>
      <c r="D94" s="5" t="s">
        <v>24</v>
      </c>
      <c r="E94" s="5" t="s">
        <v>1849</v>
      </c>
      <c r="F94" s="5" t="s">
        <v>4963</v>
      </c>
      <c r="G94" s="5" t="s">
        <v>24</v>
      </c>
      <c r="H94" s="5" t="s">
        <v>24</v>
      </c>
      <c r="I94" s="5" t="s">
        <v>24</v>
      </c>
      <c r="J94" s="5" t="s">
        <v>24</v>
      </c>
      <c r="K94" s="5" t="s">
        <v>24</v>
      </c>
      <c r="L94" s="5" t="s">
        <v>24</v>
      </c>
      <c r="M94" s="5" t="s">
        <v>24</v>
      </c>
      <c r="N94" s="5" t="s">
        <v>24</v>
      </c>
      <c r="O94" s="5" t="s">
        <v>1894</v>
      </c>
      <c r="P94" s="5" t="s">
        <v>24</v>
      </c>
      <c r="Q94" s="5" t="s">
        <v>24</v>
      </c>
      <c r="R94" s="5" t="s">
        <v>24</v>
      </c>
      <c r="S94" s="5" t="s">
        <v>1852</v>
      </c>
      <c r="T94" s="5" t="s">
        <v>2502</v>
      </c>
      <c r="U94" s="5" t="s">
        <v>2502</v>
      </c>
      <c r="V94" s="5" t="s">
        <v>24</v>
      </c>
      <c r="W94" s="5" t="s">
        <v>24</v>
      </c>
      <c r="X94" s="5" t="s">
        <v>24</v>
      </c>
      <c r="Y94" s="5" t="s">
        <v>5350</v>
      </c>
      <c r="Z94" s="5" t="s">
        <v>5351</v>
      </c>
      <c r="AA94" s="5" t="s">
        <v>5351</v>
      </c>
      <c r="AB94" s="5"/>
    </row>
    <row r="95" ht="15.75" customHeight="1">
      <c r="A95" s="5" t="s">
        <v>5352</v>
      </c>
      <c r="B95" s="5" t="s">
        <v>5353</v>
      </c>
      <c r="C95" s="5" t="s">
        <v>139</v>
      </c>
      <c r="D95" s="5" t="s">
        <v>24</v>
      </c>
      <c r="E95" s="5" t="s">
        <v>1849</v>
      </c>
      <c r="F95" s="5" t="s">
        <v>4963</v>
      </c>
      <c r="G95" s="5" t="s">
        <v>24</v>
      </c>
      <c r="H95" s="5" t="s">
        <v>24</v>
      </c>
      <c r="I95" s="5" t="s">
        <v>24</v>
      </c>
      <c r="J95" s="5" t="s">
        <v>24</v>
      </c>
      <c r="K95" s="5" t="s">
        <v>24</v>
      </c>
      <c r="L95" s="5" t="s">
        <v>24</v>
      </c>
      <c r="M95" s="5" t="s">
        <v>1885</v>
      </c>
      <c r="N95" s="5" t="s">
        <v>24</v>
      </c>
      <c r="O95" s="5" t="s">
        <v>1886</v>
      </c>
      <c r="P95" s="5" t="s">
        <v>24</v>
      </c>
      <c r="Q95" s="5" t="s">
        <v>24</v>
      </c>
      <c r="R95" s="5" t="s">
        <v>24</v>
      </c>
      <c r="S95" s="5" t="s">
        <v>1852</v>
      </c>
      <c r="T95" s="5" t="s">
        <v>2627</v>
      </c>
      <c r="U95" s="5" t="s">
        <v>2627</v>
      </c>
      <c r="V95" s="5" t="s">
        <v>24</v>
      </c>
      <c r="W95" s="5" t="s">
        <v>24</v>
      </c>
      <c r="X95" s="5" t="s">
        <v>24</v>
      </c>
      <c r="Y95" s="5" t="s">
        <v>5354</v>
      </c>
      <c r="Z95" s="5" t="s">
        <v>5355</v>
      </c>
      <c r="AA95" s="5" t="s">
        <v>5355</v>
      </c>
      <c r="AB95" s="5"/>
    </row>
    <row r="96" ht="15.75" customHeight="1">
      <c r="A96" s="5" t="s">
        <v>5356</v>
      </c>
      <c r="B96" s="5" t="s">
        <v>5357</v>
      </c>
      <c r="C96" s="5" t="s">
        <v>227</v>
      </c>
      <c r="D96" s="5" t="s">
        <v>24</v>
      </c>
      <c r="E96" s="5" t="s">
        <v>1849</v>
      </c>
      <c r="F96" s="5" t="s">
        <v>4963</v>
      </c>
      <c r="G96" s="5" t="s">
        <v>24</v>
      </c>
      <c r="H96" s="5" t="s">
        <v>24</v>
      </c>
      <c r="I96" s="5" t="s">
        <v>24</v>
      </c>
      <c r="J96" s="5" t="s">
        <v>24</v>
      </c>
      <c r="K96" s="5" t="s">
        <v>24</v>
      </c>
      <c r="L96" s="5" t="s">
        <v>24</v>
      </c>
      <c r="M96" s="5" t="s">
        <v>24</v>
      </c>
      <c r="N96" s="5" t="s">
        <v>24</v>
      </c>
      <c r="O96" s="5" t="s">
        <v>1933</v>
      </c>
      <c r="P96" s="5" t="s">
        <v>24</v>
      </c>
      <c r="Q96" s="5" t="s">
        <v>24</v>
      </c>
      <c r="R96" s="5" t="s">
        <v>24</v>
      </c>
      <c r="S96" s="5" t="s">
        <v>1852</v>
      </c>
      <c r="T96" s="5" t="s">
        <v>2636</v>
      </c>
      <c r="U96" s="5" t="s">
        <v>2636</v>
      </c>
      <c r="V96" s="5" t="s">
        <v>24</v>
      </c>
      <c r="W96" s="5" t="s">
        <v>24</v>
      </c>
      <c r="X96" s="5" t="s">
        <v>24</v>
      </c>
      <c r="Y96" s="5" t="s">
        <v>5358</v>
      </c>
      <c r="Z96" s="5" t="s">
        <v>5359</v>
      </c>
      <c r="AA96" s="5" t="s">
        <v>5359</v>
      </c>
      <c r="AB96" s="5"/>
    </row>
    <row r="97" ht="15.75" customHeight="1">
      <c r="A97" s="5" t="s">
        <v>5360</v>
      </c>
      <c r="B97" s="5" t="s">
        <v>5361</v>
      </c>
      <c r="C97" s="5" t="s">
        <v>145</v>
      </c>
      <c r="D97" s="5" t="s">
        <v>24</v>
      </c>
      <c r="E97" s="5" t="s">
        <v>1849</v>
      </c>
      <c r="F97" s="5" t="s">
        <v>4963</v>
      </c>
      <c r="G97" s="5" t="s">
        <v>24</v>
      </c>
      <c r="H97" s="5" t="s">
        <v>24</v>
      </c>
      <c r="I97" s="5" t="s">
        <v>24</v>
      </c>
      <c r="J97" s="5" t="s">
        <v>24</v>
      </c>
      <c r="K97" s="5" t="s">
        <v>24</v>
      </c>
      <c r="L97" s="5" t="s">
        <v>24</v>
      </c>
      <c r="M97" s="5" t="s">
        <v>24</v>
      </c>
      <c r="N97" s="5" t="s">
        <v>24</v>
      </c>
      <c r="O97" s="5" t="s">
        <v>1933</v>
      </c>
      <c r="P97" s="5" t="s">
        <v>24</v>
      </c>
      <c r="Q97" s="5" t="s">
        <v>24</v>
      </c>
      <c r="R97" s="5" t="s">
        <v>24</v>
      </c>
      <c r="S97" s="5" t="s">
        <v>2020</v>
      </c>
      <c r="T97" s="5" t="s">
        <v>2021</v>
      </c>
      <c r="U97" s="5" t="s">
        <v>2021</v>
      </c>
      <c r="V97" s="5" t="s">
        <v>24</v>
      </c>
      <c r="W97" s="5" t="s">
        <v>24</v>
      </c>
      <c r="X97" s="5" t="s">
        <v>24</v>
      </c>
      <c r="Y97" s="5" t="s">
        <v>5362</v>
      </c>
      <c r="Z97" s="5" t="s">
        <v>5363</v>
      </c>
      <c r="AA97" s="5" t="s">
        <v>5363</v>
      </c>
      <c r="AB97" s="5"/>
    </row>
    <row r="98" ht="15.75" customHeight="1">
      <c r="A98" s="5" t="s">
        <v>5364</v>
      </c>
      <c r="B98" s="5" t="s">
        <v>5365</v>
      </c>
      <c r="C98" s="5" t="s">
        <v>5288</v>
      </c>
      <c r="D98" s="5" t="s">
        <v>24</v>
      </c>
      <c r="E98" s="5" t="s">
        <v>1849</v>
      </c>
      <c r="F98" s="5" t="s">
        <v>4963</v>
      </c>
      <c r="G98" s="5" t="s">
        <v>24</v>
      </c>
      <c r="H98" s="5" t="s">
        <v>24</v>
      </c>
      <c r="I98" s="5" t="s">
        <v>24</v>
      </c>
      <c r="J98" s="5" t="s">
        <v>24</v>
      </c>
      <c r="K98" s="5" t="s">
        <v>24</v>
      </c>
      <c r="L98" s="5" t="s">
        <v>24</v>
      </c>
      <c r="M98" s="5" t="s">
        <v>24</v>
      </c>
      <c r="N98" s="5" t="s">
        <v>24</v>
      </c>
      <c r="O98" s="5" t="s">
        <v>1851</v>
      </c>
      <c r="P98" s="5" t="s">
        <v>24</v>
      </c>
      <c r="Q98" s="5" t="s">
        <v>24</v>
      </c>
      <c r="R98" s="5" t="s">
        <v>24</v>
      </c>
      <c r="S98" s="5" t="s">
        <v>1852</v>
      </c>
      <c r="T98" s="5" t="s">
        <v>3217</v>
      </c>
      <c r="U98" s="5" t="s">
        <v>3217</v>
      </c>
      <c r="V98" s="5" t="s">
        <v>24</v>
      </c>
      <c r="W98" s="5" t="s">
        <v>24</v>
      </c>
      <c r="X98" s="5" t="s">
        <v>24</v>
      </c>
      <c r="Y98" s="5" t="s">
        <v>5366</v>
      </c>
      <c r="Z98" s="5" t="s">
        <v>5367</v>
      </c>
      <c r="AA98" s="5" t="s">
        <v>5367</v>
      </c>
      <c r="AB98" s="5"/>
    </row>
    <row r="99" ht="15.75" customHeight="1">
      <c r="A99" s="5" t="s">
        <v>5368</v>
      </c>
      <c r="B99" s="5" t="s">
        <v>5369</v>
      </c>
      <c r="C99" s="5" t="s">
        <v>5370</v>
      </c>
      <c r="D99" s="5" t="s">
        <v>24</v>
      </c>
      <c r="E99" s="5" t="s">
        <v>1849</v>
      </c>
      <c r="F99" s="5" t="s">
        <v>4963</v>
      </c>
      <c r="G99" s="5" t="s">
        <v>24</v>
      </c>
      <c r="H99" s="5" t="s">
        <v>24</v>
      </c>
      <c r="I99" s="5" t="s">
        <v>24</v>
      </c>
      <c r="J99" s="5" t="s">
        <v>24</v>
      </c>
      <c r="K99" s="5" t="s">
        <v>24</v>
      </c>
      <c r="L99" s="5" t="s">
        <v>24</v>
      </c>
      <c r="M99" s="5" t="s">
        <v>24</v>
      </c>
      <c r="N99" s="5" t="s">
        <v>24</v>
      </c>
      <c r="O99" s="5" t="s">
        <v>1894</v>
      </c>
      <c r="P99" s="5" t="s">
        <v>24</v>
      </c>
      <c r="Q99" s="5" t="s">
        <v>24</v>
      </c>
      <c r="R99" s="5" t="s">
        <v>24</v>
      </c>
      <c r="S99" s="5" t="s">
        <v>1852</v>
      </c>
      <c r="T99" s="5" t="s">
        <v>5371</v>
      </c>
      <c r="U99" s="5" t="s">
        <v>5371</v>
      </c>
      <c r="V99" s="5" t="s">
        <v>24</v>
      </c>
      <c r="W99" s="5" t="s">
        <v>24</v>
      </c>
      <c r="X99" s="5" t="s">
        <v>24</v>
      </c>
      <c r="Y99" s="5" t="s">
        <v>5372</v>
      </c>
      <c r="Z99" s="5" t="s">
        <v>5373</v>
      </c>
      <c r="AA99" s="5" t="s">
        <v>5373</v>
      </c>
      <c r="AB99" s="5"/>
    </row>
    <row r="100" ht="15.75" customHeight="1">
      <c r="A100" s="5" t="s">
        <v>5374</v>
      </c>
      <c r="B100" s="5" t="s">
        <v>5375</v>
      </c>
      <c r="C100" s="5" t="s">
        <v>1915</v>
      </c>
      <c r="D100" s="5" t="s">
        <v>24</v>
      </c>
      <c r="E100" s="5" t="s">
        <v>1849</v>
      </c>
      <c r="F100" s="5" t="s">
        <v>4963</v>
      </c>
      <c r="G100" s="5" t="s">
        <v>24</v>
      </c>
      <c r="H100" s="5" t="s">
        <v>24</v>
      </c>
      <c r="I100" s="5" t="s">
        <v>24</v>
      </c>
      <c r="J100" s="5" t="s">
        <v>24</v>
      </c>
      <c r="K100" s="5" t="s">
        <v>24</v>
      </c>
      <c r="L100" s="5" t="s">
        <v>24</v>
      </c>
      <c r="M100" s="5" t="s">
        <v>1885</v>
      </c>
      <c r="N100" s="5" t="s">
        <v>24</v>
      </c>
      <c r="O100" s="5" t="s">
        <v>24</v>
      </c>
      <c r="P100" s="5" t="s">
        <v>24</v>
      </c>
      <c r="Q100" s="5" t="s">
        <v>24</v>
      </c>
      <c r="R100" s="5" t="s">
        <v>24</v>
      </c>
      <c r="S100" s="5" t="s">
        <v>1852</v>
      </c>
      <c r="T100" s="5" t="s">
        <v>3403</v>
      </c>
      <c r="U100" s="5" t="s">
        <v>3403</v>
      </c>
      <c r="V100" s="5" t="s">
        <v>24</v>
      </c>
      <c r="W100" s="5" t="s">
        <v>24</v>
      </c>
      <c r="X100" s="5" t="s">
        <v>24</v>
      </c>
      <c r="Y100" s="5" t="s">
        <v>5376</v>
      </c>
      <c r="Z100" s="5" t="s">
        <v>5377</v>
      </c>
      <c r="AA100" s="5" t="s">
        <v>5377</v>
      </c>
      <c r="AB100" s="5"/>
    </row>
    <row r="101" ht="15.75" customHeight="1">
      <c r="A101" s="5" t="s">
        <v>5378</v>
      </c>
      <c r="B101" s="5" t="s">
        <v>5379</v>
      </c>
      <c r="C101" s="5" t="s">
        <v>1915</v>
      </c>
      <c r="D101" s="5" t="s">
        <v>24</v>
      </c>
      <c r="E101" s="5" t="s">
        <v>1849</v>
      </c>
      <c r="F101" s="5" t="s">
        <v>4963</v>
      </c>
      <c r="G101" s="5" t="s">
        <v>24</v>
      </c>
      <c r="H101" s="5" t="s">
        <v>24</v>
      </c>
      <c r="I101" s="5" t="s">
        <v>24</v>
      </c>
      <c r="J101" s="5" t="s">
        <v>24</v>
      </c>
      <c r="K101" s="5" t="s">
        <v>24</v>
      </c>
      <c r="L101" s="5" t="s">
        <v>24</v>
      </c>
      <c r="M101" s="5" t="s">
        <v>24</v>
      </c>
      <c r="N101" s="5" t="s">
        <v>24</v>
      </c>
      <c r="O101" s="5" t="s">
        <v>1933</v>
      </c>
      <c r="P101" s="5" t="s">
        <v>24</v>
      </c>
      <c r="Q101" s="5" t="s">
        <v>24</v>
      </c>
      <c r="R101" s="5" t="s">
        <v>24</v>
      </c>
      <c r="S101" s="5" t="s">
        <v>1852</v>
      </c>
      <c r="T101" s="5" t="s">
        <v>1887</v>
      </c>
      <c r="U101" s="5" t="s">
        <v>1887</v>
      </c>
      <c r="V101" s="5" t="s">
        <v>24</v>
      </c>
      <c r="W101" s="5" t="s">
        <v>24</v>
      </c>
      <c r="X101" s="5" t="s">
        <v>24</v>
      </c>
      <c r="Y101" s="5" t="s">
        <v>5380</v>
      </c>
      <c r="Z101" s="5" t="s">
        <v>5381</v>
      </c>
      <c r="AA101" s="5" t="s">
        <v>5381</v>
      </c>
      <c r="AB101" s="5"/>
    </row>
    <row r="102" ht="15.75" customHeight="1">
      <c r="A102" s="5" t="s">
        <v>5382</v>
      </c>
      <c r="B102" s="5" t="s">
        <v>5383</v>
      </c>
      <c r="C102" s="5" t="s">
        <v>5013</v>
      </c>
      <c r="D102" s="5" t="s">
        <v>24</v>
      </c>
      <c r="E102" s="5" t="s">
        <v>1849</v>
      </c>
      <c r="F102" s="5" t="s">
        <v>4963</v>
      </c>
      <c r="G102" s="5" t="s">
        <v>24</v>
      </c>
      <c r="H102" s="5" t="s">
        <v>24</v>
      </c>
      <c r="I102" s="5" t="s">
        <v>24</v>
      </c>
      <c r="J102" s="5" t="s">
        <v>24</v>
      </c>
      <c r="K102" s="5" t="s">
        <v>24</v>
      </c>
      <c r="L102" s="5" t="s">
        <v>24</v>
      </c>
      <c r="M102" s="5" t="s">
        <v>24</v>
      </c>
      <c r="N102" s="5" t="s">
        <v>24</v>
      </c>
      <c r="O102" s="5" t="s">
        <v>1933</v>
      </c>
      <c r="P102" s="5" t="s">
        <v>24</v>
      </c>
      <c r="Q102" s="5" t="s">
        <v>24</v>
      </c>
      <c r="R102" s="5" t="s">
        <v>24</v>
      </c>
      <c r="S102" s="5" t="s">
        <v>1852</v>
      </c>
      <c r="T102" s="5" t="s">
        <v>5384</v>
      </c>
      <c r="U102" s="5" t="s">
        <v>5384</v>
      </c>
      <c r="V102" s="5" t="s">
        <v>24</v>
      </c>
      <c r="W102" s="5" t="s">
        <v>24</v>
      </c>
      <c r="X102" s="5" t="s">
        <v>24</v>
      </c>
      <c r="Y102" s="5" t="s">
        <v>5385</v>
      </c>
      <c r="Z102" s="5" t="s">
        <v>5386</v>
      </c>
      <c r="AA102" s="5" t="s">
        <v>5386</v>
      </c>
      <c r="AB102" s="5"/>
    </row>
    <row r="103" ht="15.75" customHeight="1">
      <c r="A103" s="5" t="s">
        <v>5387</v>
      </c>
      <c r="B103" s="5" t="s">
        <v>5388</v>
      </c>
      <c r="C103" s="5" t="s">
        <v>503</v>
      </c>
      <c r="D103" s="5" t="s">
        <v>24</v>
      </c>
      <c r="E103" s="5" t="s">
        <v>1849</v>
      </c>
      <c r="F103" s="5" t="s">
        <v>4963</v>
      </c>
      <c r="G103" s="5" t="s">
        <v>24</v>
      </c>
      <c r="H103" s="5" t="s">
        <v>24</v>
      </c>
      <c r="I103" s="5" t="s">
        <v>24</v>
      </c>
      <c r="J103" s="5" t="s">
        <v>24</v>
      </c>
      <c r="K103" s="5" t="s">
        <v>24</v>
      </c>
      <c r="L103" s="5" t="s">
        <v>24</v>
      </c>
      <c r="M103" s="5" t="s">
        <v>1885</v>
      </c>
      <c r="N103" s="5" t="s">
        <v>24</v>
      </c>
      <c r="O103" s="5" t="s">
        <v>4258</v>
      </c>
      <c r="P103" s="5" t="s">
        <v>24</v>
      </c>
      <c r="Q103" s="5" t="s">
        <v>24</v>
      </c>
      <c r="R103" s="5" t="s">
        <v>24</v>
      </c>
      <c r="S103" s="5" t="s">
        <v>2020</v>
      </c>
      <c r="T103" s="5" t="s">
        <v>2021</v>
      </c>
      <c r="U103" s="5" t="s">
        <v>2021</v>
      </c>
      <c r="V103" s="5" t="s">
        <v>24</v>
      </c>
      <c r="W103" s="5" t="s">
        <v>24</v>
      </c>
      <c r="X103" s="5" t="s">
        <v>24</v>
      </c>
      <c r="Y103" s="5" t="s">
        <v>5389</v>
      </c>
      <c r="Z103" s="5" t="s">
        <v>5390</v>
      </c>
      <c r="AA103" s="5" t="s">
        <v>5390</v>
      </c>
      <c r="AB103" s="5"/>
    </row>
    <row r="104" ht="15.75" customHeight="1">
      <c r="A104" s="5" t="s">
        <v>5391</v>
      </c>
      <c r="B104" s="5" t="s">
        <v>5392</v>
      </c>
      <c r="C104" s="5" t="s">
        <v>2126</v>
      </c>
      <c r="D104" s="5" t="s">
        <v>24</v>
      </c>
      <c r="E104" s="5" t="s">
        <v>1849</v>
      </c>
      <c r="F104" s="5" t="s">
        <v>4963</v>
      </c>
      <c r="G104" s="5" t="s">
        <v>24</v>
      </c>
      <c r="H104" s="5" t="s">
        <v>24</v>
      </c>
      <c r="I104" s="5" t="s">
        <v>24</v>
      </c>
      <c r="J104" s="5" t="s">
        <v>24</v>
      </c>
      <c r="K104" s="5" t="s">
        <v>24</v>
      </c>
      <c r="L104" s="5" t="s">
        <v>24</v>
      </c>
      <c r="M104" s="5" t="s">
        <v>1885</v>
      </c>
      <c r="N104" s="5" t="s">
        <v>24</v>
      </c>
      <c r="O104" s="5" t="s">
        <v>24</v>
      </c>
      <c r="P104" s="5" t="s">
        <v>24</v>
      </c>
      <c r="Q104" s="5" t="s">
        <v>24</v>
      </c>
      <c r="R104" s="5" t="s">
        <v>24</v>
      </c>
      <c r="S104" s="5" t="s">
        <v>1852</v>
      </c>
      <c r="T104" s="5" t="s">
        <v>5125</v>
      </c>
      <c r="U104" s="5" t="s">
        <v>5125</v>
      </c>
      <c r="V104" s="5" t="s">
        <v>24</v>
      </c>
      <c r="W104" s="5" t="s">
        <v>24</v>
      </c>
      <c r="X104" s="5" t="s">
        <v>24</v>
      </c>
      <c r="Y104" s="5" t="s">
        <v>5393</v>
      </c>
      <c r="Z104" s="5" t="s">
        <v>5394</v>
      </c>
      <c r="AA104" s="5" t="s">
        <v>5394</v>
      </c>
      <c r="AB104" s="5"/>
    </row>
    <row r="105" ht="15.75" customHeight="1">
      <c r="A105" s="5" t="s">
        <v>5395</v>
      </c>
      <c r="B105" s="5" t="s">
        <v>5396</v>
      </c>
      <c r="C105" s="5" t="s">
        <v>5013</v>
      </c>
      <c r="D105" s="5" t="s">
        <v>24</v>
      </c>
      <c r="E105" s="5" t="s">
        <v>1849</v>
      </c>
      <c r="F105" s="5" t="s">
        <v>4963</v>
      </c>
      <c r="G105" s="5" t="s">
        <v>24</v>
      </c>
      <c r="H105" s="5" t="s">
        <v>24</v>
      </c>
      <c r="I105" s="5" t="s">
        <v>24</v>
      </c>
      <c r="J105" s="5" t="s">
        <v>24</v>
      </c>
      <c r="K105" s="5" t="s">
        <v>24</v>
      </c>
      <c r="L105" s="5" t="s">
        <v>24</v>
      </c>
      <c r="M105" s="5" t="s">
        <v>24</v>
      </c>
      <c r="N105" s="5" t="s">
        <v>24</v>
      </c>
      <c r="O105" s="5" t="s">
        <v>1933</v>
      </c>
      <c r="P105" s="5" t="s">
        <v>24</v>
      </c>
      <c r="Q105" s="5" t="s">
        <v>24</v>
      </c>
      <c r="R105" s="5" t="s">
        <v>24</v>
      </c>
      <c r="S105" s="5" t="s">
        <v>2020</v>
      </c>
      <c r="T105" s="5" t="s">
        <v>2021</v>
      </c>
      <c r="U105" s="5" t="s">
        <v>2021</v>
      </c>
      <c r="V105" s="5" t="s">
        <v>24</v>
      </c>
      <c r="W105" s="5" t="s">
        <v>24</v>
      </c>
      <c r="X105" s="5" t="s">
        <v>24</v>
      </c>
      <c r="Y105" s="5" t="s">
        <v>5397</v>
      </c>
      <c r="Z105" s="5" t="s">
        <v>5398</v>
      </c>
      <c r="AA105" s="5" t="s">
        <v>5398</v>
      </c>
      <c r="AB105" s="5"/>
    </row>
    <row r="106" ht="15.75" customHeight="1">
      <c r="A106" s="5" t="s">
        <v>5399</v>
      </c>
      <c r="B106" s="5" t="s">
        <v>5400</v>
      </c>
      <c r="C106" s="5" t="s">
        <v>5288</v>
      </c>
      <c r="D106" s="5" t="s">
        <v>24</v>
      </c>
      <c r="E106" s="5" t="s">
        <v>1849</v>
      </c>
      <c r="F106" s="5" t="s">
        <v>4963</v>
      </c>
      <c r="G106" s="5" t="s">
        <v>24</v>
      </c>
      <c r="H106" s="5" t="s">
        <v>24</v>
      </c>
      <c r="I106" s="5" t="s">
        <v>24</v>
      </c>
      <c r="J106" s="5" t="s">
        <v>24</v>
      </c>
      <c r="K106" s="5" t="s">
        <v>24</v>
      </c>
      <c r="L106" s="5" t="s">
        <v>24</v>
      </c>
      <c r="M106" s="5" t="s">
        <v>24</v>
      </c>
      <c r="N106" s="5" t="s">
        <v>24</v>
      </c>
      <c r="O106" s="5" t="s">
        <v>1851</v>
      </c>
      <c r="P106" s="5" t="s">
        <v>24</v>
      </c>
      <c r="Q106" s="5" t="s">
        <v>24</v>
      </c>
      <c r="R106" s="5" t="s">
        <v>24</v>
      </c>
      <c r="S106" s="5" t="s">
        <v>1852</v>
      </c>
      <c r="T106" s="5" t="s">
        <v>5401</v>
      </c>
      <c r="U106" s="5" t="s">
        <v>5401</v>
      </c>
      <c r="V106" s="5" t="s">
        <v>24</v>
      </c>
      <c r="W106" s="5" t="s">
        <v>24</v>
      </c>
      <c r="X106" s="5" t="s">
        <v>24</v>
      </c>
      <c r="Y106" s="5" t="s">
        <v>5402</v>
      </c>
      <c r="Z106" s="5" t="s">
        <v>5403</v>
      </c>
      <c r="AA106" s="5" t="s">
        <v>5403</v>
      </c>
      <c r="AB106" s="5"/>
    </row>
    <row r="107" ht="15.75" customHeight="1">
      <c r="A107" s="5" t="s">
        <v>5404</v>
      </c>
      <c r="B107" s="5" t="s">
        <v>5405</v>
      </c>
      <c r="C107" s="5" t="s">
        <v>227</v>
      </c>
      <c r="D107" s="5" t="s">
        <v>24</v>
      </c>
      <c r="E107" s="5" t="s">
        <v>1849</v>
      </c>
      <c r="F107" s="5" t="s">
        <v>4963</v>
      </c>
      <c r="G107" s="5" t="s">
        <v>24</v>
      </c>
      <c r="H107" s="5" t="s">
        <v>24</v>
      </c>
      <c r="I107" s="5" t="s">
        <v>24</v>
      </c>
      <c r="J107" s="5" t="s">
        <v>24</v>
      </c>
      <c r="K107" s="5" t="s">
        <v>24</v>
      </c>
      <c r="L107" s="5" t="s">
        <v>24</v>
      </c>
      <c r="M107" s="5" t="s">
        <v>24</v>
      </c>
      <c r="N107" s="5" t="s">
        <v>24</v>
      </c>
      <c r="O107" s="5" t="s">
        <v>1933</v>
      </c>
      <c r="P107" s="5" t="s">
        <v>24</v>
      </c>
      <c r="Q107" s="5" t="s">
        <v>24</v>
      </c>
      <c r="R107" s="5" t="s">
        <v>24</v>
      </c>
      <c r="S107" s="5" t="s">
        <v>1852</v>
      </c>
      <c r="T107" s="5" t="s">
        <v>5406</v>
      </c>
      <c r="U107" s="5" t="s">
        <v>5406</v>
      </c>
      <c r="V107" s="5" t="s">
        <v>24</v>
      </c>
      <c r="W107" s="5" t="s">
        <v>24</v>
      </c>
      <c r="X107" s="5" t="s">
        <v>24</v>
      </c>
      <c r="Y107" s="5" t="s">
        <v>5407</v>
      </c>
      <c r="Z107" s="5" t="s">
        <v>5408</v>
      </c>
      <c r="AA107" s="5" t="s">
        <v>5408</v>
      </c>
      <c r="AB107" s="5"/>
    </row>
    <row r="108" ht="15.75" customHeight="1">
      <c r="A108" s="5" t="s">
        <v>5409</v>
      </c>
      <c r="B108" s="5" t="s">
        <v>5410</v>
      </c>
      <c r="C108" s="5" t="s">
        <v>227</v>
      </c>
      <c r="D108" s="5" t="s">
        <v>24</v>
      </c>
      <c r="E108" s="5" t="s">
        <v>1849</v>
      </c>
      <c r="F108" s="5" t="s">
        <v>4963</v>
      </c>
      <c r="G108" s="5" t="s">
        <v>24</v>
      </c>
      <c r="H108" s="5" t="s">
        <v>24</v>
      </c>
      <c r="I108" s="5" t="s">
        <v>24</v>
      </c>
      <c r="J108" s="5" t="s">
        <v>24</v>
      </c>
      <c r="K108" s="5" t="s">
        <v>24</v>
      </c>
      <c r="L108" s="5" t="s">
        <v>24</v>
      </c>
      <c r="M108" s="5" t="s">
        <v>24</v>
      </c>
      <c r="N108" s="5" t="s">
        <v>24</v>
      </c>
      <c r="O108" s="5" t="s">
        <v>1917</v>
      </c>
      <c r="P108" s="5" t="s">
        <v>24</v>
      </c>
      <c r="Q108" s="5" t="s">
        <v>24</v>
      </c>
      <c r="R108" s="5" t="s">
        <v>24</v>
      </c>
      <c r="S108" s="5" t="s">
        <v>2020</v>
      </c>
      <c r="T108" s="5" t="s">
        <v>2021</v>
      </c>
      <c r="U108" s="5" t="s">
        <v>2021</v>
      </c>
      <c r="V108" s="5" t="s">
        <v>24</v>
      </c>
      <c r="W108" s="5" t="s">
        <v>24</v>
      </c>
      <c r="X108" s="5" t="s">
        <v>24</v>
      </c>
      <c r="Y108" s="5" t="s">
        <v>5411</v>
      </c>
      <c r="Z108" s="5" t="s">
        <v>5412</v>
      </c>
      <c r="AA108" s="5" t="s">
        <v>5412</v>
      </c>
      <c r="AB108" s="5"/>
    </row>
    <row r="109" ht="15.75" customHeight="1">
      <c r="A109" s="5" t="s">
        <v>5413</v>
      </c>
      <c r="B109" s="5" t="s">
        <v>5414</v>
      </c>
      <c r="C109" s="5" t="s">
        <v>5415</v>
      </c>
      <c r="D109" s="5" t="s">
        <v>24</v>
      </c>
      <c r="E109" s="5" t="s">
        <v>1849</v>
      </c>
      <c r="F109" s="5" t="s">
        <v>4963</v>
      </c>
      <c r="G109" s="5" t="s">
        <v>24</v>
      </c>
      <c r="H109" s="5" t="s">
        <v>24</v>
      </c>
      <c r="I109" s="5" t="s">
        <v>24</v>
      </c>
      <c r="J109" s="5" t="s">
        <v>24</v>
      </c>
      <c r="K109" s="5" t="s">
        <v>24</v>
      </c>
      <c r="L109" s="5" t="s">
        <v>24</v>
      </c>
      <c r="M109" s="5" t="s">
        <v>1885</v>
      </c>
      <c r="N109" s="5" t="s">
        <v>24</v>
      </c>
      <c r="O109" s="5" t="s">
        <v>3432</v>
      </c>
      <c r="P109" s="5" t="s">
        <v>24</v>
      </c>
      <c r="Q109" s="5" t="s">
        <v>24</v>
      </c>
      <c r="R109" s="5" t="s">
        <v>24</v>
      </c>
      <c r="S109" s="5" t="s">
        <v>1852</v>
      </c>
      <c r="T109" s="5" t="s">
        <v>2363</v>
      </c>
      <c r="U109" s="5" t="s">
        <v>2363</v>
      </c>
      <c r="V109" s="5" t="s">
        <v>24</v>
      </c>
      <c r="W109" s="5" t="s">
        <v>24</v>
      </c>
      <c r="X109" s="5" t="s">
        <v>24</v>
      </c>
      <c r="Y109" s="5" t="s">
        <v>5416</v>
      </c>
      <c r="Z109" s="5" t="s">
        <v>5417</v>
      </c>
      <c r="AA109" s="5" t="s">
        <v>5417</v>
      </c>
      <c r="AB109" s="5"/>
    </row>
    <row r="110" ht="15.75" customHeight="1">
      <c r="A110" s="5" t="s">
        <v>5418</v>
      </c>
      <c r="B110" s="5" t="s">
        <v>5419</v>
      </c>
      <c r="C110" s="5" t="s">
        <v>5013</v>
      </c>
      <c r="D110" s="5" t="s">
        <v>24</v>
      </c>
      <c r="E110" s="5" t="s">
        <v>1849</v>
      </c>
      <c r="F110" s="5" t="s">
        <v>4963</v>
      </c>
      <c r="G110" s="5" t="s">
        <v>24</v>
      </c>
      <c r="H110" s="5" t="s">
        <v>24</v>
      </c>
      <c r="I110" s="5" t="s">
        <v>24</v>
      </c>
      <c r="J110" s="5" t="s">
        <v>24</v>
      </c>
      <c r="K110" s="5" t="s">
        <v>24</v>
      </c>
      <c r="L110" s="5" t="s">
        <v>24</v>
      </c>
      <c r="M110" s="5" t="s">
        <v>1885</v>
      </c>
      <c r="N110" s="5" t="s">
        <v>24</v>
      </c>
      <c r="O110" s="5" t="s">
        <v>24</v>
      </c>
      <c r="P110" s="5" t="s">
        <v>24</v>
      </c>
      <c r="Q110" s="5" t="s">
        <v>24</v>
      </c>
      <c r="R110" s="5" t="s">
        <v>24</v>
      </c>
      <c r="S110" s="5" t="s">
        <v>1852</v>
      </c>
      <c r="T110" s="5" t="s">
        <v>1887</v>
      </c>
      <c r="U110" s="5" t="s">
        <v>1887</v>
      </c>
      <c r="V110" s="5" t="s">
        <v>24</v>
      </c>
      <c r="W110" s="5" t="s">
        <v>24</v>
      </c>
      <c r="X110" s="5" t="s">
        <v>24</v>
      </c>
      <c r="Y110" s="5" t="s">
        <v>5420</v>
      </c>
      <c r="Z110" s="5" t="s">
        <v>5421</v>
      </c>
      <c r="AA110" s="5" t="s">
        <v>5421</v>
      </c>
      <c r="AB110" s="5"/>
    </row>
    <row r="111" ht="15.75" customHeight="1">
      <c r="A111" s="5" t="s">
        <v>5422</v>
      </c>
      <c r="B111" s="5" t="s">
        <v>5423</v>
      </c>
      <c r="C111" s="5" t="s">
        <v>2126</v>
      </c>
      <c r="D111" s="5" t="s">
        <v>24</v>
      </c>
      <c r="E111" s="5" t="s">
        <v>1849</v>
      </c>
      <c r="F111" s="5" t="s">
        <v>4963</v>
      </c>
      <c r="G111" s="5" t="s">
        <v>24</v>
      </c>
      <c r="H111" s="5" t="s">
        <v>24</v>
      </c>
      <c r="I111" s="5" t="s">
        <v>24</v>
      </c>
      <c r="J111" s="5" t="s">
        <v>24</v>
      </c>
      <c r="K111" s="5" t="s">
        <v>24</v>
      </c>
      <c r="L111" s="5" t="s">
        <v>24</v>
      </c>
      <c r="M111" s="5" t="s">
        <v>24</v>
      </c>
      <c r="N111" s="5" t="s">
        <v>24</v>
      </c>
      <c r="O111" s="5" t="s">
        <v>1933</v>
      </c>
      <c r="P111" s="5" t="s">
        <v>24</v>
      </c>
      <c r="Q111" s="5" t="s">
        <v>24</v>
      </c>
      <c r="R111" s="5" t="s">
        <v>24</v>
      </c>
      <c r="S111" s="5" t="s">
        <v>1852</v>
      </c>
      <c r="T111" s="5" t="s">
        <v>5424</v>
      </c>
      <c r="U111" s="5" t="s">
        <v>5424</v>
      </c>
      <c r="V111" s="5" t="s">
        <v>24</v>
      </c>
      <c r="W111" s="5" t="s">
        <v>24</v>
      </c>
      <c r="X111" s="5" t="s">
        <v>24</v>
      </c>
      <c r="Y111" s="5" t="s">
        <v>5425</v>
      </c>
      <c r="Z111" s="5" t="s">
        <v>5426</v>
      </c>
      <c r="AA111" s="5" t="s">
        <v>5426</v>
      </c>
      <c r="AB111" s="5"/>
    </row>
    <row r="112" ht="15.75" customHeight="1">
      <c r="A112" s="5" t="s">
        <v>5427</v>
      </c>
      <c r="B112" s="5" t="s">
        <v>5428</v>
      </c>
      <c r="C112" s="5" t="s">
        <v>5415</v>
      </c>
      <c r="D112" s="5" t="s">
        <v>24</v>
      </c>
      <c r="E112" s="5" t="s">
        <v>1849</v>
      </c>
      <c r="F112" s="5" t="s">
        <v>4963</v>
      </c>
      <c r="G112" s="5" t="s">
        <v>24</v>
      </c>
      <c r="H112" s="5" t="s">
        <v>24</v>
      </c>
      <c r="I112" s="5" t="s">
        <v>24</v>
      </c>
      <c r="J112" s="5" t="s">
        <v>24</v>
      </c>
      <c r="K112" s="5" t="s">
        <v>24</v>
      </c>
      <c r="L112" s="5" t="s">
        <v>24</v>
      </c>
      <c r="M112" s="5" t="s">
        <v>1885</v>
      </c>
      <c r="N112" s="5" t="s">
        <v>24</v>
      </c>
      <c r="O112" s="5" t="s">
        <v>1986</v>
      </c>
      <c r="P112" s="5" t="s">
        <v>24</v>
      </c>
      <c r="Q112" s="5" t="s">
        <v>24</v>
      </c>
      <c r="R112" s="5" t="s">
        <v>24</v>
      </c>
      <c r="S112" s="5" t="s">
        <v>2020</v>
      </c>
      <c r="T112" s="5" t="s">
        <v>2021</v>
      </c>
      <c r="U112" s="5" t="s">
        <v>2021</v>
      </c>
      <c r="V112" s="5" t="s">
        <v>24</v>
      </c>
      <c r="W112" s="5" t="s">
        <v>24</v>
      </c>
      <c r="X112" s="5" t="s">
        <v>24</v>
      </c>
      <c r="Y112" s="5" t="s">
        <v>5429</v>
      </c>
      <c r="Z112" s="5" t="s">
        <v>5430</v>
      </c>
      <c r="AA112" s="5" t="s">
        <v>5430</v>
      </c>
      <c r="AB112" s="5"/>
    </row>
    <row r="113" ht="15.75" customHeight="1">
      <c r="A113" s="5" t="s">
        <v>5431</v>
      </c>
      <c r="B113" s="5" t="s">
        <v>5432</v>
      </c>
      <c r="C113" s="5" t="s">
        <v>503</v>
      </c>
      <c r="D113" s="5" t="s">
        <v>24</v>
      </c>
      <c r="E113" s="5" t="s">
        <v>1849</v>
      </c>
      <c r="F113" s="5" t="s">
        <v>4963</v>
      </c>
      <c r="G113" s="5" t="s">
        <v>24</v>
      </c>
      <c r="H113" s="5" t="s">
        <v>24</v>
      </c>
      <c r="I113" s="5" t="s">
        <v>24</v>
      </c>
      <c r="J113" s="5" t="s">
        <v>24</v>
      </c>
      <c r="K113" s="5" t="s">
        <v>24</v>
      </c>
      <c r="L113" s="5" t="s">
        <v>24</v>
      </c>
      <c r="M113" s="5" t="s">
        <v>24</v>
      </c>
      <c r="N113" s="5" t="s">
        <v>24</v>
      </c>
      <c r="O113" s="5" t="s">
        <v>4061</v>
      </c>
      <c r="P113" s="5" t="s">
        <v>24</v>
      </c>
      <c r="Q113" s="5" t="s">
        <v>24</v>
      </c>
      <c r="R113" s="5" t="s">
        <v>24</v>
      </c>
      <c r="S113" s="5" t="s">
        <v>2020</v>
      </c>
      <c r="T113" s="5" t="s">
        <v>2021</v>
      </c>
      <c r="U113" s="5" t="s">
        <v>2021</v>
      </c>
      <c r="V113" s="5" t="s">
        <v>24</v>
      </c>
      <c r="W113" s="5" t="s">
        <v>24</v>
      </c>
      <c r="X113" s="5" t="s">
        <v>24</v>
      </c>
      <c r="Y113" s="5" t="s">
        <v>5433</v>
      </c>
      <c r="Z113" s="5" t="s">
        <v>5434</v>
      </c>
      <c r="AA113" s="5" t="s">
        <v>5434</v>
      </c>
      <c r="AB113" s="5"/>
    </row>
    <row r="114" ht="15.75" customHeight="1">
      <c r="A114" s="5" t="s">
        <v>5435</v>
      </c>
      <c r="B114" s="5" t="s">
        <v>5436</v>
      </c>
      <c r="C114" s="5" t="s">
        <v>106</v>
      </c>
      <c r="D114" s="5" t="s">
        <v>24</v>
      </c>
      <c r="E114" s="5" t="s">
        <v>1849</v>
      </c>
      <c r="F114" s="5" t="s">
        <v>4963</v>
      </c>
      <c r="G114" s="5" t="s">
        <v>24</v>
      </c>
      <c r="H114" s="5" t="s">
        <v>24</v>
      </c>
      <c r="I114" s="5" t="s">
        <v>24</v>
      </c>
      <c r="J114" s="5" t="s">
        <v>24</v>
      </c>
      <c r="K114" s="5" t="s">
        <v>24</v>
      </c>
      <c r="L114" s="5" t="s">
        <v>24</v>
      </c>
      <c r="M114" s="5" t="s">
        <v>24</v>
      </c>
      <c r="N114" s="5" t="s">
        <v>24</v>
      </c>
      <c r="O114" s="5" t="s">
        <v>1933</v>
      </c>
      <c r="P114" s="5" t="s">
        <v>24</v>
      </c>
      <c r="Q114" s="5" t="s">
        <v>24</v>
      </c>
      <c r="R114" s="5" t="s">
        <v>24</v>
      </c>
      <c r="S114" s="5" t="s">
        <v>1852</v>
      </c>
      <c r="T114" s="5" t="s">
        <v>5437</v>
      </c>
      <c r="U114" s="5" t="s">
        <v>5437</v>
      </c>
      <c r="V114" s="5" t="s">
        <v>24</v>
      </c>
      <c r="W114" s="5" t="s">
        <v>24</v>
      </c>
      <c r="X114" s="5" t="s">
        <v>24</v>
      </c>
      <c r="Y114" s="5" t="s">
        <v>5438</v>
      </c>
      <c r="Z114" s="5" t="s">
        <v>5439</v>
      </c>
      <c r="AA114" s="5" t="s">
        <v>5439</v>
      </c>
      <c r="AB114" s="5"/>
    </row>
    <row r="115" ht="15.75" customHeight="1">
      <c r="A115" s="5" t="s">
        <v>5440</v>
      </c>
      <c r="B115" s="5" t="s">
        <v>5441</v>
      </c>
      <c r="C115" s="5" t="s">
        <v>5013</v>
      </c>
      <c r="D115" s="5" t="s">
        <v>24</v>
      </c>
      <c r="E115" s="5" t="s">
        <v>1849</v>
      </c>
      <c r="F115" s="5" t="s">
        <v>4963</v>
      </c>
      <c r="G115" s="5" t="s">
        <v>24</v>
      </c>
      <c r="H115" s="5" t="s">
        <v>24</v>
      </c>
      <c r="I115" s="5" t="s">
        <v>24</v>
      </c>
      <c r="J115" s="5" t="s">
        <v>24</v>
      </c>
      <c r="K115" s="5" t="s">
        <v>24</v>
      </c>
      <c r="L115" s="5" t="s">
        <v>24</v>
      </c>
      <c r="M115" s="5" t="s">
        <v>1885</v>
      </c>
      <c r="N115" s="5" t="s">
        <v>24</v>
      </c>
      <c r="O115" s="5" t="s">
        <v>24</v>
      </c>
      <c r="P115" s="5" t="s">
        <v>24</v>
      </c>
      <c r="Q115" s="5" t="s">
        <v>24</v>
      </c>
      <c r="R115" s="5" t="s">
        <v>24</v>
      </c>
      <c r="S115" s="5" t="s">
        <v>2020</v>
      </c>
      <c r="T115" s="5" t="s">
        <v>2021</v>
      </c>
      <c r="U115" s="5" t="s">
        <v>2021</v>
      </c>
      <c r="V115" s="5" t="s">
        <v>24</v>
      </c>
      <c r="W115" s="5" t="s">
        <v>24</v>
      </c>
      <c r="X115" s="5" t="s">
        <v>24</v>
      </c>
      <c r="Y115" s="5" t="s">
        <v>5442</v>
      </c>
      <c r="Z115" s="5" t="s">
        <v>5443</v>
      </c>
      <c r="AA115" s="5" t="s">
        <v>5443</v>
      </c>
      <c r="AB115" s="5"/>
    </row>
    <row r="116" ht="15.75" customHeight="1">
      <c r="A116" s="5" t="s">
        <v>5444</v>
      </c>
      <c r="B116" s="5" t="s">
        <v>5445</v>
      </c>
      <c r="C116" s="5" t="s">
        <v>106</v>
      </c>
      <c r="D116" s="5" t="s">
        <v>24</v>
      </c>
      <c r="E116" s="5" t="s">
        <v>1849</v>
      </c>
      <c r="F116" s="5" t="s">
        <v>4963</v>
      </c>
      <c r="G116" s="5" t="s">
        <v>24</v>
      </c>
      <c r="H116" s="5" t="s">
        <v>24</v>
      </c>
      <c r="I116" s="5" t="s">
        <v>24</v>
      </c>
      <c r="J116" s="5" t="s">
        <v>24</v>
      </c>
      <c r="K116" s="5" t="s">
        <v>24</v>
      </c>
      <c r="L116" s="5" t="s">
        <v>24</v>
      </c>
      <c r="M116" s="5" t="s">
        <v>24</v>
      </c>
      <c r="N116" s="5" t="s">
        <v>24</v>
      </c>
      <c r="O116" s="5" t="s">
        <v>1851</v>
      </c>
      <c r="P116" s="5" t="s">
        <v>24</v>
      </c>
      <c r="Q116" s="5" t="s">
        <v>24</v>
      </c>
      <c r="R116" s="5" t="s">
        <v>24</v>
      </c>
      <c r="S116" s="5" t="s">
        <v>1852</v>
      </c>
      <c r="T116" s="5" t="s">
        <v>4743</v>
      </c>
      <c r="U116" s="5" t="s">
        <v>4743</v>
      </c>
      <c r="V116" s="5" t="s">
        <v>24</v>
      </c>
      <c r="W116" s="5" t="s">
        <v>24</v>
      </c>
      <c r="X116" s="5" t="s">
        <v>24</v>
      </c>
      <c r="Y116" s="5" t="s">
        <v>5446</v>
      </c>
      <c r="Z116" s="5" t="s">
        <v>5447</v>
      </c>
      <c r="AA116" s="5" t="s">
        <v>5447</v>
      </c>
      <c r="AB116" s="5"/>
    </row>
    <row r="117" ht="15.75" customHeight="1">
      <c r="A117" s="5" t="s">
        <v>5448</v>
      </c>
      <c r="B117" s="5" t="s">
        <v>5449</v>
      </c>
      <c r="C117" s="5" t="s">
        <v>5013</v>
      </c>
      <c r="D117" s="5" t="s">
        <v>24</v>
      </c>
      <c r="E117" s="5" t="s">
        <v>1849</v>
      </c>
      <c r="F117" s="5" t="s">
        <v>4963</v>
      </c>
      <c r="G117" s="5" t="s">
        <v>24</v>
      </c>
      <c r="H117" s="5" t="s">
        <v>24</v>
      </c>
      <c r="I117" s="5" t="s">
        <v>24</v>
      </c>
      <c r="J117" s="5" t="s">
        <v>24</v>
      </c>
      <c r="K117" s="5" t="s">
        <v>24</v>
      </c>
      <c r="L117" s="5" t="s">
        <v>24</v>
      </c>
      <c r="M117" s="5" t="s">
        <v>1885</v>
      </c>
      <c r="N117" s="5" t="s">
        <v>24</v>
      </c>
      <c r="O117" s="5" t="s">
        <v>24</v>
      </c>
      <c r="P117" s="5" t="s">
        <v>24</v>
      </c>
      <c r="Q117" s="5" t="s">
        <v>24</v>
      </c>
      <c r="R117" s="5" t="s">
        <v>24</v>
      </c>
      <c r="S117" s="5" t="s">
        <v>1852</v>
      </c>
      <c r="T117" s="5" t="s">
        <v>1887</v>
      </c>
      <c r="U117" s="5" t="s">
        <v>1887</v>
      </c>
      <c r="V117" s="5" t="s">
        <v>24</v>
      </c>
      <c r="W117" s="5" t="s">
        <v>24</v>
      </c>
      <c r="X117" s="5" t="s">
        <v>24</v>
      </c>
      <c r="Y117" s="5" t="s">
        <v>5450</v>
      </c>
      <c r="Z117" s="5" t="s">
        <v>5451</v>
      </c>
      <c r="AA117" s="5" t="s">
        <v>5451</v>
      </c>
      <c r="AB117" s="5"/>
    </row>
    <row r="118" ht="15.75" customHeight="1">
      <c r="A118" s="5" t="s">
        <v>5452</v>
      </c>
      <c r="B118" s="5" t="s">
        <v>5453</v>
      </c>
      <c r="C118" s="5" t="s">
        <v>2126</v>
      </c>
      <c r="D118" s="5" t="s">
        <v>24</v>
      </c>
      <c r="E118" s="5" t="s">
        <v>1849</v>
      </c>
      <c r="F118" s="5" t="s">
        <v>4963</v>
      </c>
      <c r="G118" s="5" t="s">
        <v>24</v>
      </c>
      <c r="H118" s="5" t="s">
        <v>24</v>
      </c>
      <c r="I118" s="5" t="s">
        <v>24</v>
      </c>
      <c r="J118" s="5" t="s">
        <v>24</v>
      </c>
      <c r="K118" s="5" t="s">
        <v>24</v>
      </c>
      <c r="L118" s="5" t="s">
        <v>24</v>
      </c>
      <c r="M118" s="5" t="s">
        <v>24</v>
      </c>
      <c r="N118" s="5" t="s">
        <v>24</v>
      </c>
      <c r="O118" s="5" t="s">
        <v>1933</v>
      </c>
      <c r="P118" s="5" t="s">
        <v>24</v>
      </c>
      <c r="Q118" s="5" t="s">
        <v>24</v>
      </c>
      <c r="R118" s="5" t="s">
        <v>24</v>
      </c>
      <c r="S118" s="5" t="s">
        <v>1852</v>
      </c>
      <c r="T118" s="5" t="s">
        <v>5454</v>
      </c>
      <c r="U118" s="5" t="s">
        <v>5454</v>
      </c>
      <c r="V118" s="5" t="s">
        <v>24</v>
      </c>
      <c r="W118" s="5" t="s">
        <v>24</v>
      </c>
      <c r="X118" s="5" t="s">
        <v>24</v>
      </c>
      <c r="Y118" s="5" t="s">
        <v>5455</v>
      </c>
      <c r="Z118" s="5" t="s">
        <v>5456</v>
      </c>
      <c r="AA118" s="5" t="s">
        <v>5456</v>
      </c>
      <c r="AB118" s="5"/>
    </row>
    <row r="119" ht="15.75" customHeight="1">
      <c r="A119" s="5" t="s">
        <v>5457</v>
      </c>
      <c r="B119" s="5" t="s">
        <v>5458</v>
      </c>
      <c r="C119" s="5" t="s">
        <v>5415</v>
      </c>
      <c r="D119" s="5" t="s">
        <v>24</v>
      </c>
      <c r="E119" s="5" t="s">
        <v>1849</v>
      </c>
      <c r="F119" s="5" t="s">
        <v>4963</v>
      </c>
      <c r="G119" s="5" t="s">
        <v>24</v>
      </c>
      <c r="H119" s="5" t="s">
        <v>24</v>
      </c>
      <c r="I119" s="5" t="s">
        <v>24</v>
      </c>
      <c r="J119" s="5" t="s">
        <v>24</v>
      </c>
      <c r="K119" s="5" t="s">
        <v>24</v>
      </c>
      <c r="L119" s="5" t="s">
        <v>24</v>
      </c>
      <c r="M119" s="5" t="s">
        <v>1885</v>
      </c>
      <c r="N119" s="5" t="s">
        <v>24</v>
      </c>
      <c r="O119" s="5" t="s">
        <v>3608</v>
      </c>
      <c r="P119" s="5" t="s">
        <v>24</v>
      </c>
      <c r="Q119" s="5" t="s">
        <v>24</v>
      </c>
      <c r="R119" s="5" t="s">
        <v>24</v>
      </c>
      <c r="S119" s="5" t="s">
        <v>1852</v>
      </c>
      <c r="T119" s="5" t="s">
        <v>2363</v>
      </c>
      <c r="U119" s="5" t="s">
        <v>2363</v>
      </c>
      <c r="V119" s="5" t="s">
        <v>24</v>
      </c>
      <c r="W119" s="5" t="s">
        <v>24</v>
      </c>
      <c r="X119" s="5" t="s">
        <v>24</v>
      </c>
      <c r="Y119" s="5" t="s">
        <v>5459</v>
      </c>
      <c r="Z119" s="5" t="s">
        <v>5460</v>
      </c>
      <c r="AA119" s="5" t="s">
        <v>5460</v>
      </c>
      <c r="AB119" s="5"/>
    </row>
    <row r="120" ht="15.75" customHeight="1">
      <c r="A120" s="5" t="s">
        <v>5461</v>
      </c>
      <c r="B120" s="5" t="s">
        <v>5462</v>
      </c>
      <c r="C120" s="5" t="s">
        <v>1915</v>
      </c>
      <c r="D120" s="5" t="s">
        <v>24</v>
      </c>
      <c r="E120" s="5" t="s">
        <v>1849</v>
      </c>
      <c r="F120" s="5" t="s">
        <v>4963</v>
      </c>
      <c r="G120" s="5" t="s">
        <v>24</v>
      </c>
      <c r="H120" s="5" t="s">
        <v>24</v>
      </c>
      <c r="I120" s="5" t="s">
        <v>24</v>
      </c>
      <c r="J120" s="5" t="s">
        <v>24</v>
      </c>
      <c r="K120" s="5" t="s">
        <v>24</v>
      </c>
      <c r="L120" s="5" t="s">
        <v>24</v>
      </c>
      <c r="M120" s="5" t="s">
        <v>24</v>
      </c>
      <c r="N120" s="5" t="s">
        <v>24</v>
      </c>
      <c r="O120" s="5" t="s">
        <v>1851</v>
      </c>
      <c r="P120" s="5" t="s">
        <v>24</v>
      </c>
      <c r="Q120" s="5" t="s">
        <v>24</v>
      </c>
      <c r="R120" s="5" t="s">
        <v>24</v>
      </c>
      <c r="S120" s="5" t="s">
        <v>1852</v>
      </c>
      <c r="T120" s="5" t="s">
        <v>5463</v>
      </c>
      <c r="U120" s="5" t="s">
        <v>5463</v>
      </c>
      <c r="V120" s="5" t="s">
        <v>24</v>
      </c>
      <c r="W120" s="5" t="s">
        <v>24</v>
      </c>
      <c r="X120" s="5" t="s">
        <v>24</v>
      </c>
      <c r="Y120" s="5" t="s">
        <v>5464</v>
      </c>
      <c r="Z120" s="5" t="s">
        <v>5465</v>
      </c>
      <c r="AA120" s="5" t="s">
        <v>5465</v>
      </c>
      <c r="AB120" s="5"/>
    </row>
    <row r="121" ht="15.75" customHeight="1">
      <c r="A121" s="5" t="s">
        <v>5466</v>
      </c>
      <c r="B121" s="5" t="s">
        <v>5467</v>
      </c>
      <c r="C121" s="5" t="s">
        <v>145</v>
      </c>
      <c r="D121" s="5" t="s">
        <v>24</v>
      </c>
      <c r="E121" s="5" t="s">
        <v>1849</v>
      </c>
      <c r="F121" s="5" t="s">
        <v>4963</v>
      </c>
      <c r="G121" s="5" t="s">
        <v>24</v>
      </c>
      <c r="H121" s="5" t="s">
        <v>24</v>
      </c>
      <c r="I121" s="5" t="s">
        <v>24</v>
      </c>
      <c r="J121" s="5" t="s">
        <v>24</v>
      </c>
      <c r="K121" s="5" t="s">
        <v>24</v>
      </c>
      <c r="L121" s="5" t="s">
        <v>24</v>
      </c>
      <c r="M121" s="5" t="s">
        <v>24</v>
      </c>
      <c r="N121" s="5" t="s">
        <v>24</v>
      </c>
      <c r="O121" s="5" t="s">
        <v>1933</v>
      </c>
      <c r="P121" s="5" t="s">
        <v>24</v>
      </c>
      <c r="Q121" s="5" t="s">
        <v>24</v>
      </c>
      <c r="R121" s="5" t="s">
        <v>24</v>
      </c>
      <c r="S121" s="5" t="s">
        <v>2020</v>
      </c>
      <c r="T121" s="5" t="s">
        <v>2021</v>
      </c>
      <c r="U121" s="5" t="s">
        <v>2021</v>
      </c>
      <c r="V121" s="5" t="s">
        <v>24</v>
      </c>
      <c r="W121" s="5" t="s">
        <v>24</v>
      </c>
      <c r="X121" s="5" t="s">
        <v>24</v>
      </c>
      <c r="Y121" s="5" t="s">
        <v>5468</v>
      </c>
      <c r="Z121" s="5" t="s">
        <v>5469</v>
      </c>
      <c r="AA121" s="5" t="s">
        <v>5469</v>
      </c>
      <c r="AB121" s="5"/>
    </row>
    <row r="122" ht="15.75" customHeight="1">
      <c r="A122" s="5" t="s">
        <v>5470</v>
      </c>
      <c r="B122" s="5" t="s">
        <v>5471</v>
      </c>
      <c r="C122" s="5" t="s">
        <v>106</v>
      </c>
      <c r="D122" s="5" t="s">
        <v>24</v>
      </c>
      <c r="E122" s="5" t="s">
        <v>1849</v>
      </c>
      <c r="F122" s="5" t="s">
        <v>4963</v>
      </c>
      <c r="G122" s="5" t="s">
        <v>24</v>
      </c>
      <c r="H122" s="5" t="s">
        <v>24</v>
      </c>
      <c r="I122" s="5" t="s">
        <v>24</v>
      </c>
      <c r="J122" s="5" t="s">
        <v>24</v>
      </c>
      <c r="K122" s="5" t="s">
        <v>24</v>
      </c>
      <c r="L122" s="5" t="s">
        <v>24</v>
      </c>
      <c r="M122" s="5" t="s">
        <v>1885</v>
      </c>
      <c r="N122" s="5" t="s">
        <v>24</v>
      </c>
      <c r="O122" s="5" t="s">
        <v>2085</v>
      </c>
      <c r="P122" s="5" t="s">
        <v>24</v>
      </c>
      <c r="Q122" s="5" t="s">
        <v>24</v>
      </c>
      <c r="R122" s="5" t="s">
        <v>24</v>
      </c>
      <c r="S122" s="5" t="s">
        <v>1852</v>
      </c>
      <c r="T122" s="5" t="s">
        <v>2047</v>
      </c>
      <c r="U122" s="5" t="s">
        <v>2047</v>
      </c>
      <c r="V122" s="5" t="s">
        <v>24</v>
      </c>
      <c r="W122" s="5" t="s">
        <v>24</v>
      </c>
      <c r="X122" s="5" t="s">
        <v>24</v>
      </c>
      <c r="Y122" s="5" t="s">
        <v>5472</v>
      </c>
      <c r="Z122" s="5" t="s">
        <v>5473</v>
      </c>
      <c r="AA122" s="5" t="s">
        <v>5473</v>
      </c>
      <c r="AB122" s="5"/>
    </row>
    <row r="123" ht="15.75" customHeight="1">
      <c r="A123" s="5" t="s">
        <v>5474</v>
      </c>
      <c r="B123" s="5" t="s">
        <v>5475</v>
      </c>
      <c r="C123" s="5" t="s">
        <v>145</v>
      </c>
      <c r="D123" s="5" t="s">
        <v>24</v>
      </c>
      <c r="E123" s="5" t="s">
        <v>1849</v>
      </c>
      <c r="F123" s="5" t="s">
        <v>4963</v>
      </c>
      <c r="G123" s="5" t="s">
        <v>24</v>
      </c>
      <c r="H123" s="5" t="s">
        <v>24</v>
      </c>
      <c r="I123" s="5" t="s">
        <v>24</v>
      </c>
      <c r="J123" s="5" t="s">
        <v>24</v>
      </c>
      <c r="K123" s="5" t="s">
        <v>24</v>
      </c>
      <c r="L123" s="5" t="s">
        <v>24</v>
      </c>
      <c r="M123" s="5" t="s">
        <v>1885</v>
      </c>
      <c r="N123" s="5" t="s">
        <v>24</v>
      </c>
      <c r="O123" s="5" t="s">
        <v>24</v>
      </c>
      <c r="P123" s="5" t="s">
        <v>24</v>
      </c>
      <c r="Q123" s="5" t="s">
        <v>24</v>
      </c>
      <c r="R123" s="5" t="s">
        <v>24</v>
      </c>
      <c r="S123" s="5" t="s">
        <v>2020</v>
      </c>
      <c r="T123" s="5" t="s">
        <v>2021</v>
      </c>
      <c r="U123" s="5" t="s">
        <v>2021</v>
      </c>
      <c r="V123" s="5" t="s">
        <v>24</v>
      </c>
      <c r="W123" s="5" t="s">
        <v>24</v>
      </c>
      <c r="X123" s="5" t="s">
        <v>24</v>
      </c>
      <c r="Y123" s="5" t="s">
        <v>5476</v>
      </c>
      <c r="Z123" s="5" t="s">
        <v>5477</v>
      </c>
      <c r="AA123" s="5" t="s">
        <v>5477</v>
      </c>
      <c r="AB123" s="5"/>
    </row>
    <row r="124" ht="15.75" customHeight="1">
      <c r="A124" s="5" t="s">
        <v>5478</v>
      </c>
      <c r="B124" s="5" t="s">
        <v>5479</v>
      </c>
      <c r="C124" s="5" t="s">
        <v>5138</v>
      </c>
      <c r="D124" s="5" t="s">
        <v>24</v>
      </c>
      <c r="E124" s="5" t="s">
        <v>1849</v>
      </c>
      <c r="F124" s="5" t="s">
        <v>4963</v>
      </c>
      <c r="G124" s="5" t="s">
        <v>24</v>
      </c>
      <c r="H124" s="5" t="s">
        <v>24</v>
      </c>
      <c r="I124" s="5" t="s">
        <v>24</v>
      </c>
      <c r="J124" s="5" t="s">
        <v>24</v>
      </c>
      <c r="K124" s="5" t="s">
        <v>24</v>
      </c>
      <c r="L124" s="5" t="s">
        <v>24</v>
      </c>
      <c r="M124" s="5" t="s">
        <v>1885</v>
      </c>
      <c r="N124" s="5" t="s">
        <v>24</v>
      </c>
      <c r="O124" s="5" t="s">
        <v>24</v>
      </c>
      <c r="P124" s="5" t="s">
        <v>24</v>
      </c>
      <c r="Q124" s="5" t="s">
        <v>24</v>
      </c>
      <c r="R124" s="5" t="s">
        <v>24</v>
      </c>
      <c r="S124" s="5" t="s">
        <v>1852</v>
      </c>
      <c r="T124" s="5" t="s">
        <v>5139</v>
      </c>
      <c r="U124" s="5" t="s">
        <v>5139</v>
      </c>
      <c r="V124" s="5" t="s">
        <v>24</v>
      </c>
      <c r="W124" s="5" t="s">
        <v>24</v>
      </c>
      <c r="X124" s="5" t="s">
        <v>24</v>
      </c>
      <c r="Y124" s="5" t="s">
        <v>5480</v>
      </c>
      <c r="Z124" s="5" t="s">
        <v>5481</v>
      </c>
      <c r="AA124" s="5" t="s">
        <v>5481</v>
      </c>
      <c r="AB124" s="5"/>
    </row>
    <row r="125" ht="15.75" customHeight="1">
      <c r="A125" s="5" t="s">
        <v>5482</v>
      </c>
      <c r="B125" s="5" t="s">
        <v>5483</v>
      </c>
      <c r="C125" s="5" t="s">
        <v>5013</v>
      </c>
      <c r="D125" s="5" t="s">
        <v>24</v>
      </c>
      <c r="E125" s="5" t="s">
        <v>1849</v>
      </c>
      <c r="F125" s="5" t="s">
        <v>4963</v>
      </c>
      <c r="G125" s="5" t="s">
        <v>24</v>
      </c>
      <c r="H125" s="5" t="s">
        <v>24</v>
      </c>
      <c r="I125" s="5" t="s">
        <v>24</v>
      </c>
      <c r="J125" s="5" t="s">
        <v>24</v>
      </c>
      <c r="K125" s="5" t="s">
        <v>24</v>
      </c>
      <c r="L125" s="5" t="s">
        <v>24</v>
      </c>
      <c r="M125" s="5" t="s">
        <v>24</v>
      </c>
      <c r="N125" s="5" t="s">
        <v>24</v>
      </c>
      <c r="O125" s="5" t="s">
        <v>1933</v>
      </c>
      <c r="P125" s="5" t="s">
        <v>24</v>
      </c>
      <c r="Q125" s="5" t="s">
        <v>24</v>
      </c>
      <c r="R125" s="5" t="s">
        <v>24</v>
      </c>
      <c r="S125" s="5" t="s">
        <v>1852</v>
      </c>
      <c r="T125" s="5" t="s">
        <v>5484</v>
      </c>
      <c r="U125" s="5" t="s">
        <v>5484</v>
      </c>
      <c r="V125" s="5" t="s">
        <v>24</v>
      </c>
      <c r="W125" s="5" t="s">
        <v>24</v>
      </c>
      <c r="X125" s="5" t="s">
        <v>24</v>
      </c>
      <c r="Y125" s="5" t="s">
        <v>5485</v>
      </c>
      <c r="Z125" s="5" t="s">
        <v>5486</v>
      </c>
      <c r="AA125" s="5" t="s">
        <v>5486</v>
      </c>
      <c r="AB125" s="5"/>
    </row>
    <row r="126" ht="15.75" customHeight="1">
      <c r="A126" s="5" t="s">
        <v>5487</v>
      </c>
      <c r="B126" s="5" t="s">
        <v>5488</v>
      </c>
      <c r="C126" s="5" t="s">
        <v>5013</v>
      </c>
      <c r="D126" s="5" t="s">
        <v>24</v>
      </c>
      <c r="E126" s="5" t="s">
        <v>1849</v>
      </c>
      <c r="F126" s="5" t="s">
        <v>4963</v>
      </c>
      <c r="G126" s="5" t="s">
        <v>24</v>
      </c>
      <c r="H126" s="5" t="s">
        <v>24</v>
      </c>
      <c r="I126" s="5" t="s">
        <v>24</v>
      </c>
      <c r="J126" s="5" t="s">
        <v>24</v>
      </c>
      <c r="K126" s="5" t="s">
        <v>24</v>
      </c>
      <c r="L126" s="5" t="s">
        <v>24</v>
      </c>
      <c r="M126" s="5" t="s">
        <v>24</v>
      </c>
      <c r="N126" s="5" t="s">
        <v>24</v>
      </c>
      <c r="O126" s="5" t="s">
        <v>1933</v>
      </c>
      <c r="P126" s="5" t="s">
        <v>24</v>
      </c>
      <c r="Q126" s="5" t="s">
        <v>24</v>
      </c>
      <c r="R126" s="5" t="s">
        <v>24</v>
      </c>
      <c r="S126" s="5" t="s">
        <v>1852</v>
      </c>
      <c r="T126" s="5" t="s">
        <v>5489</v>
      </c>
      <c r="U126" s="5" t="s">
        <v>5489</v>
      </c>
      <c r="V126" s="5" t="s">
        <v>24</v>
      </c>
      <c r="W126" s="5" t="s">
        <v>24</v>
      </c>
      <c r="X126" s="5" t="s">
        <v>24</v>
      </c>
      <c r="Y126" s="5" t="s">
        <v>5490</v>
      </c>
      <c r="Z126" s="5" t="s">
        <v>5491</v>
      </c>
      <c r="AA126" s="5" t="s">
        <v>5491</v>
      </c>
      <c r="AB126" s="5"/>
    </row>
    <row r="127" ht="15.75" customHeight="1">
      <c r="A127" s="5" t="s">
        <v>5492</v>
      </c>
      <c r="B127" s="5" t="s">
        <v>5493</v>
      </c>
      <c r="C127" s="5" t="s">
        <v>5013</v>
      </c>
      <c r="D127" s="5" t="s">
        <v>24</v>
      </c>
      <c r="E127" s="5" t="s">
        <v>1849</v>
      </c>
      <c r="F127" s="5" t="s">
        <v>4963</v>
      </c>
      <c r="G127" s="5" t="s">
        <v>24</v>
      </c>
      <c r="H127" s="5" t="s">
        <v>24</v>
      </c>
      <c r="I127" s="5" t="s">
        <v>24</v>
      </c>
      <c r="J127" s="5" t="s">
        <v>24</v>
      </c>
      <c r="K127" s="5" t="s">
        <v>24</v>
      </c>
      <c r="L127" s="5" t="s">
        <v>24</v>
      </c>
      <c r="M127" s="5" t="s">
        <v>24</v>
      </c>
      <c r="N127" s="5" t="s">
        <v>24</v>
      </c>
      <c r="O127" s="5" t="s">
        <v>1851</v>
      </c>
      <c r="P127" s="5" t="s">
        <v>24</v>
      </c>
      <c r="Q127" s="5" t="s">
        <v>24</v>
      </c>
      <c r="R127" s="5" t="s">
        <v>24</v>
      </c>
      <c r="S127" s="5" t="s">
        <v>1852</v>
      </c>
      <c r="T127" s="5" t="s">
        <v>5494</v>
      </c>
      <c r="U127" s="5" t="s">
        <v>5494</v>
      </c>
      <c r="V127" s="5" t="s">
        <v>24</v>
      </c>
      <c r="W127" s="5" t="s">
        <v>24</v>
      </c>
      <c r="X127" s="5" t="s">
        <v>24</v>
      </c>
      <c r="Y127" s="5" t="s">
        <v>5495</v>
      </c>
      <c r="Z127" s="5" t="s">
        <v>5496</v>
      </c>
      <c r="AA127" s="5" t="s">
        <v>5496</v>
      </c>
      <c r="AB127" s="5"/>
    </row>
    <row r="128" ht="15.75" customHeight="1">
      <c r="A128" s="5" t="s">
        <v>5497</v>
      </c>
      <c r="B128" s="5" t="s">
        <v>5498</v>
      </c>
      <c r="C128" s="5" t="s">
        <v>106</v>
      </c>
      <c r="D128" s="5" t="s">
        <v>24</v>
      </c>
      <c r="E128" s="5" t="s">
        <v>1849</v>
      </c>
      <c r="F128" s="5" t="s">
        <v>4963</v>
      </c>
      <c r="G128" s="5" t="s">
        <v>24</v>
      </c>
      <c r="H128" s="5" t="s">
        <v>24</v>
      </c>
      <c r="I128" s="5" t="s">
        <v>24</v>
      </c>
      <c r="J128" s="5" t="s">
        <v>24</v>
      </c>
      <c r="K128" s="5" t="s">
        <v>24</v>
      </c>
      <c r="L128" s="5" t="s">
        <v>24</v>
      </c>
      <c r="M128" s="5" t="s">
        <v>24</v>
      </c>
      <c r="N128" s="5" t="s">
        <v>24</v>
      </c>
      <c r="O128" s="5" t="s">
        <v>1851</v>
      </c>
      <c r="P128" s="5" t="s">
        <v>24</v>
      </c>
      <c r="Q128" s="5" t="s">
        <v>24</v>
      </c>
      <c r="R128" s="5" t="s">
        <v>24</v>
      </c>
      <c r="S128" s="5" t="s">
        <v>1852</v>
      </c>
      <c r="T128" s="5" t="s">
        <v>4743</v>
      </c>
      <c r="U128" s="5" t="s">
        <v>4743</v>
      </c>
      <c r="V128" s="5" t="s">
        <v>24</v>
      </c>
      <c r="W128" s="5" t="s">
        <v>24</v>
      </c>
      <c r="X128" s="5" t="s">
        <v>24</v>
      </c>
      <c r="Y128" s="5" t="s">
        <v>5499</v>
      </c>
      <c r="Z128" s="5" t="s">
        <v>5500</v>
      </c>
      <c r="AA128" s="5" t="s">
        <v>5500</v>
      </c>
      <c r="AB128" s="5"/>
    </row>
    <row r="129" ht="15.75" customHeight="1">
      <c r="A129" s="5" t="s">
        <v>5501</v>
      </c>
      <c r="B129" s="5" t="s">
        <v>5502</v>
      </c>
      <c r="C129" s="5" t="s">
        <v>227</v>
      </c>
      <c r="D129" s="5" t="s">
        <v>24</v>
      </c>
      <c r="E129" s="5" t="s">
        <v>1849</v>
      </c>
      <c r="F129" s="5" t="s">
        <v>4963</v>
      </c>
      <c r="G129" s="5" t="s">
        <v>24</v>
      </c>
      <c r="H129" s="5" t="s">
        <v>24</v>
      </c>
      <c r="I129" s="5" t="s">
        <v>24</v>
      </c>
      <c r="J129" s="5" t="s">
        <v>24</v>
      </c>
      <c r="K129" s="5" t="s">
        <v>24</v>
      </c>
      <c r="L129" s="5" t="s">
        <v>24</v>
      </c>
      <c r="M129" s="5" t="s">
        <v>24</v>
      </c>
      <c r="N129" s="5" t="s">
        <v>24</v>
      </c>
      <c r="O129" s="5" t="s">
        <v>4139</v>
      </c>
      <c r="P129" s="5" t="s">
        <v>24</v>
      </c>
      <c r="Q129" s="5" t="s">
        <v>24</v>
      </c>
      <c r="R129" s="5" t="s">
        <v>24</v>
      </c>
      <c r="S129" s="5" t="s">
        <v>1852</v>
      </c>
      <c r="T129" s="5" t="s">
        <v>5384</v>
      </c>
      <c r="U129" s="5" t="s">
        <v>5384</v>
      </c>
      <c r="V129" s="5" t="s">
        <v>24</v>
      </c>
      <c r="W129" s="5" t="s">
        <v>24</v>
      </c>
      <c r="X129" s="5" t="s">
        <v>24</v>
      </c>
      <c r="Y129" s="5" t="s">
        <v>5503</v>
      </c>
      <c r="Z129" s="5" t="s">
        <v>5504</v>
      </c>
      <c r="AA129" s="5" t="s">
        <v>5504</v>
      </c>
      <c r="AB129" s="5"/>
    </row>
    <row r="130" ht="15.75" customHeight="1">
      <c r="A130" s="5" t="s">
        <v>5505</v>
      </c>
      <c r="B130" s="5" t="s">
        <v>5506</v>
      </c>
      <c r="C130" s="5" t="s">
        <v>145</v>
      </c>
      <c r="D130" s="5" t="s">
        <v>24</v>
      </c>
      <c r="E130" s="5" t="s">
        <v>1849</v>
      </c>
      <c r="F130" s="5" t="s">
        <v>4963</v>
      </c>
      <c r="G130" s="5" t="s">
        <v>24</v>
      </c>
      <c r="H130" s="5" t="s">
        <v>24</v>
      </c>
      <c r="I130" s="5" t="s">
        <v>24</v>
      </c>
      <c r="J130" s="5" t="s">
        <v>24</v>
      </c>
      <c r="K130" s="5" t="s">
        <v>24</v>
      </c>
      <c r="L130" s="5" t="s">
        <v>24</v>
      </c>
      <c r="M130" s="5" t="s">
        <v>24</v>
      </c>
      <c r="N130" s="5" t="s">
        <v>24</v>
      </c>
      <c r="O130" s="5" t="s">
        <v>1933</v>
      </c>
      <c r="P130" s="5" t="s">
        <v>24</v>
      </c>
      <c r="Q130" s="5" t="s">
        <v>24</v>
      </c>
      <c r="R130" s="5" t="s">
        <v>24</v>
      </c>
      <c r="S130" s="5" t="s">
        <v>2020</v>
      </c>
      <c r="T130" s="5" t="s">
        <v>2021</v>
      </c>
      <c r="U130" s="5" t="s">
        <v>2021</v>
      </c>
      <c r="V130" s="5" t="s">
        <v>24</v>
      </c>
      <c r="W130" s="5" t="s">
        <v>24</v>
      </c>
      <c r="X130" s="5" t="s">
        <v>24</v>
      </c>
      <c r="Y130" s="5" t="s">
        <v>5507</v>
      </c>
      <c r="Z130" s="5" t="s">
        <v>5508</v>
      </c>
      <c r="AA130" s="5" t="s">
        <v>5508</v>
      </c>
      <c r="AB130" s="5"/>
    </row>
    <row r="131" ht="15.75" customHeight="1">
      <c r="A131" s="5" t="s">
        <v>5509</v>
      </c>
      <c r="B131" s="5" t="s">
        <v>5510</v>
      </c>
      <c r="C131" s="5" t="s">
        <v>5013</v>
      </c>
      <c r="D131" s="5" t="s">
        <v>24</v>
      </c>
      <c r="E131" s="5" t="s">
        <v>1849</v>
      </c>
      <c r="F131" s="5" t="s">
        <v>4963</v>
      </c>
      <c r="G131" s="5" t="s">
        <v>24</v>
      </c>
      <c r="H131" s="5" t="s">
        <v>24</v>
      </c>
      <c r="I131" s="5" t="s">
        <v>24</v>
      </c>
      <c r="J131" s="5" t="s">
        <v>24</v>
      </c>
      <c r="K131" s="5" t="s">
        <v>24</v>
      </c>
      <c r="L131" s="5" t="s">
        <v>24</v>
      </c>
      <c r="M131" s="5" t="s">
        <v>24</v>
      </c>
      <c r="N131" s="5" t="s">
        <v>24</v>
      </c>
      <c r="O131" s="5" t="s">
        <v>3524</v>
      </c>
      <c r="P131" s="5" t="s">
        <v>24</v>
      </c>
      <c r="Q131" s="5" t="s">
        <v>24</v>
      </c>
      <c r="R131" s="5" t="s">
        <v>24</v>
      </c>
      <c r="S131" s="5" t="s">
        <v>1852</v>
      </c>
      <c r="T131" s="5" t="s">
        <v>5511</v>
      </c>
      <c r="U131" s="5" t="s">
        <v>5511</v>
      </c>
      <c r="V131" s="5" t="s">
        <v>24</v>
      </c>
      <c r="W131" s="5" t="s">
        <v>24</v>
      </c>
      <c r="X131" s="5" t="s">
        <v>24</v>
      </c>
      <c r="Y131" s="5" t="s">
        <v>5512</v>
      </c>
      <c r="Z131" s="5" t="s">
        <v>5513</v>
      </c>
      <c r="AA131" s="5" t="s">
        <v>5513</v>
      </c>
      <c r="AB131" s="5"/>
    </row>
    <row r="132" ht="15.75" customHeight="1">
      <c r="A132" s="5" t="s">
        <v>5514</v>
      </c>
      <c r="B132" s="5" t="s">
        <v>5515</v>
      </c>
      <c r="C132" s="5" t="s">
        <v>5370</v>
      </c>
      <c r="D132" s="5" t="s">
        <v>24</v>
      </c>
      <c r="E132" s="5" t="s">
        <v>1849</v>
      </c>
      <c r="F132" s="5" t="s">
        <v>4963</v>
      </c>
      <c r="G132" s="5" t="s">
        <v>24</v>
      </c>
      <c r="H132" s="5" t="s">
        <v>24</v>
      </c>
      <c r="I132" s="5" t="s">
        <v>24</v>
      </c>
      <c r="J132" s="5" t="s">
        <v>24</v>
      </c>
      <c r="K132" s="5" t="s">
        <v>24</v>
      </c>
      <c r="L132" s="5" t="s">
        <v>24</v>
      </c>
      <c r="M132" s="5" t="s">
        <v>24</v>
      </c>
      <c r="N132" s="5" t="s">
        <v>24</v>
      </c>
      <c r="O132" s="5" t="s">
        <v>1851</v>
      </c>
      <c r="P132" s="5" t="s">
        <v>24</v>
      </c>
      <c r="Q132" s="5" t="s">
        <v>24</v>
      </c>
      <c r="R132" s="5" t="s">
        <v>24</v>
      </c>
      <c r="S132" s="5" t="s">
        <v>1852</v>
      </c>
      <c r="T132" s="5" t="s">
        <v>5516</v>
      </c>
      <c r="U132" s="5" t="s">
        <v>5516</v>
      </c>
      <c r="V132" s="5" t="s">
        <v>24</v>
      </c>
      <c r="W132" s="5" t="s">
        <v>24</v>
      </c>
      <c r="X132" s="5" t="s">
        <v>24</v>
      </c>
      <c r="Y132" s="5" t="s">
        <v>5517</v>
      </c>
      <c r="Z132" s="5" t="s">
        <v>5518</v>
      </c>
      <c r="AA132" s="5" t="s">
        <v>5518</v>
      </c>
      <c r="AB132" s="5"/>
    </row>
    <row r="133" ht="15.75" customHeight="1">
      <c r="A133" s="5" t="s">
        <v>5519</v>
      </c>
      <c r="B133" s="5" t="s">
        <v>5520</v>
      </c>
      <c r="C133" s="5" t="s">
        <v>5138</v>
      </c>
      <c r="D133" s="5" t="s">
        <v>24</v>
      </c>
      <c r="E133" s="5" t="s">
        <v>1849</v>
      </c>
      <c r="F133" s="5" t="s">
        <v>4963</v>
      </c>
      <c r="G133" s="5" t="s">
        <v>24</v>
      </c>
      <c r="H133" s="5" t="s">
        <v>24</v>
      </c>
      <c r="I133" s="5" t="s">
        <v>24</v>
      </c>
      <c r="J133" s="5" t="s">
        <v>24</v>
      </c>
      <c r="K133" s="5" t="s">
        <v>24</v>
      </c>
      <c r="L133" s="5" t="s">
        <v>24</v>
      </c>
      <c r="M133" s="5" t="s">
        <v>24</v>
      </c>
      <c r="N133" s="5" t="s">
        <v>24</v>
      </c>
      <c r="O133" s="5" t="s">
        <v>1933</v>
      </c>
      <c r="P133" s="5" t="s">
        <v>24</v>
      </c>
      <c r="Q133" s="5" t="s">
        <v>24</v>
      </c>
      <c r="R133" s="5" t="s">
        <v>24</v>
      </c>
      <c r="S133" s="5" t="s">
        <v>2020</v>
      </c>
      <c r="T133" s="5" t="s">
        <v>2021</v>
      </c>
      <c r="U133" s="5" t="s">
        <v>2021</v>
      </c>
      <c r="V133" s="5" t="s">
        <v>24</v>
      </c>
      <c r="W133" s="5" t="s">
        <v>24</v>
      </c>
      <c r="X133" s="5" t="s">
        <v>24</v>
      </c>
      <c r="Y133" s="5" t="s">
        <v>5521</v>
      </c>
      <c r="Z133" s="5" t="s">
        <v>5522</v>
      </c>
      <c r="AA133" s="5" t="s">
        <v>5522</v>
      </c>
      <c r="AB133" s="5"/>
    </row>
    <row r="134" ht="15.75" customHeight="1">
      <c r="A134" s="5" t="s">
        <v>5523</v>
      </c>
      <c r="B134" s="5" t="s">
        <v>5524</v>
      </c>
      <c r="C134" s="5" t="s">
        <v>5013</v>
      </c>
      <c r="D134" s="5" t="s">
        <v>24</v>
      </c>
      <c r="E134" s="5" t="s">
        <v>1849</v>
      </c>
      <c r="F134" s="5" t="s">
        <v>4963</v>
      </c>
      <c r="G134" s="5" t="s">
        <v>24</v>
      </c>
      <c r="H134" s="5" t="s">
        <v>24</v>
      </c>
      <c r="I134" s="5" t="s">
        <v>24</v>
      </c>
      <c r="J134" s="5" t="s">
        <v>24</v>
      </c>
      <c r="K134" s="5" t="s">
        <v>24</v>
      </c>
      <c r="L134" s="5" t="s">
        <v>24</v>
      </c>
      <c r="M134" s="5" t="s">
        <v>24</v>
      </c>
      <c r="N134" s="5" t="s">
        <v>24</v>
      </c>
      <c r="O134" s="5" t="s">
        <v>1851</v>
      </c>
      <c r="P134" s="5" t="s">
        <v>24</v>
      </c>
      <c r="Q134" s="5" t="s">
        <v>24</v>
      </c>
      <c r="R134" s="5" t="s">
        <v>24</v>
      </c>
      <c r="S134" s="5" t="s">
        <v>1852</v>
      </c>
      <c r="T134" s="5" t="s">
        <v>5525</v>
      </c>
      <c r="U134" s="5" t="s">
        <v>5525</v>
      </c>
      <c r="V134" s="5" t="s">
        <v>24</v>
      </c>
      <c r="W134" s="5" t="s">
        <v>24</v>
      </c>
      <c r="X134" s="5" t="s">
        <v>24</v>
      </c>
      <c r="Y134" s="5" t="s">
        <v>5526</v>
      </c>
      <c r="Z134" s="5" t="s">
        <v>5527</v>
      </c>
      <c r="AA134" s="5" t="s">
        <v>5527</v>
      </c>
      <c r="AB134" s="5"/>
    </row>
    <row r="135" ht="15.75" customHeight="1">
      <c r="A135" s="5" t="s">
        <v>5528</v>
      </c>
      <c r="B135" s="5" t="s">
        <v>5529</v>
      </c>
      <c r="C135" s="5" t="s">
        <v>145</v>
      </c>
      <c r="D135" s="5" t="s">
        <v>24</v>
      </c>
      <c r="E135" s="5" t="s">
        <v>1849</v>
      </c>
      <c r="F135" s="5" t="s">
        <v>4963</v>
      </c>
      <c r="G135" s="5" t="s">
        <v>24</v>
      </c>
      <c r="H135" s="5" t="s">
        <v>24</v>
      </c>
      <c r="I135" s="5" t="s">
        <v>24</v>
      </c>
      <c r="J135" s="5" t="s">
        <v>24</v>
      </c>
      <c r="K135" s="5" t="s">
        <v>24</v>
      </c>
      <c r="L135" s="5" t="s">
        <v>24</v>
      </c>
      <c r="M135" s="5" t="s">
        <v>24</v>
      </c>
      <c r="N135" s="5" t="s">
        <v>24</v>
      </c>
      <c r="O135" s="5" t="s">
        <v>1933</v>
      </c>
      <c r="P135" s="5" t="s">
        <v>24</v>
      </c>
      <c r="Q135" s="5" t="s">
        <v>24</v>
      </c>
      <c r="R135" s="5" t="s">
        <v>24</v>
      </c>
      <c r="S135" s="5" t="s">
        <v>2020</v>
      </c>
      <c r="T135" s="5" t="s">
        <v>2021</v>
      </c>
      <c r="U135" s="5" t="s">
        <v>2021</v>
      </c>
      <c r="V135" s="5" t="s">
        <v>24</v>
      </c>
      <c r="W135" s="5" t="s">
        <v>24</v>
      </c>
      <c r="X135" s="5" t="s">
        <v>24</v>
      </c>
      <c r="Y135" s="5" t="s">
        <v>5530</v>
      </c>
      <c r="Z135" s="5" t="s">
        <v>5531</v>
      </c>
      <c r="AA135" s="5" t="s">
        <v>5531</v>
      </c>
      <c r="AB135" s="5"/>
    </row>
    <row r="136" ht="15.75" customHeight="1">
      <c r="A136" s="5" t="s">
        <v>5532</v>
      </c>
      <c r="B136" s="5" t="s">
        <v>5533</v>
      </c>
      <c r="C136" s="5" t="s">
        <v>5138</v>
      </c>
      <c r="D136" s="5" t="s">
        <v>24</v>
      </c>
      <c r="E136" s="5" t="s">
        <v>1849</v>
      </c>
      <c r="F136" s="5" t="s">
        <v>4963</v>
      </c>
      <c r="G136" s="5" t="s">
        <v>24</v>
      </c>
      <c r="H136" s="5" t="s">
        <v>24</v>
      </c>
      <c r="I136" s="5" t="s">
        <v>24</v>
      </c>
      <c r="J136" s="5" t="s">
        <v>24</v>
      </c>
      <c r="K136" s="5" t="s">
        <v>24</v>
      </c>
      <c r="L136" s="5" t="s">
        <v>24</v>
      </c>
      <c r="M136" s="5" t="s">
        <v>24</v>
      </c>
      <c r="N136" s="5" t="s">
        <v>24</v>
      </c>
      <c r="O136" s="5" t="s">
        <v>1933</v>
      </c>
      <c r="P136" s="5" t="s">
        <v>24</v>
      </c>
      <c r="Q136" s="5" t="s">
        <v>24</v>
      </c>
      <c r="R136" s="5" t="s">
        <v>24</v>
      </c>
      <c r="S136" s="5" t="s">
        <v>1852</v>
      </c>
      <c r="T136" s="5" t="s">
        <v>5534</v>
      </c>
      <c r="U136" s="5" t="s">
        <v>5534</v>
      </c>
      <c r="V136" s="5" t="s">
        <v>24</v>
      </c>
      <c r="W136" s="5" t="s">
        <v>24</v>
      </c>
      <c r="X136" s="5" t="s">
        <v>24</v>
      </c>
      <c r="Y136" s="5" t="s">
        <v>5535</v>
      </c>
      <c r="Z136" s="5" t="s">
        <v>5536</v>
      </c>
      <c r="AA136" s="5" t="s">
        <v>5536</v>
      </c>
      <c r="AB136" s="5"/>
    </row>
    <row r="137" ht="15.75" customHeight="1">
      <c r="A137" s="5" t="s">
        <v>5537</v>
      </c>
      <c r="B137" s="5" t="s">
        <v>5538</v>
      </c>
      <c r="C137" s="5" t="s">
        <v>1915</v>
      </c>
      <c r="D137" s="5" t="s">
        <v>24</v>
      </c>
      <c r="E137" s="5" t="s">
        <v>1849</v>
      </c>
      <c r="F137" s="5" t="s">
        <v>4963</v>
      </c>
      <c r="G137" s="5" t="s">
        <v>24</v>
      </c>
      <c r="H137" s="5" t="s">
        <v>24</v>
      </c>
      <c r="I137" s="5" t="s">
        <v>24</v>
      </c>
      <c r="J137" s="5" t="s">
        <v>24</v>
      </c>
      <c r="K137" s="5" t="s">
        <v>24</v>
      </c>
      <c r="L137" s="5" t="s">
        <v>24</v>
      </c>
      <c r="M137" s="5" t="s">
        <v>24</v>
      </c>
      <c r="N137" s="5" t="s">
        <v>24</v>
      </c>
      <c r="O137" s="5" t="s">
        <v>1933</v>
      </c>
      <c r="P137" s="5" t="s">
        <v>24</v>
      </c>
      <c r="Q137" s="5" t="s">
        <v>24</v>
      </c>
      <c r="R137" s="5" t="s">
        <v>24</v>
      </c>
      <c r="S137" s="5" t="s">
        <v>1852</v>
      </c>
      <c r="T137" s="5" t="s">
        <v>1887</v>
      </c>
      <c r="U137" s="5" t="s">
        <v>1887</v>
      </c>
      <c r="V137" s="5" t="s">
        <v>24</v>
      </c>
      <c r="W137" s="5" t="s">
        <v>24</v>
      </c>
      <c r="X137" s="5" t="s">
        <v>24</v>
      </c>
      <c r="Y137" s="5" t="s">
        <v>5539</v>
      </c>
      <c r="Z137" s="5" t="s">
        <v>5540</v>
      </c>
      <c r="AA137" s="5" t="s">
        <v>5540</v>
      </c>
      <c r="AB137" s="5"/>
    </row>
    <row r="138" ht="15.75" customHeight="1">
      <c r="A138" s="5" t="s">
        <v>5541</v>
      </c>
      <c r="B138" s="5" t="s">
        <v>5542</v>
      </c>
      <c r="C138" s="5" t="s">
        <v>5288</v>
      </c>
      <c r="D138" s="5" t="s">
        <v>24</v>
      </c>
      <c r="E138" s="5" t="s">
        <v>1849</v>
      </c>
      <c r="F138" s="5" t="s">
        <v>4963</v>
      </c>
      <c r="G138" s="5" t="s">
        <v>24</v>
      </c>
      <c r="H138" s="5" t="s">
        <v>24</v>
      </c>
      <c r="I138" s="5" t="s">
        <v>24</v>
      </c>
      <c r="J138" s="5" t="s">
        <v>24</v>
      </c>
      <c r="K138" s="5" t="s">
        <v>24</v>
      </c>
      <c r="L138" s="5" t="s">
        <v>24</v>
      </c>
      <c r="M138" s="5" t="s">
        <v>24</v>
      </c>
      <c r="N138" s="5" t="s">
        <v>24</v>
      </c>
      <c r="O138" s="5" t="s">
        <v>1917</v>
      </c>
      <c r="P138" s="5" t="s">
        <v>24</v>
      </c>
      <c r="Q138" s="5" t="s">
        <v>24</v>
      </c>
      <c r="R138" s="5" t="s">
        <v>24</v>
      </c>
      <c r="S138" s="5" t="s">
        <v>1852</v>
      </c>
      <c r="T138" s="5" t="s">
        <v>5543</v>
      </c>
      <c r="U138" s="5" t="s">
        <v>5543</v>
      </c>
      <c r="V138" s="5" t="s">
        <v>24</v>
      </c>
      <c r="W138" s="5" t="s">
        <v>24</v>
      </c>
      <c r="X138" s="5" t="s">
        <v>24</v>
      </c>
      <c r="Y138" s="5" t="s">
        <v>5544</v>
      </c>
      <c r="Z138" s="5" t="s">
        <v>5545</v>
      </c>
      <c r="AA138" s="5" t="s">
        <v>5545</v>
      </c>
      <c r="AB138" s="5"/>
    </row>
    <row r="139" ht="15.75" customHeight="1">
      <c r="A139" s="5" t="s">
        <v>5546</v>
      </c>
      <c r="B139" s="5" t="s">
        <v>5547</v>
      </c>
      <c r="C139" s="5" t="s">
        <v>106</v>
      </c>
      <c r="D139" s="5" t="s">
        <v>24</v>
      </c>
      <c r="E139" s="5" t="s">
        <v>1849</v>
      </c>
      <c r="F139" s="5" t="s">
        <v>4963</v>
      </c>
      <c r="G139" s="5" t="s">
        <v>24</v>
      </c>
      <c r="H139" s="5" t="s">
        <v>24</v>
      </c>
      <c r="I139" s="5" t="s">
        <v>24</v>
      </c>
      <c r="J139" s="5" t="s">
        <v>24</v>
      </c>
      <c r="K139" s="5" t="s">
        <v>24</v>
      </c>
      <c r="L139" s="5" t="s">
        <v>24</v>
      </c>
      <c r="M139" s="5" t="s">
        <v>24</v>
      </c>
      <c r="N139" s="5" t="s">
        <v>24</v>
      </c>
      <c r="O139" s="5" t="s">
        <v>1851</v>
      </c>
      <c r="P139" s="5" t="s">
        <v>24</v>
      </c>
      <c r="Q139" s="5" t="s">
        <v>24</v>
      </c>
      <c r="R139" s="5" t="s">
        <v>24</v>
      </c>
      <c r="S139" s="5" t="s">
        <v>2020</v>
      </c>
      <c r="T139" s="5" t="s">
        <v>2021</v>
      </c>
      <c r="U139" s="5" t="s">
        <v>2021</v>
      </c>
      <c r="V139" s="5" t="s">
        <v>24</v>
      </c>
      <c r="W139" s="5" t="s">
        <v>24</v>
      </c>
      <c r="X139" s="5" t="s">
        <v>24</v>
      </c>
      <c r="Y139" s="5" t="s">
        <v>5548</v>
      </c>
      <c r="Z139" s="5" t="s">
        <v>5549</v>
      </c>
      <c r="AA139" s="5" t="s">
        <v>5549</v>
      </c>
      <c r="AB139" s="5"/>
    </row>
    <row r="140" ht="15.75" customHeight="1">
      <c r="A140" s="5" t="s">
        <v>5550</v>
      </c>
      <c r="B140" s="5" t="s">
        <v>5551</v>
      </c>
      <c r="C140" s="5" t="s">
        <v>1915</v>
      </c>
      <c r="D140" s="5" t="s">
        <v>24</v>
      </c>
      <c r="E140" s="5" t="s">
        <v>1849</v>
      </c>
      <c r="F140" s="5" t="s">
        <v>4963</v>
      </c>
      <c r="G140" s="5" t="s">
        <v>24</v>
      </c>
      <c r="H140" s="5" t="s">
        <v>24</v>
      </c>
      <c r="I140" s="5" t="s">
        <v>24</v>
      </c>
      <c r="J140" s="5" t="s">
        <v>24</v>
      </c>
      <c r="K140" s="5" t="s">
        <v>24</v>
      </c>
      <c r="L140" s="5" t="s">
        <v>24</v>
      </c>
      <c r="M140" s="5" t="s">
        <v>1885</v>
      </c>
      <c r="N140" s="5" t="s">
        <v>24</v>
      </c>
      <c r="O140" s="5" t="s">
        <v>24</v>
      </c>
      <c r="P140" s="5" t="s">
        <v>24</v>
      </c>
      <c r="Q140" s="5" t="s">
        <v>24</v>
      </c>
      <c r="R140" s="5" t="s">
        <v>24</v>
      </c>
      <c r="S140" s="5" t="s">
        <v>1852</v>
      </c>
      <c r="T140" s="5" t="s">
        <v>3403</v>
      </c>
      <c r="U140" s="5" t="s">
        <v>3403</v>
      </c>
      <c r="V140" s="5" t="s">
        <v>24</v>
      </c>
      <c r="W140" s="5" t="s">
        <v>24</v>
      </c>
      <c r="X140" s="5" t="s">
        <v>24</v>
      </c>
      <c r="Y140" s="5" t="s">
        <v>5552</v>
      </c>
      <c r="Z140" s="5" t="s">
        <v>5553</v>
      </c>
      <c r="AA140" s="5" t="s">
        <v>5553</v>
      </c>
      <c r="AB140" s="5"/>
    </row>
    <row r="141" ht="15.75" customHeight="1">
      <c r="A141" s="5" t="s">
        <v>5554</v>
      </c>
      <c r="B141" s="5" t="s">
        <v>5555</v>
      </c>
      <c r="C141" s="5" t="s">
        <v>1915</v>
      </c>
      <c r="D141" s="5" t="s">
        <v>24</v>
      </c>
      <c r="E141" s="5" t="s">
        <v>1849</v>
      </c>
      <c r="F141" s="5" t="s">
        <v>4963</v>
      </c>
      <c r="G141" s="5" t="s">
        <v>24</v>
      </c>
      <c r="H141" s="5" t="s">
        <v>24</v>
      </c>
      <c r="I141" s="5" t="s">
        <v>24</v>
      </c>
      <c r="J141" s="5" t="s">
        <v>24</v>
      </c>
      <c r="K141" s="5" t="s">
        <v>24</v>
      </c>
      <c r="L141" s="5" t="s">
        <v>24</v>
      </c>
      <c r="M141" s="5" t="s">
        <v>1885</v>
      </c>
      <c r="N141" s="5" t="s">
        <v>24</v>
      </c>
      <c r="O141" s="5" t="s">
        <v>24</v>
      </c>
      <c r="P141" s="5" t="s">
        <v>24</v>
      </c>
      <c r="Q141" s="5" t="s">
        <v>24</v>
      </c>
      <c r="R141" s="5" t="s">
        <v>24</v>
      </c>
      <c r="S141" s="5" t="s">
        <v>1852</v>
      </c>
      <c r="T141" s="5" t="s">
        <v>3403</v>
      </c>
      <c r="U141" s="5" t="s">
        <v>3403</v>
      </c>
      <c r="V141" s="5" t="s">
        <v>24</v>
      </c>
      <c r="W141" s="5" t="s">
        <v>24</v>
      </c>
      <c r="X141" s="5" t="s">
        <v>24</v>
      </c>
      <c r="Y141" s="5" t="s">
        <v>5556</v>
      </c>
      <c r="Z141" s="5" t="s">
        <v>5557</v>
      </c>
      <c r="AA141" s="5" t="s">
        <v>5557</v>
      </c>
      <c r="AB141" s="5"/>
    </row>
    <row r="142" ht="15.75" customHeight="1">
      <c r="A142" s="5" t="s">
        <v>5558</v>
      </c>
      <c r="B142" s="5" t="s">
        <v>5559</v>
      </c>
      <c r="C142" s="5" t="s">
        <v>139</v>
      </c>
      <c r="D142" s="5" t="s">
        <v>24</v>
      </c>
      <c r="E142" s="5" t="s">
        <v>1849</v>
      </c>
      <c r="F142" s="5" t="s">
        <v>4963</v>
      </c>
      <c r="G142" s="5" t="s">
        <v>24</v>
      </c>
      <c r="H142" s="5" t="s">
        <v>24</v>
      </c>
      <c r="I142" s="5" t="s">
        <v>24</v>
      </c>
      <c r="J142" s="5" t="s">
        <v>24</v>
      </c>
      <c r="K142" s="5" t="s">
        <v>24</v>
      </c>
      <c r="L142" s="5" t="s">
        <v>24</v>
      </c>
      <c r="M142" s="5" t="s">
        <v>24</v>
      </c>
      <c r="N142" s="5" t="s">
        <v>24</v>
      </c>
      <c r="O142" s="5" t="s">
        <v>24</v>
      </c>
      <c r="P142" s="5" t="s">
        <v>24</v>
      </c>
      <c r="Q142" s="5" t="s">
        <v>24</v>
      </c>
      <c r="R142" s="5" t="s">
        <v>24</v>
      </c>
      <c r="S142" s="5" t="s">
        <v>2020</v>
      </c>
      <c r="T142" s="5" t="s">
        <v>2021</v>
      </c>
      <c r="U142" s="5" t="s">
        <v>2021</v>
      </c>
      <c r="V142" s="5" t="s">
        <v>24</v>
      </c>
      <c r="W142" s="5" t="s">
        <v>24</v>
      </c>
      <c r="X142" s="5" t="s">
        <v>24</v>
      </c>
      <c r="Y142" s="5" t="s">
        <v>5560</v>
      </c>
      <c r="Z142" s="5" t="s">
        <v>5561</v>
      </c>
      <c r="AA142" s="5" t="s">
        <v>5561</v>
      </c>
      <c r="AB142" s="5"/>
    </row>
    <row r="143" ht="15.75" customHeight="1">
      <c r="A143" s="5" t="s">
        <v>5562</v>
      </c>
      <c r="B143" s="5" t="s">
        <v>5563</v>
      </c>
      <c r="C143" s="5" t="s">
        <v>2126</v>
      </c>
      <c r="D143" s="5" t="s">
        <v>24</v>
      </c>
      <c r="E143" s="5" t="s">
        <v>1849</v>
      </c>
      <c r="F143" s="5" t="s">
        <v>4963</v>
      </c>
      <c r="G143" s="5" t="s">
        <v>24</v>
      </c>
      <c r="H143" s="5" t="s">
        <v>24</v>
      </c>
      <c r="I143" s="5" t="s">
        <v>24</v>
      </c>
      <c r="J143" s="5" t="s">
        <v>24</v>
      </c>
      <c r="K143" s="5" t="s">
        <v>24</v>
      </c>
      <c r="L143" s="5" t="s">
        <v>24</v>
      </c>
      <c r="M143" s="5" t="s">
        <v>24</v>
      </c>
      <c r="N143" s="5" t="s">
        <v>24</v>
      </c>
      <c r="O143" s="5" t="s">
        <v>1933</v>
      </c>
      <c r="P143" s="5" t="s">
        <v>24</v>
      </c>
      <c r="Q143" s="5" t="s">
        <v>24</v>
      </c>
      <c r="R143" s="5" t="s">
        <v>24</v>
      </c>
      <c r="S143" s="5" t="s">
        <v>1852</v>
      </c>
      <c r="T143" s="5" t="s">
        <v>5424</v>
      </c>
      <c r="U143" s="5" t="s">
        <v>5424</v>
      </c>
      <c r="V143" s="5" t="s">
        <v>24</v>
      </c>
      <c r="W143" s="5" t="s">
        <v>24</v>
      </c>
      <c r="X143" s="5" t="s">
        <v>24</v>
      </c>
      <c r="Y143" s="5" t="s">
        <v>5564</v>
      </c>
      <c r="Z143" s="5" t="s">
        <v>5565</v>
      </c>
      <c r="AA143" s="5" t="s">
        <v>5565</v>
      </c>
      <c r="AB143" s="5"/>
    </row>
    <row r="144" ht="15.75" customHeight="1">
      <c r="A144" s="5" t="s">
        <v>5566</v>
      </c>
      <c r="B144" s="5" t="s">
        <v>5567</v>
      </c>
      <c r="C144" s="5" t="s">
        <v>145</v>
      </c>
      <c r="D144" s="5" t="s">
        <v>24</v>
      </c>
      <c r="E144" s="5" t="s">
        <v>1849</v>
      </c>
      <c r="F144" s="5" t="s">
        <v>4963</v>
      </c>
      <c r="G144" s="5" t="s">
        <v>24</v>
      </c>
      <c r="H144" s="5" t="s">
        <v>24</v>
      </c>
      <c r="I144" s="5" t="s">
        <v>24</v>
      </c>
      <c r="J144" s="5" t="s">
        <v>24</v>
      </c>
      <c r="K144" s="5" t="s">
        <v>24</v>
      </c>
      <c r="L144" s="5" t="s">
        <v>24</v>
      </c>
      <c r="M144" s="5" t="s">
        <v>1885</v>
      </c>
      <c r="N144" s="5" t="s">
        <v>24</v>
      </c>
      <c r="O144" s="5" t="s">
        <v>24</v>
      </c>
      <c r="P144" s="5" t="s">
        <v>24</v>
      </c>
      <c r="Q144" s="5" t="s">
        <v>24</v>
      </c>
      <c r="R144" s="5" t="s">
        <v>24</v>
      </c>
      <c r="S144" s="5" t="s">
        <v>2020</v>
      </c>
      <c r="T144" s="5" t="s">
        <v>2021</v>
      </c>
      <c r="U144" s="5" t="s">
        <v>2021</v>
      </c>
      <c r="V144" s="5" t="s">
        <v>24</v>
      </c>
      <c r="W144" s="5" t="s">
        <v>24</v>
      </c>
      <c r="X144" s="5" t="s">
        <v>24</v>
      </c>
      <c r="Y144" s="5" t="s">
        <v>5568</v>
      </c>
      <c r="Z144" s="5" t="s">
        <v>5569</v>
      </c>
      <c r="AA144" s="5" t="s">
        <v>5569</v>
      </c>
      <c r="AB144" s="5"/>
    </row>
    <row r="145" ht="15.75" customHeight="1">
      <c r="A145" s="5" t="s">
        <v>5570</v>
      </c>
      <c r="B145" s="5" t="s">
        <v>5571</v>
      </c>
      <c r="C145" s="5" t="s">
        <v>294</v>
      </c>
      <c r="D145" s="5" t="s">
        <v>24</v>
      </c>
      <c r="E145" s="5" t="s">
        <v>1849</v>
      </c>
      <c r="F145" s="5" t="s">
        <v>4963</v>
      </c>
      <c r="G145" s="5" t="s">
        <v>24</v>
      </c>
      <c r="H145" s="5" t="s">
        <v>24</v>
      </c>
      <c r="I145" s="5" t="s">
        <v>24</v>
      </c>
      <c r="J145" s="5" t="s">
        <v>24</v>
      </c>
      <c r="K145" s="5" t="s">
        <v>24</v>
      </c>
      <c r="L145" s="5" t="s">
        <v>24</v>
      </c>
      <c r="M145" s="5" t="s">
        <v>24</v>
      </c>
      <c r="N145" s="5" t="s">
        <v>24</v>
      </c>
      <c r="O145" s="5" t="s">
        <v>4089</v>
      </c>
      <c r="P145" s="5" t="s">
        <v>24</v>
      </c>
      <c r="Q145" s="5" t="s">
        <v>24</v>
      </c>
      <c r="R145" s="5" t="s">
        <v>24</v>
      </c>
      <c r="S145" s="5" t="s">
        <v>1852</v>
      </c>
      <c r="T145" s="5" t="s">
        <v>5271</v>
      </c>
      <c r="U145" s="5" t="s">
        <v>5271</v>
      </c>
      <c r="V145" s="5" t="s">
        <v>24</v>
      </c>
      <c r="W145" s="5" t="s">
        <v>24</v>
      </c>
      <c r="X145" s="5" t="s">
        <v>24</v>
      </c>
      <c r="Y145" s="5" t="s">
        <v>5572</v>
      </c>
      <c r="Z145" s="5" t="s">
        <v>5573</v>
      </c>
      <c r="AA145" s="5" t="s">
        <v>5573</v>
      </c>
      <c r="AB145" s="5"/>
    </row>
    <row r="146" ht="15.75" customHeight="1">
      <c r="A146" s="5" t="s">
        <v>5574</v>
      </c>
      <c r="B146" s="5" t="s">
        <v>5575</v>
      </c>
      <c r="C146" s="5" t="s">
        <v>5013</v>
      </c>
      <c r="D146" s="5" t="s">
        <v>24</v>
      </c>
      <c r="E146" s="5" t="s">
        <v>1849</v>
      </c>
      <c r="F146" s="5" t="s">
        <v>4963</v>
      </c>
      <c r="G146" s="5" t="s">
        <v>24</v>
      </c>
      <c r="H146" s="5" t="s">
        <v>24</v>
      </c>
      <c r="I146" s="5" t="s">
        <v>24</v>
      </c>
      <c r="J146" s="5" t="s">
        <v>24</v>
      </c>
      <c r="K146" s="5" t="s">
        <v>24</v>
      </c>
      <c r="L146" s="5" t="s">
        <v>24</v>
      </c>
      <c r="M146" s="5" t="s">
        <v>1885</v>
      </c>
      <c r="N146" s="5" t="s">
        <v>24</v>
      </c>
      <c r="O146" s="5" t="s">
        <v>24</v>
      </c>
      <c r="P146" s="5" t="s">
        <v>24</v>
      </c>
      <c r="Q146" s="5" t="s">
        <v>24</v>
      </c>
      <c r="R146" s="5" t="s">
        <v>24</v>
      </c>
      <c r="S146" s="5" t="s">
        <v>1852</v>
      </c>
      <c r="T146" s="5" t="s">
        <v>2271</v>
      </c>
      <c r="U146" s="5" t="s">
        <v>2271</v>
      </c>
      <c r="V146" s="5" t="s">
        <v>24</v>
      </c>
      <c r="W146" s="5" t="s">
        <v>24</v>
      </c>
      <c r="X146" s="5" t="s">
        <v>24</v>
      </c>
      <c r="Y146" s="5" t="s">
        <v>5576</v>
      </c>
      <c r="Z146" s="5" t="s">
        <v>5577</v>
      </c>
      <c r="AA146" s="5" t="s">
        <v>5577</v>
      </c>
      <c r="AB146" s="5"/>
    </row>
    <row r="147" ht="15.75" customHeight="1">
      <c r="A147" s="5" t="s">
        <v>5578</v>
      </c>
      <c r="B147" s="5" t="s">
        <v>5579</v>
      </c>
      <c r="C147" s="5" t="s">
        <v>227</v>
      </c>
      <c r="D147" s="5" t="s">
        <v>24</v>
      </c>
      <c r="E147" s="5" t="s">
        <v>1849</v>
      </c>
      <c r="F147" s="5" t="s">
        <v>4963</v>
      </c>
      <c r="G147" s="5" t="s">
        <v>24</v>
      </c>
      <c r="H147" s="5" t="s">
        <v>24</v>
      </c>
      <c r="I147" s="5" t="s">
        <v>24</v>
      </c>
      <c r="J147" s="5" t="s">
        <v>24</v>
      </c>
      <c r="K147" s="5" t="s">
        <v>24</v>
      </c>
      <c r="L147" s="5" t="s">
        <v>24</v>
      </c>
      <c r="M147" s="5" t="s">
        <v>24</v>
      </c>
      <c r="N147" s="5" t="s">
        <v>24</v>
      </c>
      <c r="O147" s="5" t="s">
        <v>1917</v>
      </c>
      <c r="P147" s="5" t="s">
        <v>24</v>
      </c>
      <c r="Q147" s="5" t="s">
        <v>24</v>
      </c>
      <c r="R147" s="5" t="s">
        <v>24</v>
      </c>
      <c r="S147" s="5" t="s">
        <v>1852</v>
      </c>
      <c r="T147" s="5" t="s">
        <v>2047</v>
      </c>
      <c r="U147" s="5" t="s">
        <v>2047</v>
      </c>
      <c r="V147" s="5" t="s">
        <v>24</v>
      </c>
      <c r="W147" s="5" t="s">
        <v>24</v>
      </c>
      <c r="X147" s="5" t="s">
        <v>24</v>
      </c>
      <c r="Y147" s="5" t="s">
        <v>5580</v>
      </c>
      <c r="Z147" s="5" t="s">
        <v>5581</v>
      </c>
      <c r="AA147" s="5" t="s">
        <v>5581</v>
      </c>
      <c r="AB147" s="5"/>
    </row>
    <row r="148" ht="15.75" customHeight="1">
      <c r="A148" s="5" t="s">
        <v>5582</v>
      </c>
      <c r="B148" s="5" t="s">
        <v>5583</v>
      </c>
      <c r="C148" s="5" t="s">
        <v>139</v>
      </c>
      <c r="D148" s="5" t="s">
        <v>24</v>
      </c>
      <c r="E148" s="5" t="s">
        <v>1849</v>
      </c>
      <c r="F148" s="5" t="s">
        <v>4963</v>
      </c>
      <c r="G148" s="5" t="s">
        <v>24</v>
      </c>
      <c r="H148" s="5" t="s">
        <v>24</v>
      </c>
      <c r="I148" s="5" t="s">
        <v>24</v>
      </c>
      <c r="J148" s="5" t="s">
        <v>24</v>
      </c>
      <c r="K148" s="5" t="s">
        <v>24</v>
      </c>
      <c r="L148" s="5" t="s">
        <v>24</v>
      </c>
      <c r="M148" s="5" t="s">
        <v>24</v>
      </c>
      <c r="N148" s="5" t="s">
        <v>24</v>
      </c>
      <c r="O148" s="5" t="s">
        <v>1933</v>
      </c>
      <c r="P148" s="5" t="s">
        <v>24</v>
      </c>
      <c r="Q148" s="5" t="s">
        <v>24</v>
      </c>
      <c r="R148" s="5" t="s">
        <v>24</v>
      </c>
      <c r="S148" s="5" t="s">
        <v>1852</v>
      </c>
      <c r="T148" s="5" t="s">
        <v>5584</v>
      </c>
      <c r="U148" s="5" t="s">
        <v>5584</v>
      </c>
      <c r="V148" s="5" t="s">
        <v>24</v>
      </c>
      <c r="W148" s="5" t="s">
        <v>24</v>
      </c>
      <c r="X148" s="5" t="s">
        <v>24</v>
      </c>
      <c r="Y148" s="5" t="s">
        <v>5585</v>
      </c>
      <c r="Z148" s="5" t="s">
        <v>5586</v>
      </c>
      <c r="AA148" s="5" t="s">
        <v>5586</v>
      </c>
      <c r="AB148" s="5"/>
    </row>
    <row r="149" ht="15.75" customHeight="1">
      <c r="A149" s="5" t="s">
        <v>5587</v>
      </c>
      <c r="B149" s="5" t="s">
        <v>5588</v>
      </c>
      <c r="C149" s="5" t="s">
        <v>145</v>
      </c>
      <c r="D149" s="5" t="s">
        <v>24</v>
      </c>
      <c r="E149" s="5" t="s">
        <v>1849</v>
      </c>
      <c r="F149" s="5" t="s">
        <v>4963</v>
      </c>
      <c r="G149" s="5" t="s">
        <v>24</v>
      </c>
      <c r="H149" s="5" t="s">
        <v>24</v>
      </c>
      <c r="I149" s="5" t="s">
        <v>24</v>
      </c>
      <c r="J149" s="5" t="s">
        <v>24</v>
      </c>
      <c r="K149" s="5" t="s">
        <v>24</v>
      </c>
      <c r="L149" s="5" t="s">
        <v>24</v>
      </c>
      <c r="M149" s="5" t="s">
        <v>1885</v>
      </c>
      <c r="N149" s="5" t="s">
        <v>24</v>
      </c>
      <c r="O149" s="5" t="s">
        <v>1917</v>
      </c>
      <c r="P149" s="5" t="s">
        <v>24</v>
      </c>
      <c r="Q149" s="5" t="s">
        <v>24</v>
      </c>
      <c r="R149" s="5" t="s">
        <v>24</v>
      </c>
      <c r="S149" s="5" t="s">
        <v>1852</v>
      </c>
      <c r="T149" s="5" t="s">
        <v>5120</v>
      </c>
      <c r="U149" s="5" t="s">
        <v>5120</v>
      </c>
      <c r="V149" s="5" t="s">
        <v>24</v>
      </c>
      <c r="W149" s="5" t="s">
        <v>24</v>
      </c>
      <c r="X149" s="5" t="s">
        <v>24</v>
      </c>
      <c r="Y149" s="5" t="s">
        <v>5589</v>
      </c>
      <c r="Z149" s="5" t="s">
        <v>5590</v>
      </c>
      <c r="AA149" s="5" t="s">
        <v>5590</v>
      </c>
      <c r="AB149" s="5"/>
    </row>
    <row r="150" ht="15.75" customHeight="1">
      <c r="A150" s="5" t="s">
        <v>5591</v>
      </c>
      <c r="B150" s="5" t="s">
        <v>5592</v>
      </c>
      <c r="C150" s="5" t="s">
        <v>2126</v>
      </c>
      <c r="D150" s="5" t="s">
        <v>24</v>
      </c>
      <c r="E150" s="5" t="s">
        <v>1849</v>
      </c>
      <c r="F150" s="5" t="s">
        <v>4963</v>
      </c>
      <c r="G150" s="5" t="s">
        <v>24</v>
      </c>
      <c r="H150" s="5" t="s">
        <v>24</v>
      </c>
      <c r="I150" s="5" t="s">
        <v>24</v>
      </c>
      <c r="J150" s="5" t="s">
        <v>24</v>
      </c>
      <c r="K150" s="5" t="s">
        <v>24</v>
      </c>
      <c r="L150" s="5" t="s">
        <v>24</v>
      </c>
      <c r="M150" s="5" t="s">
        <v>1885</v>
      </c>
      <c r="N150" s="5" t="s">
        <v>24</v>
      </c>
      <c r="O150" s="5" t="s">
        <v>24</v>
      </c>
      <c r="P150" s="5" t="s">
        <v>24</v>
      </c>
      <c r="Q150" s="5" t="s">
        <v>24</v>
      </c>
      <c r="R150" s="5" t="s">
        <v>24</v>
      </c>
      <c r="S150" s="5" t="s">
        <v>1852</v>
      </c>
      <c r="T150" s="5" t="s">
        <v>5125</v>
      </c>
      <c r="U150" s="5" t="s">
        <v>5125</v>
      </c>
      <c r="V150" s="5" t="s">
        <v>24</v>
      </c>
      <c r="W150" s="5" t="s">
        <v>24</v>
      </c>
      <c r="X150" s="5" t="s">
        <v>24</v>
      </c>
      <c r="Y150" s="5" t="s">
        <v>5593</v>
      </c>
      <c r="Z150" s="5" t="s">
        <v>5594</v>
      </c>
      <c r="AA150" s="5" t="s">
        <v>5594</v>
      </c>
      <c r="AB150" s="5"/>
    </row>
    <row r="151" ht="15.75" customHeight="1">
      <c r="A151" s="5" t="s">
        <v>5595</v>
      </c>
      <c r="B151" s="5" t="s">
        <v>5596</v>
      </c>
      <c r="C151" s="5" t="s">
        <v>5288</v>
      </c>
      <c r="D151" s="5" t="s">
        <v>24</v>
      </c>
      <c r="E151" s="5" t="s">
        <v>1849</v>
      </c>
      <c r="F151" s="5" t="s">
        <v>4963</v>
      </c>
      <c r="G151" s="5" t="s">
        <v>24</v>
      </c>
      <c r="H151" s="5" t="s">
        <v>24</v>
      </c>
      <c r="I151" s="5" t="s">
        <v>24</v>
      </c>
      <c r="J151" s="5" t="s">
        <v>24</v>
      </c>
      <c r="K151" s="5" t="s">
        <v>24</v>
      </c>
      <c r="L151" s="5" t="s">
        <v>24</v>
      </c>
      <c r="M151" s="5" t="s">
        <v>24</v>
      </c>
      <c r="N151" s="5" t="s">
        <v>24</v>
      </c>
      <c r="O151" s="5" t="s">
        <v>1917</v>
      </c>
      <c r="P151" s="5" t="s">
        <v>24</v>
      </c>
      <c r="Q151" s="5" t="s">
        <v>24</v>
      </c>
      <c r="R151" s="5" t="s">
        <v>24</v>
      </c>
      <c r="S151" s="5" t="s">
        <v>1852</v>
      </c>
      <c r="T151" s="5" t="s">
        <v>5543</v>
      </c>
      <c r="U151" s="5" t="s">
        <v>5543</v>
      </c>
      <c r="V151" s="5" t="s">
        <v>24</v>
      </c>
      <c r="W151" s="5" t="s">
        <v>24</v>
      </c>
      <c r="X151" s="5" t="s">
        <v>24</v>
      </c>
      <c r="Y151" s="5" t="s">
        <v>5597</v>
      </c>
      <c r="Z151" s="5" t="s">
        <v>5598</v>
      </c>
      <c r="AA151" s="5" t="s">
        <v>5598</v>
      </c>
      <c r="AB151" s="5"/>
    </row>
    <row r="152" ht="15.75" customHeight="1">
      <c r="A152" s="5" t="s">
        <v>5599</v>
      </c>
      <c r="B152" s="5" t="s">
        <v>5600</v>
      </c>
      <c r="C152" s="5" t="s">
        <v>5601</v>
      </c>
      <c r="D152" s="5" t="s">
        <v>24</v>
      </c>
      <c r="E152" s="5" t="s">
        <v>1849</v>
      </c>
      <c r="F152" s="5" t="s">
        <v>4963</v>
      </c>
      <c r="G152" s="5" t="s">
        <v>24</v>
      </c>
      <c r="H152" s="5" t="s">
        <v>24</v>
      </c>
      <c r="I152" s="5" t="s">
        <v>24</v>
      </c>
      <c r="J152" s="5" t="s">
        <v>24</v>
      </c>
      <c r="K152" s="5" t="s">
        <v>24</v>
      </c>
      <c r="L152" s="5" t="s">
        <v>24</v>
      </c>
      <c r="M152" s="5" t="s">
        <v>24</v>
      </c>
      <c r="N152" s="5" t="s">
        <v>24</v>
      </c>
      <c r="O152" s="5" t="s">
        <v>1851</v>
      </c>
      <c r="P152" s="5" t="s">
        <v>24</v>
      </c>
      <c r="Q152" s="5" t="s">
        <v>24</v>
      </c>
      <c r="R152" s="5" t="s">
        <v>24</v>
      </c>
      <c r="S152" s="5" t="s">
        <v>1852</v>
      </c>
      <c r="T152" s="5" t="s">
        <v>5602</v>
      </c>
      <c r="U152" s="5" t="s">
        <v>5602</v>
      </c>
      <c r="V152" s="5" t="s">
        <v>24</v>
      </c>
      <c r="W152" s="5" t="s">
        <v>24</v>
      </c>
      <c r="X152" s="5" t="s">
        <v>24</v>
      </c>
      <c r="Y152" s="5" t="s">
        <v>5603</v>
      </c>
      <c r="Z152" s="5" t="s">
        <v>5604</v>
      </c>
      <c r="AA152" s="5" t="s">
        <v>5604</v>
      </c>
      <c r="AB152" s="5"/>
    </row>
    <row r="153" ht="15.75" customHeight="1">
      <c r="A153" s="5" t="s">
        <v>5605</v>
      </c>
      <c r="B153" s="5" t="s">
        <v>5606</v>
      </c>
      <c r="C153" s="5" t="s">
        <v>227</v>
      </c>
      <c r="D153" s="5" t="s">
        <v>24</v>
      </c>
      <c r="E153" s="5" t="s">
        <v>1849</v>
      </c>
      <c r="F153" s="5" t="s">
        <v>4963</v>
      </c>
      <c r="G153" s="5" t="s">
        <v>24</v>
      </c>
      <c r="H153" s="5" t="s">
        <v>24</v>
      </c>
      <c r="I153" s="5" t="s">
        <v>24</v>
      </c>
      <c r="J153" s="5" t="s">
        <v>24</v>
      </c>
      <c r="K153" s="5" t="s">
        <v>24</v>
      </c>
      <c r="L153" s="5" t="s">
        <v>24</v>
      </c>
      <c r="M153" s="5" t="s">
        <v>5607</v>
      </c>
      <c r="N153" s="5" t="s">
        <v>24</v>
      </c>
      <c r="O153" s="5" t="s">
        <v>24</v>
      </c>
      <c r="P153" s="5" t="s">
        <v>24</v>
      </c>
      <c r="Q153" s="5" t="s">
        <v>24</v>
      </c>
      <c r="R153" s="5" t="s">
        <v>24</v>
      </c>
      <c r="S153" s="5" t="s">
        <v>1852</v>
      </c>
      <c r="T153" s="5" t="s">
        <v>5608</v>
      </c>
      <c r="U153" s="5" t="s">
        <v>5608</v>
      </c>
      <c r="V153" s="5" t="s">
        <v>24</v>
      </c>
      <c r="W153" s="5" t="s">
        <v>24</v>
      </c>
      <c r="X153" s="5" t="s">
        <v>24</v>
      </c>
      <c r="Y153" s="5" t="s">
        <v>5609</v>
      </c>
      <c r="Z153" s="5" t="s">
        <v>5610</v>
      </c>
      <c r="AA153" s="5" t="s">
        <v>5610</v>
      </c>
      <c r="AB153" s="5"/>
    </row>
    <row r="154" ht="15.75" customHeight="1">
      <c r="A154" s="5" t="s">
        <v>5611</v>
      </c>
      <c r="B154" s="5" t="s">
        <v>5612</v>
      </c>
      <c r="C154" s="5" t="s">
        <v>1240</v>
      </c>
      <c r="D154" s="5" t="s">
        <v>24</v>
      </c>
      <c r="E154" s="5" t="s">
        <v>1849</v>
      </c>
      <c r="F154" s="5" t="s">
        <v>4963</v>
      </c>
      <c r="G154" s="5" t="s">
        <v>24</v>
      </c>
      <c r="H154" s="5" t="s">
        <v>24</v>
      </c>
      <c r="I154" s="5" t="s">
        <v>24</v>
      </c>
      <c r="J154" s="5" t="s">
        <v>24</v>
      </c>
      <c r="K154" s="5" t="s">
        <v>24</v>
      </c>
      <c r="L154" s="5" t="s">
        <v>24</v>
      </c>
      <c r="M154" s="5" t="s">
        <v>24</v>
      </c>
      <c r="N154" s="5" t="s">
        <v>24</v>
      </c>
      <c r="O154" s="5" t="s">
        <v>4392</v>
      </c>
      <c r="P154" s="5" t="s">
        <v>24</v>
      </c>
      <c r="Q154" s="5" t="s">
        <v>24</v>
      </c>
      <c r="R154" s="5" t="s">
        <v>24</v>
      </c>
      <c r="S154" s="5" t="s">
        <v>1852</v>
      </c>
      <c r="T154" s="5" t="s">
        <v>5613</v>
      </c>
      <c r="U154" s="5" t="s">
        <v>5613</v>
      </c>
      <c r="V154" s="5" t="s">
        <v>24</v>
      </c>
      <c r="W154" s="5" t="s">
        <v>24</v>
      </c>
      <c r="X154" s="5" t="s">
        <v>24</v>
      </c>
      <c r="Y154" s="5" t="s">
        <v>5614</v>
      </c>
      <c r="Z154" s="5" t="s">
        <v>5615</v>
      </c>
      <c r="AA154" s="5" t="s">
        <v>5615</v>
      </c>
      <c r="AB154" s="5"/>
    </row>
    <row r="155" ht="15.75" customHeight="1">
      <c r="A155" s="5" t="s">
        <v>5616</v>
      </c>
      <c r="B155" s="5" t="s">
        <v>5617</v>
      </c>
      <c r="C155" s="5" t="s">
        <v>5013</v>
      </c>
      <c r="D155" s="5" t="s">
        <v>24</v>
      </c>
      <c r="E155" s="5" t="s">
        <v>1849</v>
      </c>
      <c r="F155" s="5" t="s">
        <v>4963</v>
      </c>
      <c r="G155" s="5" t="s">
        <v>24</v>
      </c>
      <c r="H155" s="5" t="s">
        <v>24</v>
      </c>
      <c r="I155" s="5" t="s">
        <v>24</v>
      </c>
      <c r="J155" s="5" t="s">
        <v>24</v>
      </c>
      <c r="K155" s="5" t="s">
        <v>24</v>
      </c>
      <c r="L155" s="5" t="s">
        <v>24</v>
      </c>
      <c r="M155" s="5" t="s">
        <v>24</v>
      </c>
      <c r="N155" s="5" t="s">
        <v>24</v>
      </c>
      <c r="O155" s="5" t="s">
        <v>3524</v>
      </c>
      <c r="P155" s="5" t="s">
        <v>24</v>
      </c>
      <c r="Q155" s="5" t="s">
        <v>24</v>
      </c>
      <c r="R155" s="5" t="s">
        <v>24</v>
      </c>
      <c r="S155" s="5" t="s">
        <v>1852</v>
      </c>
      <c r="T155" s="5" t="s">
        <v>5511</v>
      </c>
      <c r="U155" s="5" t="s">
        <v>5511</v>
      </c>
      <c r="V155" s="5" t="s">
        <v>24</v>
      </c>
      <c r="W155" s="5" t="s">
        <v>24</v>
      </c>
      <c r="X155" s="5" t="s">
        <v>24</v>
      </c>
      <c r="Y155" s="5" t="s">
        <v>5618</v>
      </c>
      <c r="Z155" s="5" t="s">
        <v>5619</v>
      </c>
      <c r="AA155" s="5" t="s">
        <v>5619</v>
      </c>
      <c r="AB155" s="5"/>
    </row>
    <row r="156" ht="15.75" customHeight="1">
      <c r="A156" s="5" t="s">
        <v>5620</v>
      </c>
      <c r="B156" s="5" t="s">
        <v>5621</v>
      </c>
      <c r="C156" s="5" t="s">
        <v>1240</v>
      </c>
      <c r="D156" s="5" t="s">
        <v>24</v>
      </c>
      <c r="E156" s="5" t="s">
        <v>1849</v>
      </c>
      <c r="F156" s="5" t="s">
        <v>4963</v>
      </c>
      <c r="G156" s="5" t="s">
        <v>24</v>
      </c>
      <c r="H156" s="5" t="s">
        <v>24</v>
      </c>
      <c r="I156" s="5" t="s">
        <v>24</v>
      </c>
      <c r="J156" s="5" t="s">
        <v>24</v>
      </c>
      <c r="K156" s="5" t="s">
        <v>24</v>
      </c>
      <c r="L156" s="5" t="s">
        <v>24</v>
      </c>
      <c r="M156" s="5" t="s">
        <v>24</v>
      </c>
      <c r="N156" s="5" t="s">
        <v>24</v>
      </c>
      <c r="O156" s="5" t="s">
        <v>4392</v>
      </c>
      <c r="P156" s="5" t="s">
        <v>24</v>
      </c>
      <c r="Q156" s="5" t="s">
        <v>24</v>
      </c>
      <c r="R156" s="5" t="s">
        <v>24</v>
      </c>
      <c r="S156" s="5" t="s">
        <v>1852</v>
      </c>
      <c r="T156" s="5" t="s">
        <v>5613</v>
      </c>
      <c r="U156" s="5" t="s">
        <v>5613</v>
      </c>
      <c r="V156" s="5" t="s">
        <v>24</v>
      </c>
      <c r="W156" s="5" t="s">
        <v>24</v>
      </c>
      <c r="X156" s="5" t="s">
        <v>24</v>
      </c>
      <c r="Y156" s="5" t="s">
        <v>5622</v>
      </c>
      <c r="Z156" s="5" t="s">
        <v>5623</v>
      </c>
      <c r="AA156" s="5" t="s">
        <v>5623</v>
      </c>
      <c r="AB156" s="5"/>
    </row>
    <row r="157" ht="15.75" customHeight="1">
      <c r="A157" s="5" t="s">
        <v>5624</v>
      </c>
      <c r="B157" s="5" t="s">
        <v>5625</v>
      </c>
      <c r="C157" s="5" t="s">
        <v>5013</v>
      </c>
      <c r="D157" s="5" t="s">
        <v>24</v>
      </c>
      <c r="E157" s="5" t="s">
        <v>1849</v>
      </c>
      <c r="F157" s="5" t="s">
        <v>4963</v>
      </c>
      <c r="G157" s="5" t="s">
        <v>24</v>
      </c>
      <c r="H157" s="5" t="s">
        <v>24</v>
      </c>
      <c r="I157" s="5" t="s">
        <v>24</v>
      </c>
      <c r="J157" s="5" t="s">
        <v>24</v>
      </c>
      <c r="K157" s="5" t="s">
        <v>24</v>
      </c>
      <c r="L157" s="5" t="s">
        <v>24</v>
      </c>
      <c r="M157" s="5" t="s">
        <v>24</v>
      </c>
      <c r="N157" s="5" t="s">
        <v>24</v>
      </c>
      <c r="O157" s="5" t="s">
        <v>1933</v>
      </c>
      <c r="P157" s="5" t="s">
        <v>24</v>
      </c>
      <c r="Q157" s="5" t="s">
        <v>24</v>
      </c>
      <c r="R157" s="5" t="s">
        <v>24</v>
      </c>
      <c r="S157" s="5" t="s">
        <v>1852</v>
      </c>
      <c r="T157" s="5" t="s">
        <v>5489</v>
      </c>
      <c r="U157" s="5" t="s">
        <v>5489</v>
      </c>
      <c r="V157" s="5" t="s">
        <v>24</v>
      </c>
      <c r="W157" s="5" t="s">
        <v>24</v>
      </c>
      <c r="X157" s="5" t="s">
        <v>24</v>
      </c>
      <c r="Y157" s="5" t="s">
        <v>5626</v>
      </c>
      <c r="Z157" s="5" t="s">
        <v>5627</v>
      </c>
      <c r="AA157" s="5" t="s">
        <v>5627</v>
      </c>
      <c r="AB157" s="5"/>
    </row>
    <row r="158" ht="15.75" customHeight="1">
      <c r="A158" s="5" t="s">
        <v>5628</v>
      </c>
      <c r="B158" s="5" t="s">
        <v>5629</v>
      </c>
      <c r="C158" s="5" t="s">
        <v>5013</v>
      </c>
      <c r="D158" s="5" t="s">
        <v>24</v>
      </c>
      <c r="E158" s="5" t="s">
        <v>1849</v>
      </c>
      <c r="F158" s="5" t="s">
        <v>4963</v>
      </c>
      <c r="G158" s="5" t="s">
        <v>24</v>
      </c>
      <c r="H158" s="5" t="s">
        <v>24</v>
      </c>
      <c r="I158" s="5" t="s">
        <v>24</v>
      </c>
      <c r="J158" s="5" t="s">
        <v>24</v>
      </c>
      <c r="K158" s="5" t="s">
        <v>24</v>
      </c>
      <c r="L158" s="5" t="s">
        <v>24</v>
      </c>
      <c r="M158" s="5" t="s">
        <v>24</v>
      </c>
      <c r="N158" s="5" t="s">
        <v>24</v>
      </c>
      <c r="O158" s="5" t="s">
        <v>3524</v>
      </c>
      <c r="P158" s="5" t="s">
        <v>24</v>
      </c>
      <c r="Q158" s="5" t="s">
        <v>24</v>
      </c>
      <c r="R158" s="5" t="s">
        <v>24</v>
      </c>
      <c r="S158" s="5" t="s">
        <v>1852</v>
      </c>
      <c r="T158" s="5" t="s">
        <v>5511</v>
      </c>
      <c r="U158" s="5" t="s">
        <v>5511</v>
      </c>
      <c r="V158" s="5" t="s">
        <v>24</v>
      </c>
      <c r="W158" s="5" t="s">
        <v>24</v>
      </c>
      <c r="X158" s="5" t="s">
        <v>24</v>
      </c>
      <c r="Y158" s="5" t="s">
        <v>5630</v>
      </c>
      <c r="Z158" s="5" t="s">
        <v>5631</v>
      </c>
      <c r="AA158" s="5" t="s">
        <v>5631</v>
      </c>
      <c r="AB158" s="5"/>
    </row>
    <row r="159" ht="15.75" customHeight="1">
      <c r="A159" s="5" t="s">
        <v>5632</v>
      </c>
      <c r="B159" s="5" t="s">
        <v>5633</v>
      </c>
      <c r="C159" s="5" t="s">
        <v>503</v>
      </c>
      <c r="D159" s="5" t="s">
        <v>24</v>
      </c>
      <c r="E159" s="5" t="s">
        <v>1849</v>
      </c>
      <c r="F159" s="5" t="s">
        <v>4963</v>
      </c>
      <c r="G159" s="5" t="s">
        <v>24</v>
      </c>
      <c r="H159" s="5" t="s">
        <v>24</v>
      </c>
      <c r="I159" s="5" t="s">
        <v>24</v>
      </c>
      <c r="J159" s="5" t="s">
        <v>24</v>
      </c>
      <c r="K159" s="5" t="s">
        <v>24</v>
      </c>
      <c r="L159" s="5" t="s">
        <v>24</v>
      </c>
      <c r="M159" s="5" t="s">
        <v>24</v>
      </c>
      <c r="N159" s="5" t="s">
        <v>24</v>
      </c>
      <c r="O159" s="5" t="s">
        <v>3378</v>
      </c>
      <c r="P159" s="5" t="s">
        <v>24</v>
      </c>
      <c r="Q159" s="5" t="s">
        <v>24</v>
      </c>
      <c r="R159" s="5" t="s">
        <v>24</v>
      </c>
      <c r="S159" s="5" t="s">
        <v>1852</v>
      </c>
      <c r="T159" s="5" t="s">
        <v>1887</v>
      </c>
      <c r="U159" s="5" t="s">
        <v>1887</v>
      </c>
      <c r="V159" s="5" t="s">
        <v>24</v>
      </c>
      <c r="W159" s="5" t="s">
        <v>24</v>
      </c>
      <c r="X159" s="5" t="s">
        <v>24</v>
      </c>
      <c r="Y159" s="5" t="s">
        <v>5634</v>
      </c>
      <c r="Z159" s="5" t="s">
        <v>5635</v>
      </c>
      <c r="AA159" s="5" t="s">
        <v>5635</v>
      </c>
      <c r="AB159" s="5"/>
    </row>
    <row r="160" ht="15.75" customHeight="1">
      <c r="A160" s="5" t="s">
        <v>5636</v>
      </c>
      <c r="B160" s="5" t="s">
        <v>5637</v>
      </c>
      <c r="C160" s="5" t="s">
        <v>5013</v>
      </c>
      <c r="D160" s="5" t="s">
        <v>24</v>
      </c>
      <c r="E160" s="5" t="s">
        <v>1849</v>
      </c>
      <c r="F160" s="5" t="s">
        <v>4963</v>
      </c>
      <c r="G160" s="5" t="s">
        <v>24</v>
      </c>
      <c r="H160" s="5" t="s">
        <v>24</v>
      </c>
      <c r="I160" s="5" t="s">
        <v>24</v>
      </c>
      <c r="J160" s="5" t="s">
        <v>24</v>
      </c>
      <c r="K160" s="5" t="s">
        <v>24</v>
      </c>
      <c r="L160" s="5" t="s">
        <v>24</v>
      </c>
      <c r="M160" s="5" t="s">
        <v>24</v>
      </c>
      <c r="N160" s="5" t="s">
        <v>24</v>
      </c>
      <c r="O160" s="5" t="s">
        <v>1933</v>
      </c>
      <c r="P160" s="5" t="s">
        <v>24</v>
      </c>
      <c r="Q160" s="5" t="s">
        <v>24</v>
      </c>
      <c r="R160" s="5" t="s">
        <v>24</v>
      </c>
      <c r="S160" s="5" t="s">
        <v>1852</v>
      </c>
      <c r="T160" s="5" t="s">
        <v>5638</v>
      </c>
      <c r="U160" s="5" t="s">
        <v>5638</v>
      </c>
      <c r="V160" s="5" t="s">
        <v>24</v>
      </c>
      <c r="W160" s="5" t="s">
        <v>24</v>
      </c>
      <c r="X160" s="5" t="s">
        <v>24</v>
      </c>
      <c r="Y160" s="5" t="s">
        <v>5639</v>
      </c>
      <c r="Z160" s="5" t="s">
        <v>5640</v>
      </c>
      <c r="AA160" s="5" t="s">
        <v>5640</v>
      </c>
      <c r="AB160" s="5"/>
    </row>
    <row r="161" ht="15.75" customHeight="1">
      <c r="A161" s="5" t="s">
        <v>5641</v>
      </c>
      <c r="B161" s="5" t="s">
        <v>5642</v>
      </c>
      <c r="C161" s="5" t="s">
        <v>5095</v>
      </c>
      <c r="D161" s="5" t="s">
        <v>24</v>
      </c>
      <c r="E161" s="5" t="s">
        <v>1849</v>
      </c>
      <c r="F161" s="5" t="s">
        <v>4963</v>
      </c>
      <c r="G161" s="5" t="s">
        <v>24</v>
      </c>
      <c r="H161" s="5" t="s">
        <v>24</v>
      </c>
      <c r="I161" s="5" t="s">
        <v>24</v>
      </c>
      <c r="J161" s="5" t="s">
        <v>24</v>
      </c>
      <c r="K161" s="5" t="s">
        <v>24</v>
      </c>
      <c r="L161" s="5" t="s">
        <v>24</v>
      </c>
      <c r="M161" s="5" t="s">
        <v>24</v>
      </c>
      <c r="N161" s="5" t="s">
        <v>24</v>
      </c>
      <c r="O161" s="5" t="s">
        <v>1933</v>
      </c>
      <c r="P161" s="5" t="s">
        <v>24</v>
      </c>
      <c r="Q161" s="5" t="s">
        <v>24</v>
      </c>
      <c r="R161" s="5" t="s">
        <v>24</v>
      </c>
      <c r="S161" s="5" t="s">
        <v>2020</v>
      </c>
      <c r="T161" s="5" t="s">
        <v>2021</v>
      </c>
      <c r="U161" s="5" t="s">
        <v>2021</v>
      </c>
      <c r="V161" s="5" t="s">
        <v>24</v>
      </c>
      <c r="W161" s="5" t="s">
        <v>24</v>
      </c>
      <c r="X161" s="5" t="s">
        <v>24</v>
      </c>
      <c r="Y161" s="5" t="s">
        <v>5643</v>
      </c>
      <c r="Z161" s="5" t="s">
        <v>5644</v>
      </c>
      <c r="AA161" s="5" t="s">
        <v>5644</v>
      </c>
      <c r="AB161" s="5"/>
    </row>
    <row r="162" ht="15.75" customHeight="1">
      <c r="A162" s="5" t="s">
        <v>5645</v>
      </c>
      <c r="B162" s="5" t="s">
        <v>5646</v>
      </c>
      <c r="C162" s="5" t="s">
        <v>227</v>
      </c>
      <c r="D162" s="5" t="s">
        <v>24</v>
      </c>
      <c r="E162" s="5" t="s">
        <v>1849</v>
      </c>
      <c r="F162" s="5" t="s">
        <v>4963</v>
      </c>
      <c r="G162" s="5" t="s">
        <v>24</v>
      </c>
      <c r="H162" s="5" t="s">
        <v>24</v>
      </c>
      <c r="I162" s="5" t="s">
        <v>24</v>
      </c>
      <c r="J162" s="5" t="s">
        <v>24</v>
      </c>
      <c r="K162" s="5" t="s">
        <v>24</v>
      </c>
      <c r="L162" s="5" t="s">
        <v>24</v>
      </c>
      <c r="M162" s="5" t="s">
        <v>5607</v>
      </c>
      <c r="N162" s="5" t="s">
        <v>24</v>
      </c>
      <c r="O162" s="5" t="s">
        <v>24</v>
      </c>
      <c r="P162" s="5" t="s">
        <v>24</v>
      </c>
      <c r="Q162" s="5" t="s">
        <v>24</v>
      </c>
      <c r="R162" s="5" t="s">
        <v>24</v>
      </c>
      <c r="S162" s="5" t="s">
        <v>1852</v>
      </c>
      <c r="T162" s="5" t="s">
        <v>5384</v>
      </c>
      <c r="U162" s="5" t="s">
        <v>5384</v>
      </c>
      <c r="V162" s="5" t="s">
        <v>24</v>
      </c>
      <c r="W162" s="5" t="s">
        <v>24</v>
      </c>
      <c r="X162" s="5" t="s">
        <v>24</v>
      </c>
      <c r="Y162" s="5" t="s">
        <v>5647</v>
      </c>
      <c r="Z162" s="5" t="s">
        <v>5648</v>
      </c>
      <c r="AA162" s="5" t="s">
        <v>5648</v>
      </c>
      <c r="AB162" s="5"/>
    </row>
    <row r="163" ht="15.75" customHeight="1">
      <c r="A163" s="5" t="s">
        <v>5649</v>
      </c>
      <c r="B163" s="5" t="s">
        <v>5650</v>
      </c>
      <c r="C163" s="5" t="s">
        <v>2126</v>
      </c>
      <c r="D163" s="5" t="s">
        <v>24</v>
      </c>
      <c r="E163" s="5" t="s">
        <v>1849</v>
      </c>
      <c r="F163" s="5" t="s">
        <v>4963</v>
      </c>
      <c r="G163" s="5" t="s">
        <v>24</v>
      </c>
      <c r="H163" s="5" t="s">
        <v>24</v>
      </c>
      <c r="I163" s="5" t="s">
        <v>24</v>
      </c>
      <c r="J163" s="5" t="s">
        <v>24</v>
      </c>
      <c r="K163" s="5" t="s">
        <v>24</v>
      </c>
      <c r="L163" s="5" t="s">
        <v>24</v>
      </c>
      <c r="M163" s="5" t="s">
        <v>1885</v>
      </c>
      <c r="N163" s="5" t="s">
        <v>24</v>
      </c>
      <c r="O163" s="5" t="s">
        <v>24</v>
      </c>
      <c r="P163" s="5" t="s">
        <v>24</v>
      </c>
      <c r="Q163" s="5" t="s">
        <v>24</v>
      </c>
      <c r="R163" s="5" t="s">
        <v>24</v>
      </c>
      <c r="S163" s="5" t="s">
        <v>1852</v>
      </c>
      <c r="T163" s="5" t="s">
        <v>5125</v>
      </c>
      <c r="U163" s="5" t="s">
        <v>5125</v>
      </c>
      <c r="V163" s="5" t="s">
        <v>24</v>
      </c>
      <c r="W163" s="5" t="s">
        <v>24</v>
      </c>
      <c r="X163" s="5" t="s">
        <v>24</v>
      </c>
      <c r="Y163" s="5" t="s">
        <v>5651</v>
      </c>
      <c r="Z163" s="5" t="s">
        <v>5652</v>
      </c>
      <c r="AA163" s="5" t="s">
        <v>5652</v>
      </c>
      <c r="AB163" s="5"/>
    </row>
    <row r="164" ht="15.75" customHeight="1">
      <c r="A164" s="5" t="s">
        <v>5653</v>
      </c>
      <c r="B164" s="5" t="s">
        <v>5654</v>
      </c>
      <c r="C164" s="5" t="s">
        <v>5013</v>
      </c>
      <c r="D164" s="5" t="s">
        <v>24</v>
      </c>
      <c r="E164" s="5" t="s">
        <v>1849</v>
      </c>
      <c r="F164" s="5" t="s">
        <v>4963</v>
      </c>
      <c r="G164" s="5" t="s">
        <v>24</v>
      </c>
      <c r="H164" s="5" t="s">
        <v>24</v>
      </c>
      <c r="I164" s="5" t="s">
        <v>24</v>
      </c>
      <c r="J164" s="5" t="s">
        <v>24</v>
      </c>
      <c r="K164" s="5" t="s">
        <v>24</v>
      </c>
      <c r="L164" s="5" t="s">
        <v>24</v>
      </c>
      <c r="M164" s="5" t="s">
        <v>24</v>
      </c>
      <c r="N164" s="5" t="s">
        <v>24</v>
      </c>
      <c r="O164" s="5" t="s">
        <v>2085</v>
      </c>
      <c r="P164" s="5" t="s">
        <v>24</v>
      </c>
      <c r="Q164" s="5" t="s">
        <v>24</v>
      </c>
      <c r="R164" s="5" t="s">
        <v>24</v>
      </c>
      <c r="S164" s="5" t="s">
        <v>1852</v>
      </c>
      <c r="T164" s="5" t="s">
        <v>2047</v>
      </c>
      <c r="U164" s="5" t="s">
        <v>2047</v>
      </c>
      <c r="V164" s="5" t="s">
        <v>24</v>
      </c>
      <c r="W164" s="5" t="s">
        <v>24</v>
      </c>
      <c r="X164" s="5" t="s">
        <v>24</v>
      </c>
      <c r="Y164" s="5" t="s">
        <v>5655</v>
      </c>
      <c r="Z164" s="5" t="s">
        <v>5656</v>
      </c>
      <c r="AA164" s="5" t="s">
        <v>5656</v>
      </c>
      <c r="AB164" s="5"/>
    </row>
    <row r="165" ht="15.75" customHeight="1">
      <c r="A165" s="5" t="s">
        <v>5657</v>
      </c>
      <c r="B165" s="5" t="s">
        <v>5658</v>
      </c>
      <c r="C165" s="5" t="s">
        <v>294</v>
      </c>
      <c r="D165" s="5" t="s">
        <v>24</v>
      </c>
      <c r="E165" s="5" t="s">
        <v>1849</v>
      </c>
      <c r="F165" s="5" t="s">
        <v>4963</v>
      </c>
      <c r="G165" s="5" t="s">
        <v>24</v>
      </c>
      <c r="H165" s="5" t="s">
        <v>24</v>
      </c>
      <c r="I165" s="5" t="s">
        <v>24</v>
      </c>
      <c r="J165" s="5" t="s">
        <v>24</v>
      </c>
      <c r="K165" s="5" t="s">
        <v>24</v>
      </c>
      <c r="L165" s="5" t="s">
        <v>24</v>
      </c>
      <c r="M165" s="5" t="s">
        <v>1885</v>
      </c>
      <c r="N165" s="5" t="s">
        <v>24</v>
      </c>
      <c r="O165" s="5" t="s">
        <v>24</v>
      </c>
      <c r="P165" s="5" t="s">
        <v>24</v>
      </c>
      <c r="Q165" s="5" t="s">
        <v>24</v>
      </c>
      <c r="R165" s="5" t="s">
        <v>24</v>
      </c>
      <c r="S165" s="5" t="s">
        <v>2020</v>
      </c>
      <c r="T165" s="5" t="s">
        <v>2021</v>
      </c>
      <c r="U165" s="5" t="s">
        <v>2021</v>
      </c>
      <c r="V165" s="5" t="s">
        <v>24</v>
      </c>
      <c r="W165" s="5" t="s">
        <v>24</v>
      </c>
      <c r="X165" s="5" t="s">
        <v>24</v>
      </c>
      <c r="Y165" s="5" t="s">
        <v>5659</v>
      </c>
      <c r="Z165" s="5" t="s">
        <v>5660</v>
      </c>
      <c r="AA165" s="5" t="s">
        <v>5660</v>
      </c>
      <c r="AB165" s="5"/>
    </row>
    <row r="166" ht="15.75" customHeight="1">
      <c r="A166" s="5" t="s">
        <v>5661</v>
      </c>
      <c r="B166" s="5" t="s">
        <v>5662</v>
      </c>
      <c r="C166" s="5" t="s">
        <v>2126</v>
      </c>
      <c r="D166" s="5" t="s">
        <v>24</v>
      </c>
      <c r="E166" s="5" t="s">
        <v>1849</v>
      </c>
      <c r="F166" s="5" t="s">
        <v>4963</v>
      </c>
      <c r="G166" s="5" t="s">
        <v>24</v>
      </c>
      <c r="H166" s="5" t="s">
        <v>24</v>
      </c>
      <c r="I166" s="5" t="s">
        <v>24</v>
      </c>
      <c r="J166" s="5" t="s">
        <v>24</v>
      </c>
      <c r="K166" s="5" t="s">
        <v>24</v>
      </c>
      <c r="L166" s="5" t="s">
        <v>24</v>
      </c>
      <c r="M166" s="5" t="s">
        <v>1885</v>
      </c>
      <c r="N166" s="5" t="s">
        <v>24</v>
      </c>
      <c r="O166" s="5" t="s">
        <v>24</v>
      </c>
      <c r="P166" s="5" t="s">
        <v>24</v>
      </c>
      <c r="Q166" s="5" t="s">
        <v>24</v>
      </c>
      <c r="R166" s="5" t="s">
        <v>24</v>
      </c>
      <c r="S166" s="5" t="s">
        <v>1852</v>
      </c>
      <c r="T166" s="5" t="s">
        <v>5125</v>
      </c>
      <c r="U166" s="5" t="s">
        <v>5125</v>
      </c>
      <c r="V166" s="5" t="s">
        <v>24</v>
      </c>
      <c r="W166" s="5" t="s">
        <v>24</v>
      </c>
      <c r="X166" s="5" t="s">
        <v>24</v>
      </c>
      <c r="Y166" s="5" t="s">
        <v>5663</v>
      </c>
      <c r="Z166" s="5" t="s">
        <v>5664</v>
      </c>
      <c r="AA166" s="5" t="s">
        <v>5664</v>
      </c>
      <c r="AB166" s="5"/>
    </row>
    <row r="167" ht="15.75" customHeight="1">
      <c r="A167" s="5" t="s">
        <v>5665</v>
      </c>
      <c r="B167" s="5" t="s">
        <v>5666</v>
      </c>
      <c r="C167" s="5" t="s">
        <v>5138</v>
      </c>
      <c r="D167" s="5" t="s">
        <v>24</v>
      </c>
      <c r="E167" s="5" t="s">
        <v>1849</v>
      </c>
      <c r="F167" s="5" t="s">
        <v>4963</v>
      </c>
      <c r="G167" s="5" t="s">
        <v>24</v>
      </c>
      <c r="H167" s="5" t="s">
        <v>24</v>
      </c>
      <c r="I167" s="5" t="s">
        <v>24</v>
      </c>
      <c r="J167" s="5" t="s">
        <v>24</v>
      </c>
      <c r="K167" s="5" t="s">
        <v>24</v>
      </c>
      <c r="L167" s="5" t="s">
        <v>24</v>
      </c>
      <c r="M167" s="5" t="s">
        <v>24</v>
      </c>
      <c r="N167" s="5" t="s">
        <v>24</v>
      </c>
      <c r="O167" s="5" t="s">
        <v>1933</v>
      </c>
      <c r="P167" s="5" t="s">
        <v>24</v>
      </c>
      <c r="Q167" s="5" t="s">
        <v>24</v>
      </c>
      <c r="R167" s="5" t="s">
        <v>24</v>
      </c>
      <c r="S167" s="5" t="s">
        <v>1852</v>
      </c>
      <c r="T167" s="5" t="s">
        <v>5534</v>
      </c>
      <c r="U167" s="5" t="s">
        <v>5534</v>
      </c>
      <c r="V167" s="5" t="s">
        <v>24</v>
      </c>
      <c r="W167" s="5" t="s">
        <v>24</v>
      </c>
      <c r="X167" s="5" t="s">
        <v>24</v>
      </c>
      <c r="Y167" s="5" t="s">
        <v>5667</v>
      </c>
      <c r="Z167" s="5" t="s">
        <v>5668</v>
      </c>
      <c r="AA167" s="5" t="s">
        <v>5668</v>
      </c>
      <c r="AB167" s="5"/>
    </row>
    <row r="168" ht="15.75" customHeight="1">
      <c r="A168" s="5" t="s">
        <v>5669</v>
      </c>
      <c r="B168" s="5" t="s">
        <v>5670</v>
      </c>
      <c r="C168" s="5" t="s">
        <v>5013</v>
      </c>
      <c r="D168" s="5" t="s">
        <v>24</v>
      </c>
      <c r="E168" s="5" t="s">
        <v>1849</v>
      </c>
      <c r="F168" s="5" t="s">
        <v>4963</v>
      </c>
      <c r="G168" s="5" t="s">
        <v>24</v>
      </c>
      <c r="H168" s="5" t="s">
        <v>24</v>
      </c>
      <c r="I168" s="5" t="s">
        <v>24</v>
      </c>
      <c r="J168" s="5" t="s">
        <v>24</v>
      </c>
      <c r="K168" s="5" t="s">
        <v>24</v>
      </c>
      <c r="L168" s="5" t="s">
        <v>24</v>
      </c>
      <c r="M168" s="5" t="s">
        <v>24</v>
      </c>
      <c r="N168" s="5" t="s">
        <v>24</v>
      </c>
      <c r="O168" s="5" t="s">
        <v>4787</v>
      </c>
      <c r="P168" s="5" t="s">
        <v>24</v>
      </c>
      <c r="Q168" s="5" t="s">
        <v>24</v>
      </c>
      <c r="R168" s="5" t="s">
        <v>24</v>
      </c>
      <c r="S168" s="5" t="s">
        <v>1852</v>
      </c>
      <c r="T168" s="5" t="s">
        <v>5261</v>
      </c>
      <c r="U168" s="5" t="s">
        <v>5261</v>
      </c>
      <c r="V168" s="5" t="s">
        <v>24</v>
      </c>
      <c r="W168" s="5" t="s">
        <v>24</v>
      </c>
      <c r="X168" s="5" t="s">
        <v>24</v>
      </c>
      <c r="Y168" s="5" t="s">
        <v>5671</v>
      </c>
      <c r="Z168" s="5" t="s">
        <v>5672</v>
      </c>
      <c r="AA168" s="5" t="s">
        <v>5672</v>
      </c>
      <c r="AB168" s="5"/>
    </row>
    <row r="169" ht="15.75" customHeight="1">
      <c r="A169" s="5" t="s">
        <v>5673</v>
      </c>
      <c r="B169" s="5" t="s">
        <v>5674</v>
      </c>
      <c r="C169" s="5" t="s">
        <v>5013</v>
      </c>
      <c r="D169" s="5" t="s">
        <v>24</v>
      </c>
      <c r="E169" s="5" t="s">
        <v>1849</v>
      </c>
      <c r="F169" s="5" t="s">
        <v>4963</v>
      </c>
      <c r="G169" s="5" t="s">
        <v>24</v>
      </c>
      <c r="H169" s="5" t="s">
        <v>24</v>
      </c>
      <c r="I169" s="5" t="s">
        <v>24</v>
      </c>
      <c r="J169" s="5" t="s">
        <v>24</v>
      </c>
      <c r="K169" s="5" t="s">
        <v>24</v>
      </c>
      <c r="L169" s="5" t="s">
        <v>24</v>
      </c>
      <c r="M169" s="5" t="s">
        <v>24</v>
      </c>
      <c r="N169" s="5" t="s">
        <v>24</v>
      </c>
      <c r="O169" s="5" t="s">
        <v>2984</v>
      </c>
      <c r="P169" s="5" t="s">
        <v>24</v>
      </c>
      <c r="Q169" s="5" t="s">
        <v>24</v>
      </c>
      <c r="R169" s="5" t="s">
        <v>24</v>
      </c>
      <c r="S169" s="5" t="s">
        <v>1852</v>
      </c>
      <c r="T169" s="5" t="s">
        <v>3223</v>
      </c>
      <c r="U169" s="5" t="s">
        <v>3223</v>
      </c>
      <c r="V169" s="5" t="s">
        <v>24</v>
      </c>
      <c r="W169" s="5" t="s">
        <v>24</v>
      </c>
      <c r="X169" s="5" t="s">
        <v>24</v>
      </c>
      <c r="Y169" s="5" t="s">
        <v>5675</v>
      </c>
      <c r="Z169" s="5" t="s">
        <v>5676</v>
      </c>
      <c r="AA169" s="5" t="s">
        <v>5676</v>
      </c>
      <c r="AB169" s="5"/>
    </row>
    <row r="170" ht="15.75" customHeight="1">
      <c r="A170" s="5" t="s">
        <v>5677</v>
      </c>
      <c r="B170" s="5" t="s">
        <v>5678</v>
      </c>
      <c r="C170" s="5" t="s">
        <v>227</v>
      </c>
      <c r="D170" s="5" t="s">
        <v>24</v>
      </c>
      <c r="E170" s="5" t="s">
        <v>1849</v>
      </c>
      <c r="F170" s="5" t="s">
        <v>4963</v>
      </c>
      <c r="G170" s="5" t="s">
        <v>24</v>
      </c>
      <c r="H170" s="5" t="s">
        <v>24</v>
      </c>
      <c r="I170" s="5" t="s">
        <v>24</v>
      </c>
      <c r="J170" s="5" t="s">
        <v>24</v>
      </c>
      <c r="K170" s="5" t="s">
        <v>24</v>
      </c>
      <c r="L170" s="5" t="s">
        <v>24</v>
      </c>
      <c r="M170" s="5" t="s">
        <v>24</v>
      </c>
      <c r="N170" s="5" t="s">
        <v>24</v>
      </c>
      <c r="O170" s="5" t="s">
        <v>2148</v>
      </c>
      <c r="P170" s="5" t="s">
        <v>24</v>
      </c>
      <c r="Q170" s="5" t="s">
        <v>24</v>
      </c>
      <c r="R170" s="5" t="s">
        <v>24</v>
      </c>
      <c r="S170" s="5" t="s">
        <v>1852</v>
      </c>
      <c r="T170" s="5" t="s">
        <v>5679</v>
      </c>
      <c r="U170" s="5" t="s">
        <v>5679</v>
      </c>
      <c r="V170" s="5" t="s">
        <v>24</v>
      </c>
      <c r="W170" s="5" t="s">
        <v>24</v>
      </c>
      <c r="X170" s="5" t="s">
        <v>24</v>
      </c>
      <c r="Y170" s="5" t="s">
        <v>5680</v>
      </c>
      <c r="Z170" s="5" t="s">
        <v>5681</v>
      </c>
      <c r="AA170" s="5" t="s">
        <v>5681</v>
      </c>
      <c r="AB170" s="5"/>
    </row>
    <row r="171" ht="15.75" customHeight="1">
      <c r="A171" s="5" t="s">
        <v>5682</v>
      </c>
      <c r="B171" s="5" t="s">
        <v>5683</v>
      </c>
      <c r="C171" s="5" t="s">
        <v>294</v>
      </c>
      <c r="D171" s="5" t="s">
        <v>24</v>
      </c>
      <c r="E171" s="5" t="s">
        <v>1849</v>
      </c>
      <c r="F171" s="5" t="s">
        <v>4963</v>
      </c>
      <c r="G171" s="5" t="s">
        <v>24</v>
      </c>
      <c r="H171" s="5" t="s">
        <v>24</v>
      </c>
      <c r="I171" s="5" t="s">
        <v>24</v>
      </c>
      <c r="J171" s="5" t="s">
        <v>24</v>
      </c>
      <c r="K171" s="5" t="s">
        <v>24</v>
      </c>
      <c r="L171" s="5" t="s">
        <v>24</v>
      </c>
      <c r="M171" s="5" t="s">
        <v>1885</v>
      </c>
      <c r="N171" s="5" t="s">
        <v>24</v>
      </c>
      <c r="O171" s="5" t="s">
        <v>24</v>
      </c>
      <c r="P171" s="5" t="s">
        <v>24</v>
      </c>
      <c r="Q171" s="5" t="s">
        <v>24</v>
      </c>
      <c r="R171" s="5" t="s">
        <v>24</v>
      </c>
      <c r="S171" s="5" t="s">
        <v>1852</v>
      </c>
      <c r="T171" s="5" t="s">
        <v>4749</v>
      </c>
      <c r="U171" s="5" t="s">
        <v>4749</v>
      </c>
      <c r="V171" s="5" t="s">
        <v>24</v>
      </c>
      <c r="W171" s="5" t="s">
        <v>24</v>
      </c>
      <c r="X171" s="5" t="s">
        <v>24</v>
      </c>
      <c r="Y171" s="5" t="s">
        <v>5684</v>
      </c>
      <c r="Z171" s="5" t="s">
        <v>5685</v>
      </c>
      <c r="AA171" s="5" t="s">
        <v>5685</v>
      </c>
      <c r="AB171" s="5"/>
    </row>
    <row r="172" ht="15.75" customHeight="1">
      <c r="A172" s="5" t="s">
        <v>5686</v>
      </c>
      <c r="B172" s="5" t="s">
        <v>5687</v>
      </c>
      <c r="C172" s="5" t="s">
        <v>5013</v>
      </c>
      <c r="D172" s="5" t="s">
        <v>24</v>
      </c>
      <c r="E172" s="5" t="s">
        <v>1849</v>
      </c>
      <c r="F172" s="5" t="s">
        <v>4963</v>
      </c>
      <c r="G172" s="5" t="s">
        <v>24</v>
      </c>
      <c r="H172" s="5" t="s">
        <v>24</v>
      </c>
      <c r="I172" s="5" t="s">
        <v>24</v>
      </c>
      <c r="J172" s="5" t="s">
        <v>24</v>
      </c>
      <c r="K172" s="5" t="s">
        <v>24</v>
      </c>
      <c r="L172" s="5" t="s">
        <v>24</v>
      </c>
      <c r="M172" s="5" t="s">
        <v>24</v>
      </c>
      <c r="N172" s="5" t="s">
        <v>24</v>
      </c>
      <c r="O172" s="5" t="s">
        <v>3524</v>
      </c>
      <c r="P172" s="5" t="s">
        <v>24</v>
      </c>
      <c r="Q172" s="5" t="s">
        <v>24</v>
      </c>
      <c r="R172" s="5" t="s">
        <v>24</v>
      </c>
      <c r="S172" s="5" t="s">
        <v>1852</v>
      </c>
      <c r="T172" s="5" t="s">
        <v>5511</v>
      </c>
      <c r="U172" s="5" t="s">
        <v>5511</v>
      </c>
      <c r="V172" s="5" t="s">
        <v>24</v>
      </c>
      <c r="W172" s="5" t="s">
        <v>24</v>
      </c>
      <c r="X172" s="5" t="s">
        <v>24</v>
      </c>
      <c r="Y172" s="5" t="s">
        <v>5688</v>
      </c>
      <c r="Z172" s="5" t="s">
        <v>5689</v>
      </c>
      <c r="AA172" s="5" t="s">
        <v>5689</v>
      </c>
      <c r="AB172" s="5"/>
    </row>
    <row r="173" ht="15.75" customHeight="1">
      <c r="A173" s="5" t="s">
        <v>5690</v>
      </c>
      <c r="B173" s="5" t="s">
        <v>5691</v>
      </c>
      <c r="C173" s="5" t="s">
        <v>227</v>
      </c>
      <c r="D173" s="5" t="s">
        <v>24</v>
      </c>
      <c r="E173" s="5" t="s">
        <v>1849</v>
      </c>
      <c r="F173" s="5" t="s">
        <v>4963</v>
      </c>
      <c r="G173" s="5" t="s">
        <v>24</v>
      </c>
      <c r="H173" s="5" t="s">
        <v>24</v>
      </c>
      <c r="I173" s="5" t="s">
        <v>24</v>
      </c>
      <c r="J173" s="5" t="s">
        <v>24</v>
      </c>
      <c r="K173" s="5" t="s">
        <v>24</v>
      </c>
      <c r="L173" s="5" t="s">
        <v>24</v>
      </c>
      <c r="M173" s="5" t="s">
        <v>5607</v>
      </c>
      <c r="N173" s="5" t="s">
        <v>24</v>
      </c>
      <c r="O173" s="5" t="s">
        <v>24</v>
      </c>
      <c r="P173" s="5" t="s">
        <v>24</v>
      </c>
      <c r="Q173" s="5" t="s">
        <v>24</v>
      </c>
      <c r="R173" s="5" t="s">
        <v>24</v>
      </c>
      <c r="S173" s="5" t="s">
        <v>1852</v>
      </c>
      <c r="T173" s="5" t="s">
        <v>5608</v>
      </c>
      <c r="U173" s="5" t="s">
        <v>5608</v>
      </c>
      <c r="V173" s="5" t="s">
        <v>24</v>
      </c>
      <c r="W173" s="5" t="s">
        <v>24</v>
      </c>
      <c r="X173" s="5" t="s">
        <v>24</v>
      </c>
      <c r="Y173" s="5" t="s">
        <v>5692</v>
      </c>
      <c r="Z173" s="5" t="s">
        <v>5693</v>
      </c>
      <c r="AA173" s="5" t="s">
        <v>5693</v>
      </c>
      <c r="AB173" s="5"/>
    </row>
    <row r="174" ht="15.75" customHeight="1">
      <c r="A174" s="5" t="s">
        <v>5694</v>
      </c>
      <c r="B174" s="5" t="s">
        <v>3076</v>
      </c>
      <c r="C174" s="5" t="s">
        <v>362</v>
      </c>
      <c r="D174" s="5" t="s">
        <v>24</v>
      </c>
      <c r="E174" s="5" t="s">
        <v>1849</v>
      </c>
      <c r="F174" s="5" t="s">
        <v>4963</v>
      </c>
      <c r="G174" s="5" t="s">
        <v>24</v>
      </c>
      <c r="H174" s="5" t="s">
        <v>24</v>
      </c>
      <c r="I174" s="5" t="s">
        <v>24</v>
      </c>
      <c r="J174" s="5" t="s">
        <v>24</v>
      </c>
      <c r="K174" s="5" t="s">
        <v>24</v>
      </c>
      <c r="L174" s="5" t="s">
        <v>24</v>
      </c>
      <c r="M174" s="5" t="s">
        <v>24</v>
      </c>
      <c r="N174" s="5" t="s">
        <v>24</v>
      </c>
      <c r="O174" s="5" t="s">
        <v>1851</v>
      </c>
      <c r="P174" s="5" t="s">
        <v>24</v>
      </c>
      <c r="Q174" s="5" t="s">
        <v>24</v>
      </c>
      <c r="R174" s="5" t="s">
        <v>24</v>
      </c>
      <c r="S174" s="5" t="s">
        <v>1852</v>
      </c>
      <c r="T174" s="5" t="s">
        <v>5695</v>
      </c>
      <c r="U174" s="5" t="s">
        <v>5695</v>
      </c>
      <c r="V174" s="5" t="s">
        <v>24</v>
      </c>
      <c r="W174" s="5" t="s">
        <v>24</v>
      </c>
      <c r="X174" s="5" t="s">
        <v>24</v>
      </c>
      <c r="Y174" s="5" t="s">
        <v>5696</v>
      </c>
      <c r="Z174" s="5" t="s">
        <v>5697</v>
      </c>
      <c r="AA174" s="5" t="s">
        <v>5697</v>
      </c>
      <c r="AB174" s="5"/>
    </row>
    <row r="175" ht="15.75" customHeight="1">
      <c r="A175" s="5" t="s">
        <v>5698</v>
      </c>
      <c r="B175" s="5" t="s">
        <v>5699</v>
      </c>
      <c r="C175" s="5" t="s">
        <v>106</v>
      </c>
      <c r="D175" s="5" t="s">
        <v>24</v>
      </c>
      <c r="E175" s="5" t="s">
        <v>1849</v>
      </c>
      <c r="F175" s="5" t="s">
        <v>4963</v>
      </c>
      <c r="G175" s="5" t="s">
        <v>24</v>
      </c>
      <c r="H175" s="5" t="s">
        <v>24</v>
      </c>
      <c r="I175" s="5" t="s">
        <v>24</v>
      </c>
      <c r="J175" s="5" t="s">
        <v>24</v>
      </c>
      <c r="K175" s="5" t="s">
        <v>24</v>
      </c>
      <c r="L175" s="5" t="s">
        <v>24</v>
      </c>
      <c r="M175" s="5" t="s">
        <v>24</v>
      </c>
      <c r="N175" s="5" t="s">
        <v>24</v>
      </c>
      <c r="O175" s="5" t="s">
        <v>1851</v>
      </c>
      <c r="P175" s="5" t="s">
        <v>24</v>
      </c>
      <c r="Q175" s="5" t="s">
        <v>24</v>
      </c>
      <c r="R175" s="5" t="s">
        <v>24</v>
      </c>
      <c r="S175" s="5" t="s">
        <v>1852</v>
      </c>
      <c r="T175" s="5" t="s">
        <v>5638</v>
      </c>
      <c r="U175" s="5" t="s">
        <v>5638</v>
      </c>
      <c r="V175" s="5" t="s">
        <v>24</v>
      </c>
      <c r="W175" s="5" t="s">
        <v>24</v>
      </c>
      <c r="X175" s="5" t="s">
        <v>24</v>
      </c>
      <c r="Y175" s="5" t="s">
        <v>5700</v>
      </c>
      <c r="Z175" s="5" t="s">
        <v>5701</v>
      </c>
      <c r="AA175" s="5" t="s">
        <v>5701</v>
      </c>
      <c r="AB175" s="5"/>
    </row>
    <row r="176" ht="15.75" customHeight="1">
      <c r="A176" s="5" t="s">
        <v>5702</v>
      </c>
      <c r="B176" s="5" t="s">
        <v>5703</v>
      </c>
      <c r="C176" s="5" t="s">
        <v>5013</v>
      </c>
      <c r="D176" s="5" t="s">
        <v>24</v>
      </c>
      <c r="E176" s="5" t="s">
        <v>1849</v>
      </c>
      <c r="F176" s="5" t="s">
        <v>4963</v>
      </c>
      <c r="G176" s="5" t="s">
        <v>24</v>
      </c>
      <c r="H176" s="5" t="s">
        <v>24</v>
      </c>
      <c r="I176" s="5" t="s">
        <v>24</v>
      </c>
      <c r="J176" s="5" t="s">
        <v>24</v>
      </c>
      <c r="K176" s="5" t="s">
        <v>24</v>
      </c>
      <c r="L176" s="5" t="s">
        <v>24</v>
      </c>
      <c r="M176" s="5" t="s">
        <v>1885</v>
      </c>
      <c r="N176" s="5" t="s">
        <v>24</v>
      </c>
      <c r="O176" s="5" t="s">
        <v>24</v>
      </c>
      <c r="P176" s="5" t="s">
        <v>24</v>
      </c>
      <c r="Q176" s="5" t="s">
        <v>24</v>
      </c>
      <c r="R176" s="5" t="s">
        <v>24</v>
      </c>
      <c r="S176" s="5" t="s">
        <v>1852</v>
      </c>
      <c r="T176" s="5" t="s">
        <v>1887</v>
      </c>
      <c r="U176" s="5" t="s">
        <v>1887</v>
      </c>
      <c r="V176" s="5" t="s">
        <v>24</v>
      </c>
      <c r="W176" s="5" t="s">
        <v>24</v>
      </c>
      <c r="X176" s="5" t="s">
        <v>24</v>
      </c>
      <c r="Y176" s="5" t="s">
        <v>5704</v>
      </c>
      <c r="Z176" s="5" t="s">
        <v>5705</v>
      </c>
      <c r="AA176" s="5" t="s">
        <v>5705</v>
      </c>
      <c r="AB176" s="5"/>
    </row>
    <row r="177" ht="15.75" customHeight="1">
      <c r="A177" s="5" t="s">
        <v>5706</v>
      </c>
      <c r="B177" s="5" t="s">
        <v>5707</v>
      </c>
      <c r="C177" s="5" t="s">
        <v>2126</v>
      </c>
      <c r="D177" s="5" t="s">
        <v>24</v>
      </c>
      <c r="E177" s="5" t="s">
        <v>1849</v>
      </c>
      <c r="F177" s="5" t="s">
        <v>4963</v>
      </c>
      <c r="G177" s="5" t="s">
        <v>24</v>
      </c>
      <c r="H177" s="5" t="s">
        <v>24</v>
      </c>
      <c r="I177" s="5" t="s">
        <v>24</v>
      </c>
      <c r="J177" s="5" t="s">
        <v>24</v>
      </c>
      <c r="K177" s="5" t="s">
        <v>24</v>
      </c>
      <c r="L177" s="5" t="s">
        <v>24</v>
      </c>
      <c r="M177" s="5" t="s">
        <v>24</v>
      </c>
      <c r="N177" s="5" t="s">
        <v>24</v>
      </c>
      <c r="O177" s="5" t="s">
        <v>1933</v>
      </c>
      <c r="P177" s="5" t="s">
        <v>24</v>
      </c>
      <c r="Q177" s="5" t="s">
        <v>24</v>
      </c>
      <c r="R177" s="5" t="s">
        <v>24</v>
      </c>
      <c r="S177" s="5" t="s">
        <v>1852</v>
      </c>
      <c r="T177" s="5" t="s">
        <v>3109</v>
      </c>
      <c r="U177" s="5" t="s">
        <v>3109</v>
      </c>
      <c r="V177" s="5" t="s">
        <v>24</v>
      </c>
      <c r="W177" s="5" t="s">
        <v>24</v>
      </c>
      <c r="X177" s="5" t="s">
        <v>24</v>
      </c>
      <c r="Y177" s="5" t="s">
        <v>5708</v>
      </c>
      <c r="Z177" s="5" t="s">
        <v>5709</v>
      </c>
      <c r="AA177" s="5" t="s">
        <v>5709</v>
      </c>
      <c r="AB177" s="5"/>
    </row>
    <row r="178" ht="15.75" customHeight="1">
      <c r="A178" s="5" t="s">
        <v>5710</v>
      </c>
      <c r="B178" s="5" t="s">
        <v>5711</v>
      </c>
      <c r="C178" s="5" t="s">
        <v>5095</v>
      </c>
      <c r="D178" s="5" t="s">
        <v>24</v>
      </c>
      <c r="E178" s="5" t="s">
        <v>1849</v>
      </c>
      <c r="F178" s="5" t="s">
        <v>4963</v>
      </c>
      <c r="G178" s="5" t="s">
        <v>24</v>
      </c>
      <c r="H178" s="5" t="s">
        <v>24</v>
      </c>
      <c r="I178" s="5" t="s">
        <v>24</v>
      </c>
      <c r="J178" s="5" t="s">
        <v>24</v>
      </c>
      <c r="K178" s="5" t="s">
        <v>24</v>
      </c>
      <c r="L178" s="5" t="s">
        <v>24</v>
      </c>
      <c r="M178" s="5" t="s">
        <v>1885</v>
      </c>
      <c r="N178" s="5" t="s">
        <v>24</v>
      </c>
      <c r="O178" s="5" t="s">
        <v>24</v>
      </c>
      <c r="P178" s="5" t="s">
        <v>24</v>
      </c>
      <c r="Q178" s="5" t="s">
        <v>24</v>
      </c>
      <c r="R178" s="5" t="s">
        <v>24</v>
      </c>
      <c r="S178" s="5" t="s">
        <v>1852</v>
      </c>
      <c r="T178" s="5" t="s">
        <v>5712</v>
      </c>
      <c r="U178" s="5" t="s">
        <v>5712</v>
      </c>
      <c r="V178" s="5" t="s">
        <v>24</v>
      </c>
      <c r="W178" s="5" t="s">
        <v>24</v>
      </c>
      <c r="X178" s="5" t="s">
        <v>24</v>
      </c>
      <c r="Y178" s="5" t="s">
        <v>5713</v>
      </c>
      <c r="Z178" s="5" t="s">
        <v>5714</v>
      </c>
      <c r="AA178" s="5" t="s">
        <v>5714</v>
      </c>
      <c r="AB178" s="5"/>
    </row>
    <row r="179" ht="15.75" customHeight="1">
      <c r="A179" s="5" t="s">
        <v>5715</v>
      </c>
      <c r="B179" s="5" t="s">
        <v>5716</v>
      </c>
      <c r="C179" s="5" t="s">
        <v>503</v>
      </c>
      <c r="D179" s="5" t="s">
        <v>24</v>
      </c>
      <c r="E179" s="5" t="s">
        <v>1849</v>
      </c>
      <c r="F179" s="5" t="s">
        <v>4963</v>
      </c>
      <c r="G179" s="5" t="s">
        <v>24</v>
      </c>
      <c r="H179" s="5" t="s">
        <v>24</v>
      </c>
      <c r="I179" s="5" t="s">
        <v>24</v>
      </c>
      <c r="J179" s="5" t="s">
        <v>24</v>
      </c>
      <c r="K179" s="5" t="s">
        <v>24</v>
      </c>
      <c r="L179" s="5" t="s">
        <v>24</v>
      </c>
      <c r="M179" s="5" t="s">
        <v>24</v>
      </c>
      <c r="N179" s="5" t="s">
        <v>24</v>
      </c>
      <c r="O179" s="5" t="s">
        <v>3136</v>
      </c>
      <c r="P179" s="5" t="s">
        <v>24</v>
      </c>
      <c r="Q179" s="5" t="s">
        <v>24</v>
      </c>
      <c r="R179" s="5" t="s">
        <v>24</v>
      </c>
      <c r="S179" s="5" t="s">
        <v>1852</v>
      </c>
      <c r="T179" s="5" t="s">
        <v>3773</v>
      </c>
      <c r="U179" s="5" t="s">
        <v>3773</v>
      </c>
      <c r="V179" s="5" t="s">
        <v>24</v>
      </c>
      <c r="W179" s="5" t="s">
        <v>24</v>
      </c>
      <c r="X179" s="5" t="s">
        <v>24</v>
      </c>
      <c r="Y179" s="5" t="s">
        <v>5717</v>
      </c>
      <c r="Z179" s="5" t="s">
        <v>5718</v>
      </c>
      <c r="AA179" s="5" t="s">
        <v>5718</v>
      </c>
      <c r="AB179" s="5"/>
    </row>
    <row r="180" ht="15.75" customHeight="1">
      <c r="A180" s="5" t="s">
        <v>5719</v>
      </c>
      <c r="B180" s="5" t="s">
        <v>5720</v>
      </c>
      <c r="C180" s="5" t="s">
        <v>145</v>
      </c>
      <c r="D180" s="5" t="s">
        <v>24</v>
      </c>
      <c r="E180" s="5" t="s">
        <v>1849</v>
      </c>
      <c r="F180" s="5" t="s">
        <v>4963</v>
      </c>
      <c r="G180" s="5" t="s">
        <v>24</v>
      </c>
      <c r="H180" s="5" t="s">
        <v>24</v>
      </c>
      <c r="I180" s="5" t="s">
        <v>24</v>
      </c>
      <c r="J180" s="5" t="s">
        <v>24</v>
      </c>
      <c r="K180" s="5" t="s">
        <v>24</v>
      </c>
      <c r="L180" s="5" t="s">
        <v>24</v>
      </c>
      <c r="M180" s="5" t="s">
        <v>1885</v>
      </c>
      <c r="N180" s="5" t="s">
        <v>24</v>
      </c>
      <c r="O180" s="5" t="s">
        <v>1917</v>
      </c>
      <c r="P180" s="5" t="s">
        <v>24</v>
      </c>
      <c r="Q180" s="5" t="s">
        <v>24</v>
      </c>
      <c r="R180" s="5" t="s">
        <v>24</v>
      </c>
      <c r="S180" s="5" t="s">
        <v>1852</v>
      </c>
      <c r="T180" s="5" t="s">
        <v>5120</v>
      </c>
      <c r="U180" s="5" t="s">
        <v>5120</v>
      </c>
      <c r="V180" s="5" t="s">
        <v>24</v>
      </c>
      <c r="W180" s="5" t="s">
        <v>24</v>
      </c>
      <c r="X180" s="5" t="s">
        <v>24</v>
      </c>
      <c r="Y180" s="5" t="s">
        <v>5721</v>
      </c>
      <c r="Z180" s="5" t="s">
        <v>5722</v>
      </c>
      <c r="AA180" s="5" t="s">
        <v>5722</v>
      </c>
      <c r="AB180" s="5"/>
    </row>
    <row r="181" ht="15.75" customHeight="1">
      <c r="A181" s="5" t="s">
        <v>5723</v>
      </c>
      <c r="B181" s="5" t="s">
        <v>5724</v>
      </c>
      <c r="C181" s="5" t="s">
        <v>362</v>
      </c>
      <c r="D181" s="5" t="s">
        <v>24</v>
      </c>
      <c r="E181" s="5" t="s">
        <v>1849</v>
      </c>
      <c r="F181" s="5" t="s">
        <v>4963</v>
      </c>
      <c r="G181" s="5" t="s">
        <v>24</v>
      </c>
      <c r="H181" s="5" t="s">
        <v>24</v>
      </c>
      <c r="I181" s="5" t="s">
        <v>24</v>
      </c>
      <c r="J181" s="5" t="s">
        <v>24</v>
      </c>
      <c r="K181" s="5" t="s">
        <v>24</v>
      </c>
      <c r="L181" s="5" t="s">
        <v>24</v>
      </c>
      <c r="M181" s="5" t="s">
        <v>24</v>
      </c>
      <c r="N181" s="5" t="s">
        <v>24</v>
      </c>
      <c r="O181" s="5" t="s">
        <v>1851</v>
      </c>
      <c r="P181" s="5" t="s">
        <v>24</v>
      </c>
      <c r="Q181" s="5" t="s">
        <v>24</v>
      </c>
      <c r="R181" s="5" t="s">
        <v>24</v>
      </c>
      <c r="S181" s="5" t="s">
        <v>1852</v>
      </c>
      <c r="T181" s="5" t="s">
        <v>4743</v>
      </c>
      <c r="U181" s="5" t="s">
        <v>4743</v>
      </c>
      <c r="V181" s="5" t="s">
        <v>24</v>
      </c>
      <c r="W181" s="5" t="s">
        <v>24</v>
      </c>
      <c r="X181" s="5" t="s">
        <v>24</v>
      </c>
      <c r="Y181" s="5" t="s">
        <v>5725</v>
      </c>
      <c r="Z181" s="5" t="s">
        <v>5726</v>
      </c>
      <c r="AA181" s="5" t="s">
        <v>5726</v>
      </c>
      <c r="AB181" s="5"/>
    </row>
    <row r="182" ht="15.75" customHeight="1">
      <c r="A182" s="5" t="s">
        <v>5727</v>
      </c>
      <c r="B182" s="5" t="s">
        <v>5728</v>
      </c>
      <c r="C182" s="5" t="s">
        <v>5729</v>
      </c>
      <c r="D182" s="5" t="s">
        <v>24</v>
      </c>
      <c r="E182" s="5" t="s">
        <v>1849</v>
      </c>
      <c r="F182" s="5" t="s">
        <v>4963</v>
      </c>
      <c r="G182" s="5" t="s">
        <v>24</v>
      </c>
      <c r="H182" s="5" t="s">
        <v>24</v>
      </c>
      <c r="I182" s="5" t="s">
        <v>24</v>
      </c>
      <c r="J182" s="5" t="s">
        <v>24</v>
      </c>
      <c r="K182" s="5" t="s">
        <v>24</v>
      </c>
      <c r="L182" s="5" t="s">
        <v>24</v>
      </c>
      <c r="M182" s="5" t="s">
        <v>1885</v>
      </c>
      <c r="N182" s="5" t="s">
        <v>24</v>
      </c>
      <c r="O182" s="5" t="s">
        <v>24</v>
      </c>
      <c r="P182" s="5" t="s">
        <v>24</v>
      </c>
      <c r="Q182" s="5" t="s">
        <v>24</v>
      </c>
      <c r="R182" s="5" t="s">
        <v>24</v>
      </c>
      <c r="S182" s="5" t="s">
        <v>1852</v>
      </c>
      <c r="T182" s="5" t="s">
        <v>5384</v>
      </c>
      <c r="U182" s="5" t="s">
        <v>5384</v>
      </c>
      <c r="V182" s="5" t="s">
        <v>24</v>
      </c>
      <c r="W182" s="5" t="s">
        <v>24</v>
      </c>
      <c r="X182" s="5" t="s">
        <v>24</v>
      </c>
      <c r="Y182" s="5" t="s">
        <v>5730</v>
      </c>
      <c r="Z182" s="5" t="s">
        <v>5731</v>
      </c>
      <c r="AA182" s="5" t="s">
        <v>5731</v>
      </c>
      <c r="AB182" s="5"/>
    </row>
    <row r="183" ht="15.75" customHeight="1">
      <c r="A183" s="5" t="s">
        <v>5732</v>
      </c>
      <c r="B183" s="5" t="s">
        <v>5733</v>
      </c>
      <c r="C183" s="5" t="s">
        <v>227</v>
      </c>
      <c r="D183" s="5" t="s">
        <v>24</v>
      </c>
      <c r="E183" s="5" t="s">
        <v>1849</v>
      </c>
      <c r="F183" s="5" t="s">
        <v>4963</v>
      </c>
      <c r="G183" s="5" t="s">
        <v>24</v>
      </c>
      <c r="H183" s="5" t="s">
        <v>24</v>
      </c>
      <c r="I183" s="5" t="s">
        <v>24</v>
      </c>
      <c r="J183" s="5" t="s">
        <v>24</v>
      </c>
      <c r="K183" s="5" t="s">
        <v>24</v>
      </c>
      <c r="L183" s="5" t="s">
        <v>24</v>
      </c>
      <c r="M183" s="5" t="s">
        <v>5607</v>
      </c>
      <c r="N183" s="5" t="s">
        <v>24</v>
      </c>
      <c r="O183" s="5" t="s">
        <v>24</v>
      </c>
      <c r="P183" s="5" t="s">
        <v>24</v>
      </c>
      <c r="Q183" s="5" t="s">
        <v>24</v>
      </c>
      <c r="R183" s="5" t="s">
        <v>24</v>
      </c>
      <c r="S183" s="5" t="s">
        <v>1852</v>
      </c>
      <c r="T183" s="5" t="s">
        <v>5384</v>
      </c>
      <c r="U183" s="5" t="s">
        <v>5384</v>
      </c>
      <c r="V183" s="5" t="s">
        <v>24</v>
      </c>
      <c r="W183" s="5" t="s">
        <v>24</v>
      </c>
      <c r="X183" s="5" t="s">
        <v>24</v>
      </c>
      <c r="Y183" s="5" t="s">
        <v>5734</v>
      </c>
      <c r="Z183" s="5" t="s">
        <v>5735</v>
      </c>
      <c r="AA183" s="5" t="s">
        <v>5735</v>
      </c>
      <c r="AB183" s="5"/>
    </row>
    <row r="184" ht="15.75" customHeight="1">
      <c r="A184" s="5" t="s">
        <v>5736</v>
      </c>
      <c r="B184" s="5" t="s">
        <v>5737</v>
      </c>
      <c r="C184" s="5" t="s">
        <v>227</v>
      </c>
      <c r="D184" s="5" t="s">
        <v>24</v>
      </c>
      <c r="E184" s="5" t="s">
        <v>1849</v>
      </c>
      <c r="F184" s="5" t="s">
        <v>4963</v>
      </c>
      <c r="G184" s="5" t="s">
        <v>24</v>
      </c>
      <c r="H184" s="5" t="s">
        <v>24</v>
      </c>
      <c r="I184" s="5" t="s">
        <v>24</v>
      </c>
      <c r="J184" s="5" t="s">
        <v>24</v>
      </c>
      <c r="K184" s="5" t="s">
        <v>24</v>
      </c>
      <c r="L184" s="5" t="s">
        <v>24</v>
      </c>
      <c r="M184" s="5" t="s">
        <v>5607</v>
      </c>
      <c r="N184" s="5" t="s">
        <v>24</v>
      </c>
      <c r="O184" s="5" t="s">
        <v>24</v>
      </c>
      <c r="P184" s="5" t="s">
        <v>24</v>
      </c>
      <c r="Q184" s="5" t="s">
        <v>24</v>
      </c>
      <c r="R184" s="5" t="s">
        <v>24</v>
      </c>
      <c r="S184" s="5" t="s">
        <v>1852</v>
      </c>
      <c r="T184" s="5" t="s">
        <v>5608</v>
      </c>
      <c r="U184" s="5" t="s">
        <v>5608</v>
      </c>
      <c r="V184" s="5" t="s">
        <v>24</v>
      </c>
      <c r="W184" s="5" t="s">
        <v>24</v>
      </c>
      <c r="X184" s="5" t="s">
        <v>24</v>
      </c>
      <c r="Y184" s="5" t="s">
        <v>5738</v>
      </c>
      <c r="Z184" s="5" t="s">
        <v>5739</v>
      </c>
      <c r="AA184" s="5" t="s">
        <v>5739</v>
      </c>
      <c r="AB184" s="5"/>
    </row>
    <row r="185" ht="15.75" customHeight="1">
      <c r="A185" s="5" t="s">
        <v>5740</v>
      </c>
      <c r="B185" s="5" t="s">
        <v>5741</v>
      </c>
      <c r="C185" s="5" t="s">
        <v>227</v>
      </c>
      <c r="D185" s="5" t="s">
        <v>24</v>
      </c>
      <c r="E185" s="5" t="s">
        <v>1849</v>
      </c>
      <c r="F185" s="5" t="s">
        <v>4963</v>
      </c>
      <c r="G185" s="5" t="s">
        <v>24</v>
      </c>
      <c r="H185" s="5" t="s">
        <v>24</v>
      </c>
      <c r="I185" s="5" t="s">
        <v>24</v>
      </c>
      <c r="J185" s="5" t="s">
        <v>24</v>
      </c>
      <c r="K185" s="5" t="s">
        <v>24</v>
      </c>
      <c r="L185" s="5" t="s">
        <v>24</v>
      </c>
      <c r="M185" s="5" t="s">
        <v>24</v>
      </c>
      <c r="N185" s="5" t="s">
        <v>24</v>
      </c>
      <c r="O185" s="5" t="s">
        <v>1933</v>
      </c>
      <c r="P185" s="5" t="s">
        <v>24</v>
      </c>
      <c r="Q185" s="5" t="s">
        <v>24</v>
      </c>
      <c r="R185" s="5" t="s">
        <v>24</v>
      </c>
      <c r="S185" s="5" t="s">
        <v>1852</v>
      </c>
      <c r="T185" s="5" t="s">
        <v>5742</v>
      </c>
      <c r="U185" s="5" t="s">
        <v>5742</v>
      </c>
      <c r="V185" s="5" t="s">
        <v>24</v>
      </c>
      <c r="W185" s="5" t="s">
        <v>24</v>
      </c>
      <c r="X185" s="5" t="s">
        <v>24</v>
      </c>
      <c r="Y185" s="5" t="s">
        <v>5743</v>
      </c>
      <c r="Z185" s="5" t="s">
        <v>5744</v>
      </c>
      <c r="AA185" s="5" t="s">
        <v>5744</v>
      </c>
      <c r="AB185" s="5"/>
    </row>
    <row r="186" ht="15.75" customHeight="1">
      <c r="A186" s="5" t="s">
        <v>5745</v>
      </c>
      <c r="B186" s="5" t="s">
        <v>5746</v>
      </c>
      <c r="C186" s="5" t="s">
        <v>2126</v>
      </c>
      <c r="D186" s="5" t="s">
        <v>24</v>
      </c>
      <c r="E186" s="5" t="s">
        <v>1849</v>
      </c>
      <c r="F186" s="5" t="s">
        <v>4963</v>
      </c>
      <c r="G186" s="5" t="s">
        <v>24</v>
      </c>
      <c r="H186" s="5" t="s">
        <v>24</v>
      </c>
      <c r="I186" s="5" t="s">
        <v>24</v>
      </c>
      <c r="J186" s="5" t="s">
        <v>24</v>
      </c>
      <c r="K186" s="5" t="s">
        <v>24</v>
      </c>
      <c r="L186" s="5" t="s">
        <v>24</v>
      </c>
      <c r="M186" s="5" t="s">
        <v>24</v>
      </c>
      <c r="N186" s="5" t="s">
        <v>24</v>
      </c>
      <c r="O186" s="5" t="s">
        <v>1933</v>
      </c>
      <c r="P186" s="5" t="s">
        <v>24</v>
      </c>
      <c r="Q186" s="5" t="s">
        <v>24</v>
      </c>
      <c r="R186" s="5" t="s">
        <v>24</v>
      </c>
      <c r="S186" s="5" t="s">
        <v>1852</v>
      </c>
      <c r="T186" s="5" t="s">
        <v>5424</v>
      </c>
      <c r="U186" s="5" t="s">
        <v>5424</v>
      </c>
      <c r="V186" s="5" t="s">
        <v>24</v>
      </c>
      <c r="W186" s="5" t="s">
        <v>24</v>
      </c>
      <c r="X186" s="5" t="s">
        <v>24</v>
      </c>
      <c r="Y186" s="5" t="s">
        <v>5747</v>
      </c>
      <c r="Z186" s="5" t="s">
        <v>5748</v>
      </c>
      <c r="AA186" s="5" t="s">
        <v>5748</v>
      </c>
      <c r="AB186" s="5"/>
    </row>
    <row r="187" ht="15.75" customHeight="1">
      <c r="A187" s="5" t="s">
        <v>5749</v>
      </c>
      <c r="B187" s="5" t="s">
        <v>5750</v>
      </c>
      <c r="C187" s="5" t="s">
        <v>5013</v>
      </c>
      <c r="D187" s="5" t="s">
        <v>24</v>
      </c>
      <c r="E187" s="5" t="s">
        <v>1849</v>
      </c>
      <c r="F187" s="5" t="s">
        <v>4963</v>
      </c>
      <c r="G187" s="5" t="s">
        <v>24</v>
      </c>
      <c r="H187" s="5" t="s">
        <v>24</v>
      </c>
      <c r="I187" s="5" t="s">
        <v>24</v>
      </c>
      <c r="J187" s="5" t="s">
        <v>24</v>
      </c>
      <c r="K187" s="5" t="s">
        <v>24</v>
      </c>
      <c r="L187" s="5" t="s">
        <v>24</v>
      </c>
      <c r="M187" s="5" t="s">
        <v>24</v>
      </c>
      <c r="N187" s="5" t="s">
        <v>24</v>
      </c>
      <c r="O187" s="5" t="s">
        <v>1969</v>
      </c>
      <c r="P187" s="5" t="s">
        <v>24</v>
      </c>
      <c r="Q187" s="5" t="s">
        <v>24</v>
      </c>
      <c r="R187" s="5" t="s">
        <v>24</v>
      </c>
      <c r="S187" s="5" t="s">
        <v>1852</v>
      </c>
      <c r="T187" s="5" t="s">
        <v>5120</v>
      </c>
      <c r="U187" s="5" t="s">
        <v>5120</v>
      </c>
      <c r="V187" s="5" t="s">
        <v>24</v>
      </c>
      <c r="W187" s="5" t="s">
        <v>24</v>
      </c>
      <c r="X187" s="5" t="s">
        <v>24</v>
      </c>
      <c r="Y187" s="5" t="s">
        <v>5751</v>
      </c>
      <c r="Z187" s="5" t="s">
        <v>5752</v>
      </c>
      <c r="AA187" s="5" t="s">
        <v>5752</v>
      </c>
      <c r="AB187" s="5"/>
    </row>
    <row r="188" ht="15.75" customHeight="1">
      <c r="A188" s="5" t="s">
        <v>5753</v>
      </c>
      <c r="B188" s="5" t="s">
        <v>5754</v>
      </c>
      <c r="C188" s="5" t="s">
        <v>5013</v>
      </c>
      <c r="D188" s="5" t="s">
        <v>24</v>
      </c>
      <c r="E188" s="5" t="s">
        <v>1849</v>
      </c>
      <c r="F188" s="5" t="s">
        <v>4963</v>
      </c>
      <c r="G188" s="5" t="s">
        <v>24</v>
      </c>
      <c r="H188" s="5" t="s">
        <v>24</v>
      </c>
      <c r="I188" s="5" t="s">
        <v>24</v>
      </c>
      <c r="J188" s="5" t="s">
        <v>24</v>
      </c>
      <c r="K188" s="5" t="s">
        <v>24</v>
      </c>
      <c r="L188" s="5" t="s">
        <v>24</v>
      </c>
      <c r="M188" s="5" t="s">
        <v>24</v>
      </c>
      <c r="N188" s="5" t="s">
        <v>24</v>
      </c>
      <c r="O188" s="5" t="s">
        <v>1894</v>
      </c>
      <c r="P188" s="5" t="s">
        <v>24</v>
      </c>
      <c r="Q188" s="5" t="s">
        <v>24</v>
      </c>
      <c r="R188" s="5" t="s">
        <v>24</v>
      </c>
      <c r="S188" s="5" t="s">
        <v>1852</v>
      </c>
      <c r="T188" s="5" t="s">
        <v>5695</v>
      </c>
      <c r="U188" s="5" t="s">
        <v>5695</v>
      </c>
      <c r="V188" s="5" t="s">
        <v>24</v>
      </c>
      <c r="W188" s="5" t="s">
        <v>24</v>
      </c>
      <c r="X188" s="5" t="s">
        <v>24</v>
      </c>
      <c r="Y188" s="5" t="s">
        <v>5755</v>
      </c>
      <c r="Z188" s="5" t="s">
        <v>5756</v>
      </c>
      <c r="AA188" s="5" t="s">
        <v>5756</v>
      </c>
      <c r="AB188" s="5"/>
    </row>
    <row r="189" ht="15.75" customHeight="1">
      <c r="A189" s="5" t="s">
        <v>5757</v>
      </c>
      <c r="B189" s="5" t="s">
        <v>5758</v>
      </c>
      <c r="C189" s="5" t="s">
        <v>227</v>
      </c>
      <c r="D189" s="5" t="s">
        <v>24</v>
      </c>
      <c r="E189" s="5" t="s">
        <v>1849</v>
      </c>
      <c r="F189" s="5" t="s">
        <v>4963</v>
      </c>
      <c r="G189" s="5" t="s">
        <v>24</v>
      </c>
      <c r="H189" s="5" t="s">
        <v>24</v>
      </c>
      <c r="I189" s="5" t="s">
        <v>24</v>
      </c>
      <c r="J189" s="5" t="s">
        <v>24</v>
      </c>
      <c r="K189" s="5" t="s">
        <v>24</v>
      </c>
      <c r="L189" s="5" t="s">
        <v>24</v>
      </c>
      <c r="M189" s="5" t="s">
        <v>24</v>
      </c>
      <c r="N189" s="5" t="s">
        <v>24</v>
      </c>
      <c r="O189" s="5" t="s">
        <v>4139</v>
      </c>
      <c r="P189" s="5" t="s">
        <v>24</v>
      </c>
      <c r="Q189" s="5" t="s">
        <v>24</v>
      </c>
      <c r="R189" s="5" t="s">
        <v>24</v>
      </c>
      <c r="S189" s="5" t="s">
        <v>1852</v>
      </c>
      <c r="T189" s="5" t="s">
        <v>5384</v>
      </c>
      <c r="U189" s="5" t="s">
        <v>5384</v>
      </c>
      <c r="V189" s="5" t="s">
        <v>24</v>
      </c>
      <c r="W189" s="5" t="s">
        <v>24</v>
      </c>
      <c r="X189" s="5" t="s">
        <v>24</v>
      </c>
      <c r="Y189" s="5" t="s">
        <v>5759</v>
      </c>
      <c r="Z189" s="5" t="s">
        <v>5760</v>
      </c>
      <c r="AA189" s="5" t="s">
        <v>5760</v>
      </c>
      <c r="AB189" s="5"/>
    </row>
    <row r="190" ht="15.75" customHeight="1">
      <c r="A190" s="5" t="s">
        <v>5761</v>
      </c>
      <c r="B190" s="5" t="s">
        <v>5762</v>
      </c>
      <c r="C190" s="5" t="s">
        <v>5013</v>
      </c>
      <c r="D190" s="5" t="s">
        <v>24</v>
      </c>
      <c r="E190" s="5" t="s">
        <v>1849</v>
      </c>
      <c r="F190" s="5" t="s">
        <v>4963</v>
      </c>
      <c r="G190" s="5" t="s">
        <v>24</v>
      </c>
      <c r="H190" s="5" t="s">
        <v>24</v>
      </c>
      <c r="I190" s="5" t="s">
        <v>24</v>
      </c>
      <c r="J190" s="5" t="s">
        <v>24</v>
      </c>
      <c r="K190" s="5" t="s">
        <v>24</v>
      </c>
      <c r="L190" s="5" t="s">
        <v>24</v>
      </c>
      <c r="M190" s="5" t="s">
        <v>1885</v>
      </c>
      <c r="N190" s="5" t="s">
        <v>24</v>
      </c>
      <c r="O190" s="5" t="s">
        <v>24</v>
      </c>
      <c r="P190" s="5" t="s">
        <v>24</v>
      </c>
      <c r="Q190" s="5" t="s">
        <v>24</v>
      </c>
      <c r="R190" s="5" t="s">
        <v>24</v>
      </c>
      <c r="S190" s="5" t="s">
        <v>1852</v>
      </c>
      <c r="T190" s="5" t="s">
        <v>1887</v>
      </c>
      <c r="U190" s="5" t="s">
        <v>1887</v>
      </c>
      <c r="V190" s="5" t="s">
        <v>24</v>
      </c>
      <c r="W190" s="5" t="s">
        <v>24</v>
      </c>
      <c r="X190" s="5" t="s">
        <v>24</v>
      </c>
      <c r="Y190" s="5" t="s">
        <v>5763</v>
      </c>
      <c r="Z190" s="5" t="s">
        <v>5764</v>
      </c>
      <c r="AA190" s="5" t="s">
        <v>5764</v>
      </c>
      <c r="AB190" s="5"/>
    </row>
    <row r="191" ht="15.75" customHeight="1">
      <c r="A191" s="5" t="s">
        <v>5765</v>
      </c>
      <c r="B191" s="5" t="s">
        <v>5766</v>
      </c>
      <c r="C191" s="5" t="s">
        <v>227</v>
      </c>
      <c r="D191" s="5" t="s">
        <v>24</v>
      </c>
      <c r="E191" s="5" t="s">
        <v>1849</v>
      </c>
      <c r="F191" s="5" t="s">
        <v>4963</v>
      </c>
      <c r="G191" s="5" t="s">
        <v>24</v>
      </c>
      <c r="H191" s="5" t="s">
        <v>24</v>
      </c>
      <c r="I191" s="5" t="s">
        <v>24</v>
      </c>
      <c r="J191" s="5" t="s">
        <v>24</v>
      </c>
      <c r="K191" s="5" t="s">
        <v>24</v>
      </c>
      <c r="L191" s="5" t="s">
        <v>24</v>
      </c>
      <c r="M191" s="5" t="s">
        <v>1885</v>
      </c>
      <c r="N191" s="5" t="s">
        <v>24</v>
      </c>
      <c r="O191" s="5" t="s">
        <v>24</v>
      </c>
      <c r="P191" s="5" t="s">
        <v>24</v>
      </c>
      <c r="Q191" s="5" t="s">
        <v>24</v>
      </c>
      <c r="R191" s="5" t="s">
        <v>24</v>
      </c>
      <c r="S191" s="5" t="s">
        <v>1852</v>
      </c>
      <c r="T191" s="5" t="s">
        <v>5608</v>
      </c>
      <c r="U191" s="5" t="s">
        <v>5608</v>
      </c>
      <c r="V191" s="5" t="s">
        <v>24</v>
      </c>
      <c r="W191" s="5" t="s">
        <v>24</v>
      </c>
      <c r="X191" s="5" t="s">
        <v>24</v>
      </c>
      <c r="Y191" s="5" t="s">
        <v>5767</v>
      </c>
      <c r="Z191" s="5" t="s">
        <v>5768</v>
      </c>
      <c r="AA191" s="5" t="s">
        <v>5768</v>
      </c>
      <c r="AB191" s="5"/>
    </row>
    <row r="192" ht="15.75" customHeight="1">
      <c r="A192" s="5" t="s">
        <v>5769</v>
      </c>
      <c r="B192" s="5" t="s">
        <v>5770</v>
      </c>
      <c r="C192" s="5" t="s">
        <v>227</v>
      </c>
      <c r="D192" s="5" t="s">
        <v>24</v>
      </c>
      <c r="E192" s="5" t="s">
        <v>1849</v>
      </c>
      <c r="F192" s="5" t="s">
        <v>4963</v>
      </c>
      <c r="G192" s="5" t="s">
        <v>24</v>
      </c>
      <c r="H192" s="5" t="s">
        <v>24</v>
      </c>
      <c r="I192" s="5" t="s">
        <v>24</v>
      </c>
      <c r="J192" s="5" t="s">
        <v>24</v>
      </c>
      <c r="K192" s="5" t="s">
        <v>24</v>
      </c>
      <c r="L192" s="5" t="s">
        <v>24</v>
      </c>
      <c r="M192" s="5" t="s">
        <v>24</v>
      </c>
      <c r="N192" s="5" t="s">
        <v>24</v>
      </c>
      <c r="O192" s="5" t="s">
        <v>4223</v>
      </c>
      <c r="P192" s="5" t="s">
        <v>24</v>
      </c>
      <c r="Q192" s="5" t="s">
        <v>24</v>
      </c>
      <c r="R192" s="5" t="s">
        <v>24</v>
      </c>
      <c r="S192" s="5" t="s">
        <v>1852</v>
      </c>
      <c r="T192" s="5" t="s">
        <v>5384</v>
      </c>
      <c r="U192" s="5" t="s">
        <v>5384</v>
      </c>
      <c r="V192" s="5" t="s">
        <v>24</v>
      </c>
      <c r="W192" s="5" t="s">
        <v>24</v>
      </c>
      <c r="X192" s="5" t="s">
        <v>24</v>
      </c>
      <c r="Y192" s="5" t="s">
        <v>5771</v>
      </c>
      <c r="Z192" s="5" t="s">
        <v>5772</v>
      </c>
      <c r="AA192" s="5" t="s">
        <v>5772</v>
      </c>
      <c r="AB192" s="5"/>
    </row>
    <row r="193" ht="15.75" customHeight="1">
      <c r="A193" s="5" t="s">
        <v>5773</v>
      </c>
      <c r="B193" s="5" t="s">
        <v>5774</v>
      </c>
      <c r="C193" s="5" t="s">
        <v>2126</v>
      </c>
      <c r="D193" s="5" t="s">
        <v>24</v>
      </c>
      <c r="E193" s="5" t="s">
        <v>1849</v>
      </c>
      <c r="F193" s="5" t="s">
        <v>4963</v>
      </c>
      <c r="G193" s="5" t="s">
        <v>24</v>
      </c>
      <c r="H193" s="5" t="s">
        <v>24</v>
      </c>
      <c r="I193" s="5" t="s">
        <v>24</v>
      </c>
      <c r="J193" s="5" t="s">
        <v>24</v>
      </c>
      <c r="K193" s="5" t="s">
        <v>24</v>
      </c>
      <c r="L193" s="5" t="s">
        <v>24</v>
      </c>
      <c r="M193" s="5" t="s">
        <v>24</v>
      </c>
      <c r="N193" s="5" t="s">
        <v>24</v>
      </c>
      <c r="O193" s="5" t="s">
        <v>3654</v>
      </c>
      <c r="P193" s="5" t="s">
        <v>24</v>
      </c>
      <c r="Q193" s="5" t="s">
        <v>24</v>
      </c>
      <c r="R193" s="5" t="s">
        <v>24</v>
      </c>
      <c r="S193" s="5" t="s">
        <v>1852</v>
      </c>
      <c r="T193" s="5" t="s">
        <v>5775</v>
      </c>
      <c r="U193" s="5" t="s">
        <v>5775</v>
      </c>
      <c r="V193" s="5" t="s">
        <v>24</v>
      </c>
      <c r="W193" s="5" t="s">
        <v>24</v>
      </c>
      <c r="X193" s="5" t="s">
        <v>24</v>
      </c>
      <c r="Y193" s="5" t="s">
        <v>5776</v>
      </c>
      <c r="Z193" s="5" t="s">
        <v>5777</v>
      </c>
      <c r="AA193" s="5" t="s">
        <v>5777</v>
      </c>
      <c r="AB193" s="5"/>
    </row>
    <row r="194" ht="15.75" customHeight="1">
      <c r="A194" s="5" t="s">
        <v>5778</v>
      </c>
      <c r="B194" s="5" t="s">
        <v>5779</v>
      </c>
      <c r="C194" s="5" t="s">
        <v>227</v>
      </c>
      <c r="D194" s="5" t="s">
        <v>24</v>
      </c>
      <c r="E194" s="5" t="s">
        <v>1849</v>
      </c>
      <c r="F194" s="5" t="s">
        <v>4963</v>
      </c>
      <c r="G194" s="5" t="s">
        <v>24</v>
      </c>
      <c r="H194" s="5" t="s">
        <v>24</v>
      </c>
      <c r="I194" s="5" t="s">
        <v>24</v>
      </c>
      <c r="J194" s="5" t="s">
        <v>24</v>
      </c>
      <c r="K194" s="5" t="s">
        <v>24</v>
      </c>
      <c r="L194" s="5" t="s">
        <v>24</v>
      </c>
      <c r="M194" s="5" t="s">
        <v>24</v>
      </c>
      <c r="N194" s="5" t="s">
        <v>24</v>
      </c>
      <c r="O194" s="5" t="s">
        <v>1851</v>
      </c>
      <c r="P194" s="5" t="s">
        <v>24</v>
      </c>
      <c r="Q194" s="5" t="s">
        <v>24</v>
      </c>
      <c r="R194" s="5" t="s">
        <v>24</v>
      </c>
      <c r="S194" s="5" t="s">
        <v>1852</v>
      </c>
      <c r="T194" s="5" t="s">
        <v>5780</v>
      </c>
      <c r="U194" s="5" t="s">
        <v>5780</v>
      </c>
      <c r="V194" s="5" t="s">
        <v>24</v>
      </c>
      <c r="W194" s="5" t="s">
        <v>24</v>
      </c>
      <c r="X194" s="5" t="s">
        <v>24</v>
      </c>
      <c r="Y194" s="5" t="s">
        <v>5781</v>
      </c>
      <c r="Z194" s="5" t="s">
        <v>5782</v>
      </c>
      <c r="AA194" s="5" t="s">
        <v>5782</v>
      </c>
      <c r="AB194" s="5"/>
    </row>
    <row r="195" ht="15.75" customHeight="1">
      <c r="A195" s="5" t="s">
        <v>5783</v>
      </c>
      <c r="B195" s="5" t="s">
        <v>5784</v>
      </c>
      <c r="C195" s="5" t="s">
        <v>2126</v>
      </c>
      <c r="D195" s="5" t="s">
        <v>24</v>
      </c>
      <c r="E195" s="5" t="s">
        <v>1849</v>
      </c>
      <c r="F195" s="5" t="s">
        <v>4963</v>
      </c>
      <c r="G195" s="5" t="s">
        <v>24</v>
      </c>
      <c r="H195" s="5" t="s">
        <v>24</v>
      </c>
      <c r="I195" s="5" t="s">
        <v>24</v>
      </c>
      <c r="J195" s="5" t="s">
        <v>24</v>
      </c>
      <c r="K195" s="5" t="s">
        <v>24</v>
      </c>
      <c r="L195" s="5" t="s">
        <v>24</v>
      </c>
      <c r="M195" s="5" t="s">
        <v>24</v>
      </c>
      <c r="N195" s="5" t="s">
        <v>24</v>
      </c>
      <c r="O195" s="5" t="s">
        <v>3654</v>
      </c>
      <c r="P195" s="5" t="s">
        <v>24</v>
      </c>
      <c r="Q195" s="5" t="s">
        <v>24</v>
      </c>
      <c r="R195" s="5" t="s">
        <v>24</v>
      </c>
      <c r="S195" s="5" t="s">
        <v>1852</v>
      </c>
      <c r="T195" s="5" t="s">
        <v>5775</v>
      </c>
      <c r="U195" s="5" t="s">
        <v>5775</v>
      </c>
      <c r="V195" s="5" t="s">
        <v>24</v>
      </c>
      <c r="W195" s="5" t="s">
        <v>24</v>
      </c>
      <c r="X195" s="5" t="s">
        <v>24</v>
      </c>
      <c r="Y195" s="5" t="s">
        <v>5785</v>
      </c>
      <c r="Z195" s="5" t="s">
        <v>5786</v>
      </c>
      <c r="AA195" s="5" t="s">
        <v>5786</v>
      </c>
      <c r="AB195" s="5"/>
    </row>
    <row r="196" ht="15.75" customHeight="1">
      <c r="A196" s="5" t="s">
        <v>5787</v>
      </c>
      <c r="B196" s="5" t="s">
        <v>5788</v>
      </c>
      <c r="C196" s="5" t="s">
        <v>227</v>
      </c>
      <c r="D196" s="5" t="s">
        <v>24</v>
      </c>
      <c r="E196" s="5" t="s">
        <v>1849</v>
      </c>
      <c r="F196" s="5" t="s">
        <v>4963</v>
      </c>
      <c r="G196" s="5" t="s">
        <v>24</v>
      </c>
      <c r="H196" s="5" t="s">
        <v>24</v>
      </c>
      <c r="I196" s="5" t="s">
        <v>24</v>
      </c>
      <c r="J196" s="5" t="s">
        <v>24</v>
      </c>
      <c r="K196" s="5" t="s">
        <v>24</v>
      </c>
      <c r="L196" s="5" t="s">
        <v>24</v>
      </c>
      <c r="M196" s="5" t="s">
        <v>24</v>
      </c>
      <c r="N196" s="5" t="s">
        <v>24</v>
      </c>
      <c r="O196" s="5" t="s">
        <v>2626</v>
      </c>
      <c r="P196" s="5" t="s">
        <v>24</v>
      </c>
      <c r="Q196" s="5" t="s">
        <v>24</v>
      </c>
      <c r="R196" s="5" t="s">
        <v>24</v>
      </c>
      <c r="S196" s="5" t="s">
        <v>1852</v>
      </c>
      <c r="T196" s="5" t="s">
        <v>1918</v>
      </c>
      <c r="U196" s="5" t="s">
        <v>1918</v>
      </c>
      <c r="V196" s="5" t="s">
        <v>24</v>
      </c>
      <c r="W196" s="5" t="s">
        <v>24</v>
      </c>
      <c r="X196" s="5" t="s">
        <v>24</v>
      </c>
      <c r="Y196" s="5" t="s">
        <v>5789</v>
      </c>
      <c r="Z196" s="5" t="s">
        <v>5790</v>
      </c>
      <c r="AA196" s="5" t="s">
        <v>5790</v>
      </c>
      <c r="AB196" s="5"/>
    </row>
    <row r="197" ht="15.75" customHeight="1">
      <c r="A197" s="5" t="s">
        <v>5791</v>
      </c>
      <c r="B197" s="5" t="s">
        <v>5792</v>
      </c>
      <c r="C197" s="5" t="s">
        <v>5013</v>
      </c>
      <c r="D197" s="5" t="s">
        <v>24</v>
      </c>
      <c r="E197" s="5" t="s">
        <v>1849</v>
      </c>
      <c r="F197" s="5" t="s">
        <v>4963</v>
      </c>
      <c r="G197" s="5" t="s">
        <v>24</v>
      </c>
      <c r="H197" s="5" t="s">
        <v>24</v>
      </c>
      <c r="I197" s="5" t="s">
        <v>24</v>
      </c>
      <c r="J197" s="5" t="s">
        <v>24</v>
      </c>
      <c r="K197" s="5" t="s">
        <v>24</v>
      </c>
      <c r="L197" s="5" t="s">
        <v>24</v>
      </c>
      <c r="M197" s="5" t="s">
        <v>24</v>
      </c>
      <c r="N197" s="5" t="s">
        <v>24</v>
      </c>
      <c r="O197" s="5" t="s">
        <v>1886</v>
      </c>
      <c r="P197" s="5" t="s">
        <v>24</v>
      </c>
      <c r="Q197" s="5" t="s">
        <v>24</v>
      </c>
      <c r="R197" s="5" t="s">
        <v>24</v>
      </c>
      <c r="S197" s="5" t="s">
        <v>1852</v>
      </c>
      <c r="T197" s="5" t="s">
        <v>5793</v>
      </c>
      <c r="U197" s="5" t="s">
        <v>5793</v>
      </c>
      <c r="V197" s="5" t="s">
        <v>24</v>
      </c>
      <c r="W197" s="5" t="s">
        <v>24</v>
      </c>
      <c r="X197" s="5" t="s">
        <v>24</v>
      </c>
      <c r="Y197" s="5" t="s">
        <v>5794</v>
      </c>
      <c r="Z197" s="5" t="s">
        <v>5795</v>
      </c>
      <c r="AA197" s="5" t="s">
        <v>5795</v>
      </c>
      <c r="AB197" s="5"/>
    </row>
    <row r="198" ht="15.75" customHeight="1">
      <c r="A198" s="5" t="s">
        <v>5796</v>
      </c>
      <c r="B198" s="5" t="s">
        <v>5797</v>
      </c>
      <c r="C198" s="5" t="s">
        <v>5013</v>
      </c>
      <c r="D198" s="5" t="s">
        <v>24</v>
      </c>
      <c r="E198" s="5" t="s">
        <v>1849</v>
      </c>
      <c r="F198" s="5" t="s">
        <v>4963</v>
      </c>
      <c r="G198" s="5" t="s">
        <v>24</v>
      </c>
      <c r="H198" s="5" t="s">
        <v>24</v>
      </c>
      <c r="I198" s="5" t="s">
        <v>24</v>
      </c>
      <c r="J198" s="5" t="s">
        <v>24</v>
      </c>
      <c r="K198" s="5" t="s">
        <v>24</v>
      </c>
      <c r="L198" s="5" t="s">
        <v>24</v>
      </c>
      <c r="M198" s="5" t="s">
        <v>4765</v>
      </c>
      <c r="N198" s="5" t="s">
        <v>24</v>
      </c>
      <c r="O198" s="5" t="s">
        <v>24</v>
      </c>
      <c r="P198" s="5" t="s">
        <v>24</v>
      </c>
      <c r="Q198" s="5" t="s">
        <v>24</v>
      </c>
      <c r="R198" s="5" t="s">
        <v>24</v>
      </c>
      <c r="S198" s="5" t="s">
        <v>1852</v>
      </c>
      <c r="T198" s="5" t="s">
        <v>2271</v>
      </c>
      <c r="U198" s="5" t="s">
        <v>2271</v>
      </c>
      <c r="V198" s="5" t="s">
        <v>24</v>
      </c>
      <c r="W198" s="5" t="s">
        <v>24</v>
      </c>
      <c r="X198" s="5" t="s">
        <v>24</v>
      </c>
      <c r="Y198" s="5" t="s">
        <v>5798</v>
      </c>
      <c r="Z198" s="5" t="s">
        <v>5799</v>
      </c>
      <c r="AA198" s="5" t="s">
        <v>5799</v>
      </c>
      <c r="AB198" s="5"/>
    </row>
    <row r="199" ht="15.75" customHeight="1">
      <c r="A199" s="5" t="s">
        <v>5800</v>
      </c>
      <c r="B199" s="5" t="s">
        <v>5801</v>
      </c>
      <c r="C199" s="5" t="s">
        <v>5013</v>
      </c>
      <c r="D199" s="5" t="s">
        <v>24</v>
      </c>
      <c r="E199" s="5" t="s">
        <v>1849</v>
      </c>
      <c r="F199" s="5" t="s">
        <v>4963</v>
      </c>
      <c r="G199" s="5" t="s">
        <v>24</v>
      </c>
      <c r="H199" s="5" t="s">
        <v>24</v>
      </c>
      <c r="I199" s="5" t="s">
        <v>24</v>
      </c>
      <c r="J199" s="5" t="s">
        <v>24</v>
      </c>
      <c r="K199" s="5" t="s">
        <v>24</v>
      </c>
      <c r="L199" s="5" t="s">
        <v>24</v>
      </c>
      <c r="M199" s="5" t="s">
        <v>24</v>
      </c>
      <c r="N199" s="5" t="s">
        <v>24</v>
      </c>
      <c r="O199" s="5" t="s">
        <v>1933</v>
      </c>
      <c r="P199" s="5" t="s">
        <v>24</v>
      </c>
      <c r="Q199" s="5" t="s">
        <v>24</v>
      </c>
      <c r="R199" s="5" t="s">
        <v>24</v>
      </c>
      <c r="S199" s="5" t="s">
        <v>1852</v>
      </c>
      <c r="T199" s="5" t="s">
        <v>5802</v>
      </c>
      <c r="U199" s="5" t="s">
        <v>5802</v>
      </c>
      <c r="V199" s="5" t="s">
        <v>24</v>
      </c>
      <c r="W199" s="5" t="s">
        <v>24</v>
      </c>
      <c r="X199" s="5" t="s">
        <v>24</v>
      </c>
      <c r="Y199" s="5" t="s">
        <v>5803</v>
      </c>
      <c r="Z199" s="5" t="s">
        <v>5804</v>
      </c>
      <c r="AA199" s="5" t="s">
        <v>5804</v>
      </c>
      <c r="AB199" s="5"/>
    </row>
    <row r="200" ht="15.75" customHeight="1">
      <c r="A200" s="5" t="s">
        <v>5805</v>
      </c>
      <c r="B200" s="5" t="s">
        <v>5806</v>
      </c>
      <c r="C200" s="5" t="s">
        <v>294</v>
      </c>
      <c r="D200" s="5" t="s">
        <v>24</v>
      </c>
      <c r="E200" s="5" t="s">
        <v>1849</v>
      </c>
      <c r="F200" s="5" t="s">
        <v>4963</v>
      </c>
      <c r="G200" s="5" t="s">
        <v>24</v>
      </c>
      <c r="H200" s="5" t="s">
        <v>24</v>
      </c>
      <c r="I200" s="5" t="s">
        <v>24</v>
      </c>
      <c r="J200" s="5" t="s">
        <v>24</v>
      </c>
      <c r="K200" s="5" t="s">
        <v>24</v>
      </c>
      <c r="L200" s="5" t="s">
        <v>24</v>
      </c>
      <c r="M200" s="5" t="s">
        <v>24</v>
      </c>
      <c r="N200" s="5" t="s">
        <v>24</v>
      </c>
      <c r="O200" s="5" t="s">
        <v>4089</v>
      </c>
      <c r="P200" s="5" t="s">
        <v>24</v>
      </c>
      <c r="Q200" s="5" t="s">
        <v>24</v>
      </c>
      <c r="R200" s="5" t="s">
        <v>24</v>
      </c>
      <c r="S200" s="5" t="s">
        <v>1852</v>
      </c>
      <c r="T200" s="5" t="s">
        <v>5271</v>
      </c>
      <c r="U200" s="5" t="s">
        <v>5271</v>
      </c>
      <c r="V200" s="5" t="s">
        <v>24</v>
      </c>
      <c r="W200" s="5" t="s">
        <v>24</v>
      </c>
      <c r="X200" s="5" t="s">
        <v>24</v>
      </c>
      <c r="Y200" s="5" t="s">
        <v>5807</v>
      </c>
      <c r="Z200" s="5" t="s">
        <v>5808</v>
      </c>
      <c r="AA200" s="5" t="s">
        <v>5808</v>
      </c>
      <c r="AB200" s="5"/>
    </row>
    <row r="201" ht="15.75" customHeight="1">
      <c r="A201" s="5" t="s">
        <v>5809</v>
      </c>
      <c r="B201" s="5" t="s">
        <v>5810</v>
      </c>
      <c r="C201" s="5" t="s">
        <v>227</v>
      </c>
      <c r="D201" s="5" t="s">
        <v>24</v>
      </c>
      <c r="E201" s="5" t="s">
        <v>1849</v>
      </c>
      <c r="F201" s="5" t="s">
        <v>4963</v>
      </c>
      <c r="G201" s="5" t="s">
        <v>24</v>
      </c>
      <c r="H201" s="5" t="s">
        <v>24</v>
      </c>
      <c r="I201" s="5" t="s">
        <v>24</v>
      </c>
      <c r="J201" s="5" t="s">
        <v>24</v>
      </c>
      <c r="K201" s="5" t="s">
        <v>24</v>
      </c>
      <c r="L201" s="5" t="s">
        <v>24</v>
      </c>
      <c r="M201" s="5" t="s">
        <v>24</v>
      </c>
      <c r="N201" s="5" t="s">
        <v>24</v>
      </c>
      <c r="O201" s="5" t="s">
        <v>3943</v>
      </c>
      <c r="P201" s="5" t="s">
        <v>24</v>
      </c>
      <c r="Q201" s="5" t="s">
        <v>24</v>
      </c>
      <c r="R201" s="5" t="s">
        <v>24</v>
      </c>
      <c r="S201" s="5" t="s">
        <v>1852</v>
      </c>
      <c r="T201" s="5" t="s">
        <v>1872</v>
      </c>
      <c r="U201" s="5" t="s">
        <v>1872</v>
      </c>
      <c r="V201" s="5" t="s">
        <v>24</v>
      </c>
      <c r="W201" s="5" t="s">
        <v>24</v>
      </c>
      <c r="X201" s="5" t="s">
        <v>24</v>
      </c>
      <c r="Y201" s="5" t="s">
        <v>5811</v>
      </c>
      <c r="Z201" s="5" t="s">
        <v>5812</v>
      </c>
      <c r="AA201" s="5" t="s">
        <v>5812</v>
      </c>
      <c r="AB201" s="5"/>
    </row>
    <row r="202" ht="15.75" customHeight="1">
      <c r="A202" s="5" t="s">
        <v>5813</v>
      </c>
      <c r="B202" s="5" t="s">
        <v>5814</v>
      </c>
      <c r="C202" s="5" t="s">
        <v>336</v>
      </c>
      <c r="D202" s="5" t="s">
        <v>24</v>
      </c>
      <c r="E202" s="5" t="s">
        <v>1849</v>
      </c>
      <c r="F202" s="5" t="s">
        <v>4963</v>
      </c>
      <c r="G202" s="5" t="s">
        <v>24</v>
      </c>
      <c r="H202" s="5" t="s">
        <v>24</v>
      </c>
      <c r="I202" s="5" t="s">
        <v>24</v>
      </c>
      <c r="J202" s="5" t="s">
        <v>24</v>
      </c>
      <c r="K202" s="5" t="s">
        <v>24</v>
      </c>
      <c r="L202" s="5" t="s">
        <v>24</v>
      </c>
      <c r="M202" s="5" t="s">
        <v>4504</v>
      </c>
      <c r="N202" s="5" t="s">
        <v>24</v>
      </c>
      <c r="O202" s="5" t="s">
        <v>24</v>
      </c>
      <c r="P202" s="5" t="s">
        <v>24</v>
      </c>
      <c r="Q202" s="5" t="s">
        <v>24</v>
      </c>
      <c r="R202" s="5" t="s">
        <v>24</v>
      </c>
      <c r="S202" s="5" t="s">
        <v>1852</v>
      </c>
      <c r="T202" s="5" t="s">
        <v>5815</v>
      </c>
      <c r="U202" s="5" t="s">
        <v>5815</v>
      </c>
      <c r="V202" s="5" t="s">
        <v>24</v>
      </c>
      <c r="W202" s="5" t="s">
        <v>24</v>
      </c>
      <c r="X202" s="5" t="s">
        <v>24</v>
      </c>
      <c r="Y202" s="5" t="s">
        <v>5816</v>
      </c>
      <c r="Z202" s="5" t="s">
        <v>5817</v>
      </c>
      <c r="AA202" s="5" t="s">
        <v>5817</v>
      </c>
      <c r="AB202" s="5"/>
    </row>
    <row r="203" ht="15.75" customHeight="1">
      <c r="A203" s="5" t="s">
        <v>5818</v>
      </c>
      <c r="B203" s="5" t="s">
        <v>5819</v>
      </c>
      <c r="C203" s="5" t="s">
        <v>5013</v>
      </c>
      <c r="D203" s="5" t="s">
        <v>24</v>
      </c>
      <c r="E203" s="5" t="s">
        <v>1849</v>
      </c>
      <c r="F203" s="5" t="s">
        <v>4963</v>
      </c>
      <c r="G203" s="5" t="s">
        <v>24</v>
      </c>
      <c r="H203" s="5" t="s">
        <v>24</v>
      </c>
      <c r="I203" s="5" t="s">
        <v>24</v>
      </c>
      <c r="J203" s="5" t="s">
        <v>24</v>
      </c>
      <c r="K203" s="5" t="s">
        <v>24</v>
      </c>
      <c r="L203" s="5" t="s">
        <v>24</v>
      </c>
      <c r="M203" s="5" t="s">
        <v>1885</v>
      </c>
      <c r="N203" s="5" t="s">
        <v>24</v>
      </c>
      <c r="O203" s="5" t="s">
        <v>24</v>
      </c>
      <c r="P203" s="5" t="s">
        <v>24</v>
      </c>
      <c r="Q203" s="5" t="s">
        <v>24</v>
      </c>
      <c r="R203" s="5" t="s">
        <v>24</v>
      </c>
      <c r="S203" s="5" t="s">
        <v>1852</v>
      </c>
      <c r="T203" s="5" t="s">
        <v>5820</v>
      </c>
      <c r="U203" s="5" t="s">
        <v>5820</v>
      </c>
      <c r="V203" s="5" t="s">
        <v>24</v>
      </c>
      <c r="W203" s="5" t="s">
        <v>24</v>
      </c>
      <c r="X203" s="5" t="s">
        <v>24</v>
      </c>
      <c r="Y203" s="5" t="s">
        <v>5821</v>
      </c>
      <c r="Z203" s="5" t="s">
        <v>5822</v>
      </c>
      <c r="AA203" s="5" t="s">
        <v>5822</v>
      </c>
      <c r="AB203" s="5"/>
    </row>
    <row r="204" ht="15.75" customHeight="1">
      <c r="A204" s="5" t="s">
        <v>5823</v>
      </c>
      <c r="B204" s="5" t="s">
        <v>5824</v>
      </c>
      <c r="C204" s="5" t="s">
        <v>227</v>
      </c>
      <c r="D204" s="5" t="s">
        <v>24</v>
      </c>
      <c r="E204" s="5" t="s">
        <v>1849</v>
      </c>
      <c r="F204" s="5" t="s">
        <v>4963</v>
      </c>
      <c r="G204" s="5" t="s">
        <v>24</v>
      </c>
      <c r="H204" s="5" t="s">
        <v>24</v>
      </c>
      <c r="I204" s="5" t="s">
        <v>24</v>
      </c>
      <c r="J204" s="5" t="s">
        <v>24</v>
      </c>
      <c r="K204" s="5" t="s">
        <v>24</v>
      </c>
      <c r="L204" s="5" t="s">
        <v>24</v>
      </c>
      <c r="M204" s="5" t="s">
        <v>24</v>
      </c>
      <c r="N204" s="5" t="s">
        <v>24</v>
      </c>
      <c r="O204" s="5" t="s">
        <v>1917</v>
      </c>
      <c r="P204" s="5" t="s">
        <v>24</v>
      </c>
      <c r="Q204" s="5" t="s">
        <v>24</v>
      </c>
      <c r="R204" s="5" t="s">
        <v>24</v>
      </c>
      <c r="S204" s="5" t="s">
        <v>1852</v>
      </c>
      <c r="T204" s="5" t="s">
        <v>2047</v>
      </c>
      <c r="U204" s="5" t="s">
        <v>2047</v>
      </c>
      <c r="V204" s="5" t="s">
        <v>24</v>
      </c>
      <c r="W204" s="5" t="s">
        <v>24</v>
      </c>
      <c r="X204" s="5" t="s">
        <v>24</v>
      </c>
      <c r="Y204" s="5" t="s">
        <v>5825</v>
      </c>
      <c r="Z204" s="5" t="s">
        <v>5826</v>
      </c>
      <c r="AA204" s="5" t="s">
        <v>5826</v>
      </c>
      <c r="AB204" s="5"/>
    </row>
    <row r="205" ht="15.75" customHeight="1">
      <c r="A205" s="5" t="s">
        <v>5827</v>
      </c>
      <c r="B205" s="5" t="s">
        <v>5828</v>
      </c>
      <c r="C205" s="5" t="s">
        <v>1240</v>
      </c>
      <c r="D205" s="5" t="s">
        <v>24</v>
      </c>
      <c r="E205" s="5" t="s">
        <v>1849</v>
      </c>
      <c r="F205" s="5" t="s">
        <v>4963</v>
      </c>
      <c r="G205" s="5" t="s">
        <v>24</v>
      </c>
      <c r="H205" s="5" t="s">
        <v>24</v>
      </c>
      <c r="I205" s="5" t="s">
        <v>24</v>
      </c>
      <c r="J205" s="5" t="s">
        <v>24</v>
      </c>
      <c r="K205" s="5" t="s">
        <v>24</v>
      </c>
      <c r="L205" s="5" t="s">
        <v>24</v>
      </c>
      <c r="M205" s="5" t="s">
        <v>24</v>
      </c>
      <c r="N205" s="5" t="s">
        <v>24</v>
      </c>
      <c r="O205" s="5" t="s">
        <v>1933</v>
      </c>
      <c r="P205" s="5" t="s">
        <v>24</v>
      </c>
      <c r="Q205" s="5" t="s">
        <v>24</v>
      </c>
      <c r="R205" s="5" t="s">
        <v>24</v>
      </c>
      <c r="S205" s="5" t="s">
        <v>1852</v>
      </c>
      <c r="T205" s="5" t="s">
        <v>5820</v>
      </c>
      <c r="U205" s="5" t="s">
        <v>5820</v>
      </c>
      <c r="V205" s="5" t="s">
        <v>24</v>
      </c>
      <c r="W205" s="5" t="s">
        <v>24</v>
      </c>
      <c r="X205" s="5" t="s">
        <v>24</v>
      </c>
      <c r="Y205" s="5" t="s">
        <v>5829</v>
      </c>
      <c r="Z205" s="5" t="s">
        <v>5830</v>
      </c>
      <c r="AA205" s="5" t="s">
        <v>5830</v>
      </c>
      <c r="AB205" s="5"/>
    </row>
    <row r="206" ht="15.75" customHeight="1">
      <c r="A206" s="5" t="s">
        <v>5831</v>
      </c>
      <c r="B206" s="5" t="s">
        <v>5832</v>
      </c>
      <c r="C206" s="5" t="s">
        <v>294</v>
      </c>
      <c r="D206" s="5" t="s">
        <v>24</v>
      </c>
      <c r="E206" s="5" t="s">
        <v>1849</v>
      </c>
      <c r="F206" s="5" t="s">
        <v>4963</v>
      </c>
      <c r="G206" s="5" t="s">
        <v>24</v>
      </c>
      <c r="H206" s="5" t="s">
        <v>24</v>
      </c>
      <c r="I206" s="5" t="s">
        <v>24</v>
      </c>
      <c r="J206" s="5" t="s">
        <v>24</v>
      </c>
      <c r="K206" s="5" t="s">
        <v>24</v>
      </c>
      <c r="L206" s="5" t="s">
        <v>24</v>
      </c>
      <c r="M206" s="5" t="s">
        <v>1885</v>
      </c>
      <c r="N206" s="5" t="s">
        <v>24</v>
      </c>
      <c r="O206" s="5" t="s">
        <v>24</v>
      </c>
      <c r="P206" s="5" t="s">
        <v>24</v>
      </c>
      <c r="Q206" s="5" t="s">
        <v>24</v>
      </c>
      <c r="R206" s="5" t="s">
        <v>24</v>
      </c>
      <c r="S206" s="5" t="s">
        <v>1852</v>
      </c>
      <c r="T206" s="5" t="s">
        <v>4749</v>
      </c>
      <c r="U206" s="5" t="s">
        <v>4749</v>
      </c>
      <c r="V206" s="5" t="s">
        <v>24</v>
      </c>
      <c r="W206" s="5" t="s">
        <v>24</v>
      </c>
      <c r="X206" s="5" t="s">
        <v>24</v>
      </c>
      <c r="Y206" s="5" t="s">
        <v>5833</v>
      </c>
      <c r="Z206" s="5" t="s">
        <v>5834</v>
      </c>
      <c r="AA206" s="5" t="s">
        <v>5834</v>
      </c>
      <c r="AB206" s="5"/>
    </row>
    <row r="207" ht="15.75" customHeight="1">
      <c r="A207" s="5" t="s">
        <v>5835</v>
      </c>
      <c r="B207" s="5" t="s">
        <v>5836</v>
      </c>
      <c r="C207" s="5" t="s">
        <v>5013</v>
      </c>
      <c r="D207" s="5" t="s">
        <v>24</v>
      </c>
      <c r="E207" s="5" t="s">
        <v>1849</v>
      </c>
      <c r="F207" s="5" t="s">
        <v>4963</v>
      </c>
      <c r="G207" s="5" t="s">
        <v>24</v>
      </c>
      <c r="H207" s="5" t="s">
        <v>24</v>
      </c>
      <c r="I207" s="5" t="s">
        <v>24</v>
      </c>
      <c r="J207" s="5" t="s">
        <v>24</v>
      </c>
      <c r="K207" s="5" t="s">
        <v>24</v>
      </c>
      <c r="L207" s="5" t="s">
        <v>24</v>
      </c>
      <c r="M207" s="5" t="s">
        <v>4504</v>
      </c>
      <c r="N207" s="5" t="s">
        <v>24</v>
      </c>
      <c r="O207" s="5" t="s">
        <v>24</v>
      </c>
      <c r="P207" s="5" t="s">
        <v>24</v>
      </c>
      <c r="Q207" s="5" t="s">
        <v>24</v>
      </c>
      <c r="R207" s="5" t="s">
        <v>24</v>
      </c>
      <c r="S207" s="5" t="s">
        <v>1852</v>
      </c>
      <c r="T207" s="5" t="s">
        <v>5837</v>
      </c>
      <c r="U207" s="5" t="s">
        <v>5837</v>
      </c>
      <c r="V207" s="5" t="s">
        <v>24</v>
      </c>
      <c r="W207" s="5" t="s">
        <v>24</v>
      </c>
      <c r="X207" s="5" t="s">
        <v>24</v>
      </c>
      <c r="Y207" s="5" t="s">
        <v>5838</v>
      </c>
      <c r="Z207" s="5" t="s">
        <v>5839</v>
      </c>
      <c r="AA207" s="5" t="s">
        <v>5839</v>
      </c>
      <c r="AB207" s="5"/>
    </row>
    <row r="208" ht="15.75" customHeight="1">
      <c r="A208" s="5" t="s">
        <v>5840</v>
      </c>
      <c r="B208" s="5" t="s">
        <v>5841</v>
      </c>
      <c r="C208" s="5" t="s">
        <v>106</v>
      </c>
      <c r="D208" s="5" t="s">
        <v>24</v>
      </c>
      <c r="E208" s="5" t="s">
        <v>1849</v>
      </c>
      <c r="F208" s="5" t="s">
        <v>4963</v>
      </c>
      <c r="G208" s="5" t="s">
        <v>24</v>
      </c>
      <c r="H208" s="5" t="s">
        <v>24</v>
      </c>
      <c r="I208" s="5" t="s">
        <v>24</v>
      </c>
      <c r="J208" s="5" t="s">
        <v>24</v>
      </c>
      <c r="K208" s="5" t="s">
        <v>24</v>
      </c>
      <c r="L208" s="5" t="s">
        <v>24</v>
      </c>
      <c r="M208" s="5" t="s">
        <v>24</v>
      </c>
      <c r="N208" s="5" t="s">
        <v>24</v>
      </c>
      <c r="O208" s="5" t="s">
        <v>1851</v>
      </c>
      <c r="P208" s="5" t="s">
        <v>24</v>
      </c>
      <c r="Q208" s="5" t="s">
        <v>24</v>
      </c>
      <c r="R208" s="5" t="s">
        <v>24</v>
      </c>
      <c r="S208" s="5" t="s">
        <v>1852</v>
      </c>
      <c r="T208" s="5" t="s">
        <v>5638</v>
      </c>
      <c r="U208" s="5" t="s">
        <v>5638</v>
      </c>
      <c r="V208" s="5" t="s">
        <v>24</v>
      </c>
      <c r="W208" s="5" t="s">
        <v>24</v>
      </c>
      <c r="X208" s="5" t="s">
        <v>24</v>
      </c>
      <c r="Y208" s="5" t="s">
        <v>5842</v>
      </c>
      <c r="Z208" s="5" t="s">
        <v>5843</v>
      </c>
      <c r="AA208" s="5" t="s">
        <v>5843</v>
      </c>
      <c r="AB208" s="5"/>
    </row>
    <row r="209" ht="15.75" customHeight="1">
      <c r="A209" s="5" t="s">
        <v>5844</v>
      </c>
      <c r="B209" s="5" t="s">
        <v>5845</v>
      </c>
      <c r="C209" s="5" t="s">
        <v>5013</v>
      </c>
      <c r="D209" s="5" t="s">
        <v>24</v>
      </c>
      <c r="E209" s="5" t="s">
        <v>1849</v>
      </c>
      <c r="F209" s="5" t="s">
        <v>4963</v>
      </c>
      <c r="G209" s="5" t="s">
        <v>24</v>
      </c>
      <c r="H209" s="5" t="s">
        <v>24</v>
      </c>
      <c r="I209" s="5" t="s">
        <v>24</v>
      </c>
      <c r="J209" s="5" t="s">
        <v>24</v>
      </c>
      <c r="K209" s="5" t="s">
        <v>24</v>
      </c>
      <c r="L209" s="5" t="s">
        <v>24</v>
      </c>
      <c r="M209" s="5" t="s">
        <v>24</v>
      </c>
      <c r="N209" s="5" t="s">
        <v>24</v>
      </c>
      <c r="O209" s="5" t="s">
        <v>2085</v>
      </c>
      <c r="P209" s="5" t="s">
        <v>24</v>
      </c>
      <c r="Q209" s="5" t="s">
        <v>24</v>
      </c>
      <c r="R209" s="5" t="s">
        <v>24</v>
      </c>
      <c r="S209" s="5" t="s">
        <v>1852</v>
      </c>
      <c r="T209" s="5" t="s">
        <v>2047</v>
      </c>
      <c r="U209" s="5" t="s">
        <v>2047</v>
      </c>
      <c r="V209" s="5" t="s">
        <v>24</v>
      </c>
      <c r="W209" s="5" t="s">
        <v>24</v>
      </c>
      <c r="X209" s="5" t="s">
        <v>24</v>
      </c>
      <c r="Y209" s="5" t="s">
        <v>5846</v>
      </c>
      <c r="Z209" s="5" t="s">
        <v>5847</v>
      </c>
      <c r="AA209" s="5" t="s">
        <v>5847</v>
      </c>
      <c r="AB209" s="5"/>
    </row>
    <row r="210" ht="15.75" customHeight="1">
      <c r="A210" s="5" t="s">
        <v>5848</v>
      </c>
      <c r="B210" s="5" t="s">
        <v>5849</v>
      </c>
      <c r="C210" s="5" t="s">
        <v>145</v>
      </c>
      <c r="D210" s="5" t="s">
        <v>24</v>
      </c>
      <c r="E210" s="5" t="s">
        <v>1849</v>
      </c>
      <c r="F210" s="5" t="s">
        <v>4963</v>
      </c>
      <c r="G210" s="5" t="s">
        <v>24</v>
      </c>
      <c r="H210" s="5" t="s">
        <v>24</v>
      </c>
      <c r="I210" s="5" t="s">
        <v>24</v>
      </c>
      <c r="J210" s="5" t="s">
        <v>24</v>
      </c>
      <c r="K210" s="5" t="s">
        <v>24</v>
      </c>
      <c r="L210" s="5" t="s">
        <v>24</v>
      </c>
      <c r="M210" s="5" t="s">
        <v>24</v>
      </c>
      <c r="N210" s="5" t="s">
        <v>24</v>
      </c>
      <c r="O210" s="5" t="s">
        <v>1933</v>
      </c>
      <c r="P210" s="5" t="s">
        <v>24</v>
      </c>
      <c r="Q210" s="5" t="s">
        <v>24</v>
      </c>
      <c r="R210" s="5" t="s">
        <v>24</v>
      </c>
      <c r="S210" s="5" t="s">
        <v>1852</v>
      </c>
      <c r="T210" s="5" t="s">
        <v>5584</v>
      </c>
      <c r="U210" s="5" t="s">
        <v>5584</v>
      </c>
      <c r="V210" s="5" t="s">
        <v>24</v>
      </c>
      <c r="W210" s="5" t="s">
        <v>24</v>
      </c>
      <c r="X210" s="5" t="s">
        <v>24</v>
      </c>
      <c r="Y210" s="5" t="s">
        <v>5850</v>
      </c>
      <c r="Z210" s="5" t="s">
        <v>5851</v>
      </c>
      <c r="AA210" s="5" t="s">
        <v>5851</v>
      </c>
      <c r="AB210" s="5"/>
    </row>
    <row r="211" ht="15.75" customHeight="1">
      <c r="A211" s="5" t="s">
        <v>5852</v>
      </c>
      <c r="B211" s="5" t="s">
        <v>5853</v>
      </c>
      <c r="C211" s="5" t="s">
        <v>5013</v>
      </c>
      <c r="D211" s="5" t="s">
        <v>24</v>
      </c>
      <c r="E211" s="5" t="s">
        <v>1849</v>
      </c>
      <c r="F211" s="5" t="s">
        <v>4963</v>
      </c>
      <c r="G211" s="5" t="s">
        <v>24</v>
      </c>
      <c r="H211" s="5" t="s">
        <v>24</v>
      </c>
      <c r="I211" s="5" t="s">
        <v>24</v>
      </c>
      <c r="J211" s="5" t="s">
        <v>24</v>
      </c>
      <c r="K211" s="5" t="s">
        <v>24</v>
      </c>
      <c r="L211" s="5" t="s">
        <v>24</v>
      </c>
      <c r="M211" s="5" t="s">
        <v>1885</v>
      </c>
      <c r="N211" s="5" t="s">
        <v>24</v>
      </c>
      <c r="O211" s="5" t="s">
        <v>24</v>
      </c>
      <c r="P211" s="5" t="s">
        <v>24</v>
      </c>
      <c r="Q211" s="5" t="s">
        <v>24</v>
      </c>
      <c r="R211" s="5" t="s">
        <v>24</v>
      </c>
      <c r="S211" s="5" t="s">
        <v>1852</v>
      </c>
      <c r="T211" s="5" t="s">
        <v>2271</v>
      </c>
      <c r="U211" s="5" t="s">
        <v>2271</v>
      </c>
      <c r="V211" s="5" t="s">
        <v>24</v>
      </c>
      <c r="W211" s="5" t="s">
        <v>24</v>
      </c>
      <c r="X211" s="5" t="s">
        <v>24</v>
      </c>
      <c r="Y211" s="5" t="s">
        <v>5854</v>
      </c>
      <c r="Z211" s="5" t="s">
        <v>5855</v>
      </c>
      <c r="AA211" s="5" t="s">
        <v>5855</v>
      </c>
      <c r="AB211" s="5"/>
    </row>
    <row r="212" ht="15.75" customHeight="1">
      <c r="A212" s="5" t="s">
        <v>5856</v>
      </c>
      <c r="B212" s="5" t="s">
        <v>5857</v>
      </c>
      <c r="C212" s="5" t="s">
        <v>336</v>
      </c>
      <c r="D212" s="5" t="s">
        <v>24</v>
      </c>
      <c r="E212" s="5" t="s">
        <v>1849</v>
      </c>
      <c r="F212" s="5" t="s">
        <v>4963</v>
      </c>
      <c r="G212" s="5" t="s">
        <v>24</v>
      </c>
      <c r="H212" s="5" t="s">
        <v>24</v>
      </c>
      <c r="I212" s="5" t="s">
        <v>24</v>
      </c>
      <c r="J212" s="5" t="s">
        <v>24</v>
      </c>
      <c r="K212" s="5" t="s">
        <v>24</v>
      </c>
      <c r="L212" s="5" t="s">
        <v>24</v>
      </c>
      <c r="M212" s="5" t="s">
        <v>1885</v>
      </c>
      <c r="N212" s="5" t="s">
        <v>24</v>
      </c>
      <c r="O212" s="5" t="s">
        <v>24</v>
      </c>
      <c r="P212" s="5" t="s">
        <v>24</v>
      </c>
      <c r="Q212" s="5" t="s">
        <v>24</v>
      </c>
      <c r="R212" s="5" t="s">
        <v>24</v>
      </c>
      <c r="S212" s="5" t="s">
        <v>1852</v>
      </c>
      <c r="T212" s="5" t="s">
        <v>5125</v>
      </c>
      <c r="U212" s="5" t="s">
        <v>5125</v>
      </c>
      <c r="V212" s="5" t="s">
        <v>24</v>
      </c>
      <c r="W212" s="5" t="s">
        <v>24</v>
      </c>
      <c r="X212" s="5" t="s">
        <v>24</v>
      </c>
      <c r="Y212" s="5" t="s">
        <v>5858</v>
      </c>
      <c r="Z212" s="5" t="s">
        <v>5859</v>
      </c>
      <c r="AA212" s="5" t="s">
        <v>5859</v>
      </c>
      <c r="AB212" s="5"/>
    </row>
    <row r="213" ht="15.75" customHeight="1">
      <c r="A213" s="5" t="s">
        <v>5860</v>
      </c>
      <c r="B213" s="5" t="s">
        <v>5861</v>
      </c>
      <c r="C213" s="5" t="s">
        <v>106</v>
      </c>
      <c r="D213" s="5" t="s">
        <v>24</v>
      </c>
      <c r="E213" s="5" t="s">
        <v>1849</v>
      </c>
      <c r="F213" s="5" t="s">
        <v>4963</v>
      </c>
      <c r="G213" s="5" t="s">
        <v>24</v>
      </c>
      <c r="H213" s="5" t="s">
        <v>24</v>
      </c>
      <c r="I213" s="5" t="s">
        <v>24</v>
      </c>
      <c r="J213" s="5" t="s">
        <v>24</v>
      </c>
      <c r="K213" s="5" t="s">
        <v>24</v>
      </c>
      <c r="L213" s="5" t="s">
        <v>24</v>
      </c>
      <c r="M213" s="5" t="s">
        <v>24</v>
      </c>
      <c r="N213" s="5" t="s">
        <v>24</v>
      </c>
      <c r="O213" s="5" t="s">
        <v>3136</v>
      </c>
      <c r="P213" s="5" t="s">
        <v>24</v>
      </c>
      <c r="Q213" s="5" t="s">
        <v>24</v>
      </c>
      <c r="R213" s="5" t="s">
        <v>24</v>
      </c>
      <c r="S213" s="5" t="s">
        <v>1852</v>
      </c>
      <c r="T213" s="5" t="s">
        <v>3639</v>
      </c>
      <c r="U213" s="5" t="s">
        <v>3639</v>
      </c>
      <c r="V213" s="5" t="s">
        <v>24</v>
      </c>
      <c r="W213" s="5" t="s">
        <v>24</v>
      </c>
      <c r="X213" s="5" t="s">
        <v>24</v>
      </c>
      <c r="Y213" s="5" t="s">
        <v>5862</v>
      </c>
      <c r="Z213" s="5" t="s">
        <v>5863</v>
      </c>
      <c r="AA213" s="5" t="s">
        <v>5863</v>
      </c>
      <c r="AB213" s="5"/>
    </row>
    <row r="214" ht="15.75" customHeight="1">
      <c r="A214" s="5" t="s">
        <v>5864</v>
      </c>
      <c r="B214" s="5" t="s">
        <v>5865</v>
      </c>
      <c r="C214" s="5" t="s">
        <v>227</v>
      </c>
      <c r="D214" s="5" t="s">
        <v>24</v>
      </c>
      <c r="E214" s="5" t="s">
        <v>1849</v>
      </c>
      <c r="F214" s="5" t="s">
        <v>4963</v>
      </c>
      <c r="G214" s="5" t="s">
        <v>24</v>
      </c>
      <c r="H214" s="5" t="s">
        <v>24</v>
      </c>
      <c r="I214" s="5" t="s">
        <v>24</v>
      </c>
      <c r="J214" s="5" t="s">
        <v>24</v>
      </c>
      <c r="K214" s="5" t="s">
        <v>24</v>
      </c>
      <c r="L214" s="5" t="s">
        <v>24</v>
      </c>
      <c r="M214" s="5" t="s">
        <v>5607</v>
      </c>
      <c r="N214" s="5" t="s">
        <v>24</v>
      </c>
      <c r="O214" s="5" t="s">
        <v>24</v>
      </c>
      <c r="P214" s="5" t="s">
        <v>24</v>
      </c>
      <c r="Q214" s="5" t="s">
        <v>24</v>
      </c>
      <c r="R214" s="5" t="s">
        <v>24</v>
      </c>
      <c r="S214" s="5" t="s">
        <v>1852</v>
      </c>
      <c r="T214" s="5" t="s">
        <v>5384</v>
      </c>
      <c r="U214" s="5" t="s">
        <v>5384</v>
      </c>
      <c r="V214" s="5" t="s">
        <v>24</v>
      </c>
      <c r="W214" s="5" t="s">
        <v>24</v>
      </c>
      <c r="X214" s="5" t="s">
        <v>24</v>
      </c>
      <c r="Y214" s="5" t="s">
        <v>5866</v>
      </c>
      <c r="Z214" s="5" t="s">
        <v>5867</v>
      </c>
      <c r="AA214" s="5" t="s">
        <v>5867</v>
      </c>
      <c r="AB214" s="5"/>
    </row>
    <row r="215" ht="15.75" customHeight="1">
      <c r="A215" s="5" t="s">
        <v>5868</v>
      </c>
      <c r="B215" s="5" t="s">
        <v>5869</v>
      </c>
      <c r="C215" s="5" t="s">
        <v>5013</v>
      </c>
      <c r="D215" s="5" t="s">
        <v>24</v>
      </c>
      <c r="E215" s="5" t="s">
        <v>1849</v>
      </c>
      <c r="F215" s="5" t="s">
        <v>4963</v>
      </c>
      <c r="G215" s="5" t="s">
        <v>24</v>
      </c>
      <c r="H215" s="5" t="s">
        <v>24</v>
      </c>
      <c r="I215" s="5" t="s">
        <v>24</v>
      </c>
      <c r="J215" s="5" t="s">
        <v>24</v>
      </c>
      <c r="K215" s="5" t="s">
        <v>24</v>
      </c>
      <c r="L215" s="5" t="s">
        <v>24</v>
      </c>
      <c r="M215" s="5" t="s">
        <v>24</v>
      </c>
      <c r="N215" s="5" t="s">
        <v>24</v>
      </c>
      <c r="O215" s="5" t="s">
        <v>1894</v>
      </c>
      <c r="P215" s="5" t="s">
        <v>24</v>
      </c>
      <c r="Q215" s="5" t="s">
        <v>24</v>
      </c>
      <c r="R215" s="5" t="s">
        <v>24</v>
      </c>
      <c r="S215" s="5" t="s">
        <v>1852</v>
      </c>
      <c r="T215" s="5" t="s">
        <v>5870</v>
      </c>
      <c r="U215" s="5" t="s">
        <v>5870</v>
      </c>
      <c r="V215" s="5" t="s">
        <v>24</v>
      </c>
      <c r="W215" s="5" t="s">
        <v>24</v>
      </c>
      <c r="X215" s="5" t="s">
        <v>24</v>
      </c>
      <c r="Y215" s="5" t="s">
        <v>5871</v>
      </c>
      <c r="Z215" s="5" t="s">
        <v>5872</v>
      </c>
      <c r="AA215" s="5" t="s">
        <v>5872</v>
      </c>
      <c r="AB215" s="5"/>
    </row>
    <row r="216" ht="15.75" customHeight="1">
      <c r="A216" s="5" t="s">
        <v>5873</v>
      </c>
      <c r="B216" s="5" t="s">
        <v>5874</v>
      </c>
      <c r="C216" s="5" t="s">
        <v>5013</v>
      </c>
      <c r="D216" s="5" t="s">
        <v>24</v>
      </c>
      <c r="E216" s="5" t="s">
        <v>1849</v>
      </c>
      <c r="F216" s="5" t="s">
        <v>4963</v>
      </c>
      <c r="G216" s="5" t="s">
        <v>24</v>
      </c>
      <c r="H216" s="5" t="s">
        <v>24</v>
      </c>
      <c r="I216" s="5" t="s">
        <v>24</v>
      </c>
      <c r="J216" s="5" t="s">
        <v>24</v>
      </c>
      <c r="K216" s="5" t="s">
        <v>24</v>
      </c>
      <c r="L216" s="5" t="s">
        <v>24</v>
      </c>
      <c r="M216" s="5" t="s">
        <v>24</v>
      </c>
      <c r="N216" s="5" t="s">
        <v>24</v>
      </c>
      <c r="O216" s="5" t="s">
        <v>3136</v>
      </c>
      <c r="P216" s="5" t="s">
        <v>24</v>
      </c>
      <c r="Q216" s="5" t="s">
        <v>24</v>
      </c>
      <c r="R216" s="5" t="s">
        <v>24</v>
      </c>
      <c r="S216" s="5" t="s">
        <v>1852</v>
      </c>
      <c r="T216" s="5" t="s">
        <v>5875</v>
      </c>
      <c r="U216" s="5" t="s">
        <v>5875</v>
      </c>
      <c r="V216" s="5" t="s">
        <v>24</v>
      </c>
      <c r="W216" s="5" t="s">
        <v>24</v>
      </c>
      <c r="X216" s="5" t="s">
        <v>24</v>
      </c>
      <c r="Y216" s="5" t="s">
        <v>5876</v>
      </c>
      <c r="Z216" s="5" t="s">
        <v>5877</v>
      </c>
      <c r="AA216" s="5" t="s">
        <v>5877</v>
      </c>
      <c r="AB216" s="5"/>
    </row>
    <row r="217" ht="15.75" customHeight="1">
      <c r="A217" s="5" t="s">
        <v>5878</v>
      </c>
      <c r="B217" s="5" t="s">
        <v>5879</v>
      </c>
      <c r="C217" s="5" t="s">
        <v>227</v>
      </c>
      <c r="D217" s="5" t="s">
        <v>24</v>
      </c>
      <c r="E217" s="5" t="s">
        <v>1849</v>
      </c>
      <c r="F217" s="5" t="s">
        <v>4963</v>
      </c>
      <c r="G217" s="5" t="s">
        <v>24</v>
      </c>
      <c r="H217" s="5" t="s">
        <v>24</v>
      </c>
      <c r="I217" s="5" t="s">
        <v>24</v>
      </c>
      <c r="J217" s="5" t="s">
        <v>24</v>
      </c>
      <c r="K217" s="5" t="s">
        <v>24</v>
      </c>
      <c r="L217" s="5" t="s">
        <v>24</v>
      </c>
      <c r="M217" s="5" t="s">
        <v>24</v>
      </c>
      <c r="N217" s="5" t="s">
        <v>24</v>
      </c>
      <c r="O217" s="5" t="s">
        <v>1933</v>
      </c>
      <c r="P217" s="5" t="s">
        <v>24</v>
      </c>
      <c r="Q217" s="5" t="s">
        <v>24</v>
      </c>
      <c r="R217" s="5" t="s">
        <v>24</v>
      </c>
      <c r="S217" s="5" t="s">
        <v>1852</v>
      </c>
      <c r="T217" s="5" t="s">
        <v>5184</v>
      </c>
      <c r="U217" s="5" t="s">
        <v>5184</v>
      </c>
      <c r="V217" s="5" t="s">
        <v>24</v>
      </c>
      <c r="W217" s="5" t="s">
        <v>24</v>
      </c>
      <c r="X217" s="5" t="s">
        <v>24</v>
      </c>
      <c r="Y217" s="5" t="s">
        <v>5880</v>
      </c>
      <c r="Z217" s="5" t="s">
        <v>5881</v>
      </c>
      <c r="AA217" s="5" t="s">
        <v>5881</v>
      </c>
      <c r="AB217" s="5"/>
    </row>
    <row r="218" ht="15.75" customHeight="1">
      <c r="A218" s="5" t="s">
        <v>5882</v>
      </c>
      <c r="B218" s="5" t="s">
        <v>5883</v>
      </c>
      <c r="C218" s="5" t="s">
        <v>227</v>
      </c>
      <c r="D218" s="5" t="s">
        <v>24</v>
      </c>
      <c r="E218" s="5" t="s">
        <v>1849</v>
      </c>
      <c r="F218" s="5" t="s">
        <v>4963</v>
      </c>
      <c r="G218" s="5" t="s">
        <v>24</v>
      </c>
      <c r="H218" s="5" t="s">
        <v>24</v>
      </c>
      <c r="I218" s="5" t="s">
        <v>24</v>
      </c>
      <c r="J218" s="5" t="s">
        <v>24</v>
      </c>
      <c r="K218" s="5" t="s">
        <v>24</v>
      </c>
      <c r="L218" s="5" t="s">
        <v>24</v>
      </c>
      <c r="M218" s="5" t="s">
        <v>24</v>
      </c>
      <c r="N218" s="5" t="s">
        <v>24</v>
      </c>
      <c r="O218" s="5" t="s">
        <v>1851</v>
      </c>
      <c r="P218" s="5" t="s">
        <v>24</v>
      </c>
      <c r="Q218" s="5" t="s">
        <v>24</v>
      </c>
      <c r="R218" s="5" t="s">
        <v>24</v>
      </c>
      <c r="S218" s="5" t="s">
        <v>1852</v>
      </c>
      <c r="T218" s="5" t="s">
        <v>5884</v>
      </c>
      <c r="U218" s="5" t="s">
        <v>5884</v>
      </c>
      <c r="V218" s="5" t="s">
        <v>24</v>
      </c>
      <c r="W218" s="5" t="s">
        <v>24</v>
      </c>
      <c r="X218" s="5" t="s">
        <v>24</v>
      </c>
      <c r="Y218" s="5" t="s">
        <v>5885</v>
      </c>
      <c r="Z218" s="5" t="s">
        <v>5886</v>
      </c>
      <c r="AA218" s="5" t="s">
        <v>5886</v>
      </c>
      <c r="AB218" s="5"/>
    </row>
    <row r="219" ht="15.75" customHeight="1">
      <c r="A219" s="5" t="s">
        <v>5887</v>
      </c>
      <c r="B219" s="5" t="s">
        <v>5888</v>
      </c>
      <c r="C219" s="5" t="s">
        <v>106</v>
      </c>
      <c r="D219" s="5" t="s">
        <v>24</v>
      </c>
      <c r="E219" s="5" t="s">
        <v>1849</v>
      </c>
      <c r="F219" s="5" t="s">
        <v>4963</v>
      </c>
      <c r="G219" s="5" t="s">
        <v>24</v>
      </c>
      <c r="H219" s="5" t="s">
        <v>24</v>
      </c>
      <c r="I219" s="5" t="s">
        <v>24</v>
      </c>
      <c r="J219" s="5" t="s">
        <v>24</v>
      </c>
      <c r="K219" s="5" t="s">
        <v>24</v>
      </c>
      <c r="L219" s="5" t="s">
        <v>24</v>
      </c>
      <c r="M219" s="5" t="s">
        <v>24</v>
      </c>
      <c r="N219" s="5" t="s">
        <v>24</v>
      </c>
      <c r="O219" s="5" t="s">
        <v>1851</v>
      </c>
      <c r="P219" s="5" t="s">
        <v>24</v>
      </c>
      <c r="Q219" s="5" t="s">
        <v>24</v>
      </c>
      <c r="R219" s="5" t="s">
        <v>24</v>
      </c>
      <c r="S219" s="5" t="s">
        <v>1852</v>
      </c>
      <c r="T219" s="5" t="s">
        <v>4743</v>
      </c>
      <c r="U219" s="5" t="s">
        <v>4743</v>
      </c>
      <c r="V219" s="5" t="s">
        <v>24</v>
      </c>
      <c r="W219" s="5" t="s">
        <v>24</v>
      </c>
      <c r="X219" s="5" t="s">
        <v>24</v>
      </c>
      <c r="Y219" s="5" t="s">
        <v>5889</v>
      </c>
      <c r="Z219" s="5" t="s">
        <v>5890</v>
      </c>
      <c r="AA219" s="5" t="s">
        <v>5890</v>
      </c>
      <c r="AB219" s="5"/>
    </row>
    <row r="220" ht="15.75" customHeight="1">
      <c r="A220" s="5" t="s">
        <v>5891</v>
      </c>
      <c r="B220" s="5" t="s">
        <v>5892</v>
      </c>
      <c r="C220" s="5" t="s">
        <v>145</v>
      </c>
      <c r="D220" s="5" t="s">
        <v>24</v>
      </c>
      <c r="E220" s="5" t="s">
        <v>1849</v>
      </c>
      <c r="F220" s="5" t="s">
        <v>4963</v>
      </c>
      <c r="G220" s="5" t="s">
        <v>24</v>
      </c>
      <c r="H220" s="5" t="s">
        <v>24</v>
      </c>
      <c r="I220" s="5" t="s">
        <v>24</v>
      </c>
      <c r="J220" s="5" t="s">
        <v>24</v>
      </c>
      <c r="K220" s="5" t="s">
        <v>24</v>
      </c>
      <c r="L220" s="5" t="s">
        <v>24</v>
      </c>
      <c r="M220" s="5" t="s">
        <v>24</v>
      </c>
      <c r="N220" s="5" t="s">
        <v>24</v>
      </c>
      <c r="O220" s="5" t="s">
        <v>1969</v>
      </c>
      <c r="P220" s="5" t="s">
        <v>24</v>
      </c>
      <c r="Q220" s="5" t="s">
        <v>24</v>
      </c>
      <c r="R220" s="5" t="s">
        <v>24</v>
      </c>
      <c r="S220" s="5" t="s">
        <v>1852</v>
      </c>
      <c r="T220" s="5" t="s">
        <v>5120</v>
      </c>
      <c r="U220" s="5" t="s">
        <v>5120</v>
      </c>
      <c r="V220" s="5" t="s">
        <v>24</v>
      </c>
      <c r="W220" s="5" t="s">
        <v>24</v>
      </c>
      <c r="X220" s="5" t="s">
        <v>24</v>
      </c>
      <c r="Y220" s="5" t="s">
        <v>5893</v>
      </c>
      <c r="Z220" s="5" t="s">
        <v>5894</v>
      </c>
      <c r="AA220" s="5" t="s">
        <v>5894</v>
      </c>
      <c r="AB220" s="5"/>
    </row>
    <row r="221" ht="15.75" customHeight="1">
      <c r="A221" s="5" t="s">
        <v>5895</v>
      </c>
      <c r="B221" s="5" t="s">
        <v>5896</v>
      </c>
      <c r="C221" s="5" t="s">
        <v>5013</v>
      </c>
      <c r="D221" s="5" t="s">
        <v>24</v>
      </c>
      <c r="E221" s="5" t="s">
        <v>1849</v>
      </c>
      <c r="F221" s="5" t="s">
        <v>4963</v>
      </c>
      <c r="G221" s="5" t="s">
        <v>24</v>
      </c>
      <c r="H221" s="5" t="s">
        <v>24</v>
      </c>
      <c r="I221" s="5" t="s">
        <v>24</v>
      </c>
      <c r="J221" s="5" t="s">
        <v>24</v>
      </c>
      <c r="K221" s="5" t="s">
        <v>24</v>
      </c>
      <c r="L221" s="5" t="s">
        <v>24</v>
      </c>
      <c r="M221" s="5" t="s">
        <v>1885</v>
      </c>
      <c r="N221" s="5" t="s">
        <v>24</v>
      </c>
      <c r="O221" s="5" t="s">
        <v>3563</v>
      </c>
      <c r="P221" s="5" t="s">
        <v>24</v>
      </c>
      <c r="Q221" s="5" t="s">
        <v>24</v>
      </c>
      <c r="R221" s="5" t="s">
        <v>24</v>
      </c>
      <c r="S221" s="5" t="s">
        <v>1852</v>
      </c>
      <c r="T221" s="5" t="s">
        <v>2271</v>
      </c>
      <c r="U221" s="5" t="s">
        <v>2271</v>
      </c>
      <c r="V221" s="5" t="s">
        <v>24</v>
      </c>
      <c r="W221" s="5" t="s">
        <v>24</v>
      </c>
      <c r="X221" s="5" t="s">
        <v>24</v>
      </c>
      <c r="Y221" s="5" t="s">
        <v>5897</v>
      </c>
      <c r="Z221" s="5" t="s">
        <v>5898</v>
      </c>
      <c r="AA221" s="5" t="s">
        <v>5898</v>
      </c>
      <c r="AB221" s="5"/>
    </row>
    <row r="222" ht="15.75" customHeight="1">
      <c r="A222" s="5" t="s">
        <v>5899</v>
      </c>
      <c r="B222" s="5" t="s">
        <v>5900</v>
      </c>
      <c r="C222" s="5" t="s">
        <v>5013</v>
      </c>
      <c r="D222" s="5" t="s">
        <v>24</v>
      </c>
      <c r="E222" s="5" t="s">
        <v>1849</v>
      </c>
      <c r="F222" s="5" t="s">
        <v>4963</v>
      </c>
      <c r="G222" s="5" t="s">
        <v>24</v>
      </c>
      <c r="H222" s="5" t="s">
        <v>24</v>
      </c>
      <c r="I222" s="5" t="s">
        <v>24</v>
      </c>
      <c r="J222" s="5" t="s">
        <v>24</v>
      </c>
      <c r="K222" s="5" t="s">
        <v>24</v>
      </c>
      <c r="L222" s="5" t="s">
        <v>24</v>
      </c>
      <c r="M222" s="5" t="s">
        <v>24</v>
      </c>
      <c r="N222" s="5" t="s">
        <v>24</v>
      </c>
      <c r="O222" s="5" t="s">
        <v>2715</v>
      </c>
      <c r="P222" s="5" t="s">
        <v>24</v>
      </c>
      <c r="Q222" s="5" t="s">
        <v>24</v>
      </c>
      <c r="R222" s="5" t="s">
        <v>24</v>
      </c>
      <c r="S222" s="5" t="s">
        <v>1852</v>
      </c>
      <c r="T222" s="5" t="s">
        <v>5901</v>
      </c>
      <c r="U222" s="5" t="s">
        <v>5901</v>
      </c>
      <c r="V222" s="5" t="s">
        <v>24</v>
      </c>
      <c r="W222" s="5" t="s">
        <v>24</v>
      </c>
      <c r="X222" s="5" t="s">
        <v>24</v>
      </c>
      <c r="Y222" s="5" t="s">
        <v>5902</v>
      </c>
      <c r="Z222" s="5" t="s">
        <v>5903</v>
      </c>
      <c r="AA222" s="5" t="s">
        <v>5903</v>
      </c>
      <c r="AB222" s="5"/>
    </row>
    <row r="223" ht="15.75" customHeight="1">
      <c r="A223" s="5" t="s">
        <v>5904</v>
      </c>
      <c r="B223" s="5" t="s">
        <v>5905</v>
      </c>
      <c r="C223" s="5" t="s">
        <v>5013</v>
      </c>
      <c r="D223" s="5" t="s">
        <v>24</v>
      </c>
      <c r="E223" s="5" t="s">
        <v>1849</v>
      </c>
      <c r="F223" s="5" t="s">
        <v>4963</v>
      </c>
      <c r="G223" s="5" t="s">
        <v>24</v>
      </c>
      <c r="H223" s="5" t="s">
        <v>24</v>
      </c>
      <c r="I223" s="5" t="s">
        <v>24</v>
      </c>
      <c r="J223" s="5" t="s">
        <v>24</v>
      </c>
      <c r="K223" s="5" t="s">
        <v>24</v>
      </c>
      <c r="L223" s="5" t="s">
        <v>24</v>
      </c>
      <c r="M223" s="5" t="s">
        <v>1885</v>
      </c>
      <c r="N223" s="5" t="s">
        <v>24</v>
      </c>
      <c r="O223" s="5" t="s">
        <v>24</v>
      </c>
      <c r="P223" s="5" t="s">
        <v>24</v>
      </c>
      <c r="Q223" s="5" t="s">
        <v>24</v>
      </c>
      <c r="R223" s="5" t="s">
        <v>24</v>
      </c>
      <c r="S223" s="5" t="s">
        <v>1852</v>
      </c>
      <c r="T223" s="5" t="s">
        <v>3089</v>
      </c>
      <c r="U223" s="5" t="s">
        <v>3089</v>
      </c>
      <c r="V223" s="5" t="s">
        <v>24</v>
      </c>
      <c r="W223" s="5" t="s">
        <v>24</v>
      </c>
      <c r="X223" s="5" t="s">
        <v>24</v>
      </c>
      <c r="Y223" s="5" t="s">
        <v>5906</v>
      </c>
      <c r="Z223" s="5" t="s">
        <v>5907</v>
      </c>
      <c r="AA223" s="5" t="s">
        <v>5907</v>
      </c>
      <c r="AB223" s="5"/>
    </row>
    <row r="224" ht="15.75" customHeight="1">
      <c r="A224" s="5" t="s">
        <v>5908</v>
      </c>
      <c r="B224" s="5" t="s">
        <v>5909</v>
      </c>
      <c r="C224" s="5" t="s">
        <v>145</v>
      </c>
      <c r="D224" s="5" t="s">
        <v>24</v>
      </c>
      <c r="E224" s="5" t="s">
        <v>1849</v>
      </c>
      <c r="F224" s="5" t="s">
        <v>4963</v>
      </c>
      <c r="G224" s="5" t="s">
        <v>24</v>
      </c>
      <c r="H224" s="5" t="s">
        <v>24</v>
      </c>
      <c r="I224" s="5" t="s">
        <v>24</v>
      </c>
      <c r="J224" s="5" t="s">
        <v>24</v>
      </c>
      <c r="K224" s="5" t="s">
        <v>24</v>
      </c>
      <c r="L224" s="5" t="s">
        <v>24</v>
      </c>
      <c r="M224" s="5" t="s">
        <v>24</v>
      </c>
      <c r="N224" s="5" t="s">
        <v>24</v>
      </c>
      <c r="O224" s="5" t="s">
        <v>1917</v>
      </c>
      <c r="P224" s="5" t="s">
        <v>24</v>
      </c>
      <c r="Q224" s="5" t="s">
        <v>24</v>
      </c>
      <c r="R224" s="5" t="s">
        <v>24</v>
      </c>
      <c r="S224" s="5" t="s">
        <v>1852</v>
      </c>
      <c r="T224" s="5" t="s">
        <v>2627</v>
      </c>
      <c r="U224" s="5" t="s">
        <v>2627</v>
      </c>
      <c r="V224" s="5" t="s">
        <v>24</v>
      </c>
      <c r="W224" s="5" t="s">
        <v>24</v>
      </c>
      <c r="X224" s="5" t="s">
        <v>24</v>
      </c>
      <c r="Y224" s="5" t="s">
        <v>5910</v>
      </c>
      <c r="Z224" s="5" t="s">
        <v>5911</v>
      </c>
      <c r="AA224" s="5" t="s">
        <v>5911</v>
      </c>
      <c r="AB224" s="5"/>
    </row>
    <row r="225" ht="15.75" customHeight="1">
      <c r="A225" s="5" t="s">
        <v>5912</v>
      </c>
      <c r="B225" s="5" t="s">
        <v>5913</v>
      </c>
      <c r="C225" s="5" t="s">
        <v>336</v>
      </c>
      <c r="D225" s="5" t="s">
        <v>24</v>
      </c>
      <c r="E225" s="5" t="s">
        <v>1849</v>
      </c>
      <c r="F225" s="5" t="s">
        <v>4963</v>
      </c>
      <c r="G225" s="5" t="s">
        <v>24</v>
      </c>
      <c r="H225" s="5" t="s">
        <v>24</v>
      </c>
      <c r="I225" s="5" t="s">
        <v>24</v>
      </c>
      <c r="J225" s="5" t="s">
        <v>24</v>
      </c>
      <c r="K225" s="5" t="s">
        <v>24</v>
      </c>
      <c r="L225" s="5" t="s">
        <v>24</v>
      </c>
      <c r="M225" s="5" t="s">
        <v>24</v>
      </c>
      <c r="N225" s="5" t="s">
        <v>24</v>
      </c>
      <c r="O225" s="5" t="s">
        <v>4505</v>
      </c>
      <c r="P225" s="5" t="s">
        <v>24</v>
      </c>
      <c r="Q225" s="5" t="s">
        <v>24</v>
      </c>
      <c r="R225" s="5" t="s">
        <v>24</v>
      </c>
      <c r="S225" s="5" t="s">
        <v>1852</v>
      </c>
      <c r="T225" s="5" t="s">
        <v>5914</v>
      </c>
      <c r="U225" s="5" t="s">
        <v>5914</v>
      </c>
      <c r="V225" s="5" t="s">
        <v>24</v>
      </c>
      <c r="W225" s="5" t="s">
        <v>24</v>
      </c>
      <c r="X225" s="5" t="s">
        <v>24</v>
      </c>
      <c r="Y225" s="5" t="s">
        <v>5915</v>
      </c>
      <c r="Z225" s="5" t="s">
        <v>5916</v>
      </c>
      <c r="AA225" s="5" t="s">
        <v>5916</v>
      </c>
      <c r="AB225" s="5"/>
    </row>
    <row r="226" ht="15.75" customHeight="1">
      <c r="A226" s="5" t="s">
        <v>5917</v>
      </c>
      <c r="B226" s="5" t="s">
        <v>5918</v>
      </c>
      <c r="C226" s="5" t="s">
        <v>227</v>
      </c>
      <c r="D226" s="5" t="s">
        <v>24</v>
      </c>
      <c r="E226" s="5" t="s">
        <v>1849</v>
      </c>
      <c r="F226" s="5" t="s">
        <v>4963</v>
      </c>
      <c r="G226" s="5" t="s">
        <v>24</v>
      </c>
      <c r="H226" s="5" t="s">
        <v>24</v>
      </c>
      <c r="I226" s="5" t="s">
        <v>24</v>
      </c>
      <c r="J226" s="5" t="s">
        <v>24</v>
      </c>
      <c r="K226" s="5" t="s">
        <v>24</v>
      </c>
      <c r="L226" s="5" t="s">
        <v>24</v>
      </c>
      <c r="M226" s="5" t="s">
        <v>1885</v>
      </c>
      <c r="N226" s="5" t="s">
        <v>24</v>
      </c>
      <c r="O226" s="5" t="s">
        <v>24</v>
      </c>
      <c r="P226" s="5" t="s">
        <v>24</v>
      </c>
      <c r="Q226" s="5" t="s">
        <v>24</v>
      </c>
      <c r="R226" s="5" t="s">
        <v>24</v>
      </c>
      <c r="S226" s="5" t="s">
        <v>1852</v>
      </c>
      <c r="T226" s="5" t="s">
        <v>2047</v>
      </c>
      <c r="U226" s="5" t="s">
        <v>2047</v>
      </c>
      <c r="V226" s="5" t="s">
        <v>24</v>
      </c>
      <c r="W226" s="5" t="s">
        <v>24</v>
      </c>
      <c r="X226" s="5" t="s">
        <v>24</v>
      </c>
      <c r="Y226" s="5" t="s">
        <v>5919</v>
      </c>
      <c r="Z226" s="5" t="s">
        <v>5920</v>
      </c>
      <c r="AA226" s="5" t="s">
        <v>5920</v>
      </c>
      <c r="AB226" s="5"/>
    </row>
    <row r="227" ht="15.75" customHeight="1">
      <c r="A227" s="5" t="s">
        <v>5921</v>
      </c>
      <c r="B227" s="5" t="s">
        <v>5922</v>
      </c>
      <c r="C227" s="5" t="s">
        <v>5370</v>
      </c>
      <c r="D227" s="5" t="s">
        <v>24</v>
      </c>
      <c r="E227" s="5" t="s">
        <v>1849</v>
      </c>
      <c r="F227" s="5" t="s">
        <v>4963</v>
      </c>
      <c r="G227" s="5" t="s">
        <v>24</v>
      </c>
      <c r="H227" s="5" t="s">
        <v>24</v>
      </c>
      <c r="I227" s="5" t="s">
        <v>24</v>
      </c>
      <c r="J227" s="5" t="s">
        <v>24</v>
      </c>
      <c r="K227" s="5" t="s">
        <v>24</v>
      </c>
      <c r="L227" s="5" t="s">
        <v>24</v>
      </c>
      <c r="M227" s="5" t="s">
        <v>1885</v>
      </c>
      <c r="N227" s="5" t="s">
        <v>24</v>
      </c>
      <c r="O227" s="5" t="s">
        <v>24</v>
      </c>
      <c r="P227" s="5" t="s">
        <v>24</v>
      </c>
      <c r="Q227" s="5" t="s">
        <v>24</v>
      </c>
      <c r="R227" s="5" t="s">
        <v>24</v>
      </c>
      <c r="S227" s="5" t="s">
        <v>1852</v>
      </c>
      <c r="T227" s="5" t="s">
        <v>5923</v>
      </c>
      <c r="U227" s="5" t="s">
        <v>5923</v>
      </c>
      <c r="V227" s="5" t="s">
        <v>24</v>
      </c>
      <c r="W227" s="5" t="s">
        <v>24</v>
      </c>
      <c r="X227" s="5" t="s">
        <v>24</v>
      </c>
      <c r="Y227" s="5" t="s">
        <v>5924</v>
      </c>
      <c r="Z227" s="5" t="s">
        <v>5925</v>
      </c>
      <c r="AA227" s="5" t="s">
        <v>5925</v>
      </c>
      <c r="AB227" s="5"/>
    </row>
    <row r="228" ht="15.75" customHeight="1">
      <c r="A228" s="5" t="s">
        <v>5926</v>
      </c>
      <c r="B228" s="5" t="s">
        <v>5927</v>
      </c>
      <c r="C228" s="5" t="s">
        <v>227</v>
      </c>
      <c r="D228" s="5" t="s">
        <v>24</v>
      </c>
      <c r="E228" s="5" t="s">
        <v>1849</v>
      </c>
      <c r="F228" s="5" t="s">
        <v>4963</v>
      </c>
      <c r="G228" s="5" t="s">
        <v>24</v>
      </c>
      <c r="H228" s="5" t="s">
        <v>24</v>
      </c>
      <c r="I228" s="5" t="s">
        <v>24</v>
      </c>
      <c r="J228" s="5" t="s">
        <v>24</v>
      </c>
      <c r="K228" s="5" t="s">
        <v>24</v>
      </c>
      <c r="L228" s="5" t="s">
        <v>24</v>
      </c>
      <c r="M228" s="5" t="s">
        <v>24</v>
      </c>
      <c r="N228" s="5" t="s">
        <v>24</v>
      </c>
      <c r="O228" s="5" t="s">
        <v>4223</v>
      </c>
      <c r="P228" s="5" t="s">
        <v>24</v>
      </c>
      <c r="Q228" s="5" t="s">
        <v>24</v>
      </c>
      <c r="R228" s="5" t="s">
        <v>24</v>
      </c>
      <c r="S228" s="5" t="s">
        <v>1852</v>
      </c>
      <c r="T228" s="5" t="s">
        <v>5384</v>
      </c>
      <c r="U228" s="5" t="s">
        <v>5384</v>
      </c>
      <c r="V228" s="5" t="s">
        <v>24</v>
      </c>
      <c r="W228" s="5" t="s">
        <v>24</v>
      </c>
      <c r="X228" s="5" t="s">
        <v>24</v>
      </c>
      <c r="Y228" s="5" t="s">
        <v>5928</v>
      </c>
      <c r="Z228" s="5" t="s">
        <v>5929</v>
      </c>
      <c r="AA228" s="5" t="s">
        <v>5929</v>
      </c>
      <c r="AB228" s="5"/>
    </row>
    <row r="229" ht="15.75" customHeight="1">
      <c r="A229" s="5" t="s">
        <v>5930</v>
      </c>
      <c r="B229" s="5" t="s">
        <v>5931</v>
      </c>
      <c r="C229" s="5" t="s">
        <v>336</v>
      </c>
      <c r="D229" s="5" t="s">
        <v>24</v>
      </c>
      <c r="E229" s="5" t="s">
        <v>1849</v>
      </c>
      <c r="F229" s="5" t="s">
        <v>4963</v>
      </c>
      <c r="G229" s="5" t="s">
        <v>24</v>
      </c>
      <c r="H229" s="5" t="s">
        <v>24</v>
      </c>
      <c r="I229" s="5" t="s">
        <v>24</v>
      </c>
      <c r="J229" s="5" t="s">
        <v>24</v>
      </c>
      <c r="K229" s="5" t="s">
        <v>24</v>
      </c>
      <c r="L229" s="5" t="s">
        <v>24</v>
      </c>
      <c r="M229" s="5" t="s">
        <v>24</v>
      </c>
      <c r="N229" s="5" t="s">
        <v>24</v>
      </c>
      <c r="O229" s="5" t="s">
        <v>2715</v>
      </c>
      <c r="P229" s="5" t="s">
        <v>24</v>
      </c>
      <c r="Q229" s="5" t="s">
        <v>24</v>
      </c>
      <c r="R229" s="5" t="s">
        <v>24</v>
      </c>
      <c r="S229" s="5" t="s">
        <v>2020</v>
      </c>
      <c r="T229" s="5" t="s">
        <v>2021</v>
      </c>
      <c r="U229" s="5" t="s">
        <v>2021</v>
      </c>
      <c r="V229" s="5" t="s">
        <v>24</v>
      </c>
      <c r="W229" s="5" t="s">
        <v>24</v>
      </c>
      <c r="X229" s="5" t="s">
        <v>24</v>
      </c>
      <c r="Y229" s="5" t="s">
        <v>5932</v>
      </c>
      <c r="Z229" s="5" t="s">
        <v>5933</v>
      </c>
      <c r="AA229" s="5" t="s">
        <v>5933</v>
      </c>
      <c r="AB229" s="5"/>
    </row>
    <row r="230" ht="15.75" customHeight="1">
      <c r="A230" s="5" t="s">
        <v>5934</v>
      </c>
      <c r="B230" s="5" t="s">
        <v>5935</v>
      </c>
      <c r="C230" s="5" t="s">
        <v>362</v>
      </c>
      <c r="D230" s="5" t="s">
        <v>24</v>
      </c>
      <c r="E230" s="5" t="s">
        <v>1849</v>
      </c>
      <c r="F230" s="5" t="s">
        <v>4963</v>
      </c>
      <c r="G230" s="5" t="s">
        <v>24</v>
      </c>
      <c r="H230" s="5" t="s">
        <v>24</v>
      </c>
      <c r="I230" s="5" t="s">
        <v>24</v>
      </c>
      <c r="J230" s="5" t="s">
        <v>24</v>
      </c>
      <c r="K230" s="5" t="s">
        <v>24</v>
      </c>
      <c r="L230" s="5" t="s">
        <v>24</v>
      </c>
      <c r="M230" s="5" t="s">
        <v>24</v>
      </c>
      <c r="N230" s="5" t="s">
        <v>24</v>
      </c>
      <c r="O230" s="5" t="s">
        <v>1851</v>
      </c>
      <c r="P230" s="5" t="s">
        <v>24</v>
      </c>
      <c r="Q230" s="5" t="s">
        <v>24</v>
      </c>
      <c r="R230" s="5" t="s">
        <v>24</v>
      </c>
      <c r="S230" s="5" t="s">
        <v>1852</v>
      </c>
      <c r="T230" s="5" t="s">
        <v>4743</v>
      </c>
      <c r="U230" s="5" t="s">
        <v>4743</v>
      </c>
      <c r="V230" s="5" t="s">
        <v>24</v>
      </c>
      <c r="W230" s="5" t="s">
        <v>24</v>
      </c>
      <c r="X230" s="5" t="s">
        <v>24</v>
      </c>
      <c r="Y230" s="5" t="s">
        <v>5936</v>
      </c>
      <c r="Z230" s="5" t="s">
        <v>5937</v>
      </c>
      <c r="AA230" s="5" t="s">
        <v>5937</v>
      </c>
      <c r="AB230" s="5"/>
    </row>
    <row r="231" ht="15.75" customHeight="1">
      <c r="A231" s="5" t="s">
        <v>5938</v>
      </c>
      <c r="B231" s="5" t="s">
        <v>5939</v>
      </c>
      <c r="C231" s="5" t="s">
        <v>503</v>
      </c>
      <c r="D231" s="5" t="s">
        <v>24</v>
      </c>
      <c r="E231" s="5" t="s">
        <v>1849</v>
      </c>
      <c r="F231" s="5" t="s">
        <v>4963</v>
      </c>
      <c r="G231" s="5" t="s">
        <v>24</v>
      </c>
      <c r="H231" s="5" t="s">
        <v>24</v>
      </c>
      <c r="I231" s="5" t="s">
        <v>24</v>
      </c>
      <c r="J231" s="5" t="s">
        <v>24</v>
      </c>
      <c r="K231" s="5" t="s">
        <v>24</v>
      </c>
      <c r="L231" s="5" t="s">
        <v>24</v>
      </c>
      <c r="M231" s="5" t="s">
        <v>24</v>
      </c>
      <c r="N231" s="5" t="s">
        <v>24</v>
      </c>
      <c r="O231" s="5" t="s">
        <v>2984</v>
      </c>
      <c r="P231" s="5" t="s">
        <v>24</v>
      </c>
      <c r="Q231" s="5" t="s">
        <v>24</v>
      </c>
      <c r="R231" s="5" t="s">
        <v>24</v>
      </c>
      <c r="S231" s="5" t="s">
        <v>1852</v>
      </c>
      <c r="T231" s="5" t="s">
        <v>3223</v>
      </c>
      <c r="U231" s="5" t="s">
        <v>3223</v>
      </c>
      <c r="V231" s="5" t="s">
        <v>24</v>
      </c>
      <c r="W231" s="5" t="s">
        <v>24</v>
      </c>
      <c r="X231" s="5" t="s">
        <v>24</v>
      </c>
      <c r="Y231" s="5" t="s">
        <v>5940</v>
      </c>
      <c r="Z231" s="5" t="s">
        <v>5941</v>
      </c>
      <c r="AA231" s="5" t="s">
        <v>5941</v>
      </c>
      <c r="AB231" s="5"/>
    </row>
    <row r="232" ht="15.75" customHeight="1">
      <c r="A232" s="5" t="s">
        <v>5942</v>
      </c>
      <c r="B232" s="5" t="s">
        <v>5943</v>
      </c>
      <c r="C232" s="5" t="s">
        <v>106</v>
      </c>
      <c r="D232" s="5" t="s">
        <v>24</v>
      </c>
      <c r="E232" s="5" t="s">
        <v>1849</v>
      </c>
      <c r="F232" s="5" t="s">
        <v>4963</v>
      </c>
      <c r="G232" s="5" t="s">
        <v>24</v>
      </c>
      <c r="H232" s="5" t="s">
        <v>24</v>
      </c>
      <c r="I232" s="5" t="s">
        <v>24</v>
      </c>
      <c r="J232" s="5" t="s">
        <v>24</v>
      </c>
      <c r="K232" s="5" t="s">
        <v>24</v>
      </c>
      <c r="L232" s="5" t="s">
        <v>24</v>
      </c>
      <c r="M232" s="5" t="s">
        <v>24</v>
      </c>
      <c r="N232" s="5" t="s">
        <v>24</v>
      </c>
      <c r="O232" s="5" t="s">
        <v>1851</v>
      </c>
      <c r="P232" s="5" t="s">
        <v>24</v>
      </c>
      <c r="Q232" s="5" t="s">
        <v>24</v>
      </c>
      <c r="R232" s="5" t="s">
        <v>24</v>
      </c>
      <c r="S232" s="5" t="s">
        <v>1852</v>
      </c>
      <c r="T232" s="5" t="s">
        <v>5638</v>
      </c>
      <c r="U232" s="5" t="s">
        <v>5638</v>
      </c>
      <c r="V232" s="5" t="s">
        <v>24</v>
      </c>
      <c r="W232" s="5" t="s">
        <v>24</v>
      </c>
      <c r="X232" s="5" t="s">
        <v>24</v>
      </c>
      <c r="Y232" s="5" t="s">
        <v>5944</v>
      </c>
      <c r="Z232" s="5" t="s">
        <v>5945</v>
      </c>
      <c r="AA232" s="5" t="s">
        <v>5945</v>
      </c>
      <c r="AB232" s="5"/>
    </row>
    <row r="233" ht="15.75" customHeight="1">
      <c r="A233" s="5" t="s">
        <v>5946</v>
      </c>
      <c r="B233" s="5" t="s">
        <v>5947</v>
      </c>
      <c r="C233" s="5" t="s">
        <v>2126</v>
      </c>
      <c r="D233" s="5" t="s">
        <v>24</v>
      </c>
      <c r="E233" s="5" t="s">
        <v>1849</v>
      </c>
      <c r="F233" s="5" t="s">
        <v>4963</v>
      </c>
      <c r="G233" s="5" t="s">
        <v>24</v>
      </c>
      <c r="H233" s="5" t="s">
        <v>24</v>
      </c>
      <c r="I233" s="5" t="s">
        <v>24</v>
      </c>
      <c r="J233" s="5" t="s">
        <v>24</v>
      </c>
      <c r="K233" s="5" t="s">
        <v>24</v>
      </c>
      <c r="L233" s="5" t="s">
        <v>24</v>
      </c>
      <c r="M233" s="5" t="s">
        <v>24</v>
      </c>
      <c r="N233" s="5" t="s">
        <v>24</v>
      </c>
      <c r="O233" s="5" t="s">
        <v>4866</v>
      </c>
      <c r="P233" s="5" t="s">
        <v>24</v>
      </c>
      <c r="Q233" s="5" t="s">
        <v>24</v>
      </c>
      <c r="R233" s="5" t="s">
        <v>24</v>
      </c>
      <c r="S233" s="5" t="s">
        <v>1852</v>
      </c>
      <c r="T233" s="5" t="s">
        <v>5261</v>
      </c>
      <c r="U233" s="5" t="s">
        <v>5261</v>
      </c>
      <c r="V233" s="5" t="s">
        <v>24</v>
      </c>
      <c r="W233" s="5" t="s">
        <v>24</v>
      </c>
      <c r="X233" s="5" t="s">
        <v>24</v>
      </c>
      <c r="Y233" s="5" t="s">
        <v>5948</v>
      </c>
      <c r="Z233" s="5" t="s">
        <v>5949</v>
      </c>
      <c r="AA233" s="5" t="s">
        <v>5949</v>
      </c>
      <c r="AB233" s="5"/>
    </row>
    <row r="234" ht="15.75" customHeight="1">
      <c r="A234" s="5" t="s">
        <v>5950</v>
      </c>
      <c r="B234" s="5" t="s">
        <v>5951</v>
      </c>
      <c r="C234" s="5" t="s">
        <v>5013</v>
      </c>
      <c r="D234" s="5" t="s">
        <v>24</v>
      </c>
      <c r="E234" s="5" t="s">
        <v>1849</v>
      </c>
      <c r="F234" s="5" t="s">
        <v>4963</v>
      </c>
      <c r="G234" s="5" t="s">
        <v>24</v>
      </c>
      <c r="H234" s="5" t="s">
        <v>24</v>
      </c>
      <c r="I234" s="5" t="s">
        <v>24</v>
      </c>
      <c r="J234" s="5" t="s">
        <v>24</v>
      </c>
      <c r="K234" s="5" t="s">
        <v>24</v>
      </c>
      <c r="L234" s="5" t="s">
        <v>24</v>
      </c>
      <c r="M234" s="5" t="s">
        <v>24</v>
      </c>
      <c r="N234" s="5" t="s">
        <v>24</v>
      </c>
      <c r="O234" s="5" t="s">
        <v>1933</v>
      </c>
      <c r="P234" s="5" t="s">
        <v>24</v>
      </c>
      <c r="Q234" s="5" t="s">
        <v>24</v>
      </c>
      <c r="R234" s="5" t="s">
        <v>24</v>
      </c>
      <c r="S234" s="5" t="s">
        <v>1852</v>
      </c>
      <c r="T234" s="5" t="s">
        <v>5437</v>
      </c>
      <c r="U234" s="5" t="s">
        <v>5437</v>
      </c>
      <c r="V234" s="5" t="s">
        <v>24</v>
      </c>
      <c r="W234" s="5" t="s">
        <v>24</v>
      </c>
      <c r="X234" s="5" t="s">
        <v>24</v>
      </c>
      <c r="Y234" s="5" t="s">
        <v>5952</v>
      </c>
      <c r="Z234" s="5" t="s">
        <v>5953</v>
      </c>
      <c r="AA234" s="5" t="s">
        <v>5953</v>
      </c>
      <c r="AB234" s="5"/>
    </row>
    <row r="235" ht="15.75" customHeight="1">
      <c r="A235" s="5" t="s">
        <v>5954</v>
      </c>
      <c r="B235" s="5" t="s">
        <v>5955</v>
      </c>
      <c r="C235" s="5" t="s">
        <v>5013</v>
      </c>
      <c r="D235" s="5" t="s">
        <v>24</v>
      </c>
      <c r="E235" s="5" t="s">
        <v>1849</v>
      </c>
      <c r="F235" s="5" t="s">
        <v>4963</v>
      </c>
      <c r="G235" s="5" t="s">
        <v>24</v>
      </c>
      <c r="H235" s="5" t="s">
        <v>24</v>
      </c>
      <c r="I235" s="5" t="s">
        <v>24</v>
      </c>
      <c r="J235" s="5" t="s">
        <v>24</v>
      </c>
      <c r="K235" s="5" t="s">
        <v>24</v>
      </c>
      <c r="L235" s="5" t="s">
        <v>24</v>
      </c>
      <c r="M235" s="5" t="s">
        <v>1885</v>
      </c>
      <c r="N235" s="5" t="s">
        <v>24</v>
      </c>
      <c r="O235" s="5" t="s">
        <v>3432</v>
      </c>
      <c r="P235" s="5" t="s">
        <v>24</v>
      </c>
      <c r="Q235" s="5" t="s">
        <v>24</v>
      </c>
      <c r="R235" s="5" t="s">
        <v>24</v>
      </c>
      <c r="S235" s="5" t="s">
        <v>1852</v>
      </c>
      <c r="T235" s="5" t="s">
        <v>2271</v>
      </c>
      <c r="U235" s="5" t="s">
        <v>2271</v>
      </c>
      <c r="V235" s="5" t="s">
        <v>24</v>
      </c>
      <c r="W235" s="5" t="s">
        <v>24</v>
      </c>
      <c r="X235" s="5" t="s">
        <v>24</v>
      </c>
      <c r="Y235" s="5" t="s">
        <v>5956</v>
      </c>
      <c r="Z235" s="5" t="s">
        <v>5957</v>
      </c>
      <c r="AA235" s="5" t="s">
        <v>5957</v>
      </c>
      <c r="AB235" s="5"/>
    </row>
    <row r="236" ht="15.75" customHeight="1">
      <c r="A236" s="5" t="s">
        <v>5958</v>
      </c>
      <c r="B236" s="5" t="s">
        <v>5959</v>
      </c>
      <c r="C236" s="5" t="s">
        <v>139</v>
      </c>
      <c r="D236" s="5" t="s">
        <v>24</v>
      </c>
      <c r="E236" s="5" t="s">
        <v>1849</v>
      </c>
      <c r="F236" s="5" t="s">
        <v>4963</v>
      </c>
      <c r="G236" s="5" t="s">
        <v>24</v>
      </c>
      <c r="H236" s="5" t="s">
        <v>24</v>
      </c>
      <c r="I236" s="5" t="s">
        <v>24</v>
      </c>
      <c r="J236" s="5" t="s">
        <v>24</v>
      </c>
      <c r="K236" s="5" t="s">
        <v>24</v>
      </c>
      <c r="L236" s="5" t="s">
        <v>24</v>
      </c>
      <c r="M236" s="5" t="s">
        <v>1885</v>
      </c>
      <c r="N236" s="5" t="s">
        <v>24</v>
      </c>
      <c r="O236" s="5" t="s">
        <v>1886</v>
      </c>
      <c r="P236" s="5" t="s">
        <v>24</v>
      </c>
      <c r="Q236" s="5" t="s">
        <v>24</v>
      </c>
      <c r="R236" s="5" t="s">
        <v>24</v>
      </c>
      <c r="S236" s="5" t="s">
        <v>1852</v>
      </c>
      <c r="T236" s="5" t="s">
        <v>1923</v>
      </c>
      <c r="U236" s="5" t="s">
        <v>1923</v>
      </c>
      <c r="V236" s="5" t="s">
        <v>24</v>
      </c>
      <c r="W236" s="5" t="s">
        <v>24</v>
      </c>
      <c r="X236" s="5" t="s">
        <v>24</v>
      </c>
      <c r="Y236" s="5" t="s">
        <v>5960</v>
      </c>
      <c r="Z236" s="5" t="s">
        <v>5961</v>
      </c>
      <c r="AA236" s="5" t="s">
        <v>5961</v>
      </c>
      <c r="AB236" s="5"/>
    </row>
    <row r="237" ht="15.75" customHeight="1">
      <c r="A237" s="5" t="s">
        <v>5962</v>
      </c>
      <c r="B237" s="5" t="s">
        <v>5963</v>
      </c>
      <c r="C237" s="5" t="s">
        <v>145</v>
      </c>
      <c r="D237" s="5" t="s">
        <v>24</v>
      </c>
      <c r="E237" s="5" t="s">
        <v>1849</v>
      </c>
      <c r="F237" s="5" t="s">
        <v>4963</v>
      </c>
      <c r="G237" s="5" t="s">
        <v>24</v>
      </c>
      <c r="H237" s="5" t="s">
        <v>24</v>
      </c>
      <c r="I237" s="5" t="s">
        <v>24</v>
      </c>
      <c r="J237" s="5" t="s">
        <v>24</v>
      </c>
      <c r="K237" s="5" t="s">
        <v>24</v>
      </c>
      <c r="L237" s="5" t="s">
        <v>24</v>
      </c>
      <c r="M237" s="5" t="s">
        <v>1885</v>
      </c>
      <c r="N237" s="5" t="s">
        <v>24</v>
      </c>
      <c r="O237" s="5" t="s">
        <v>1917</v>
      </c>
      <c r="P237" s="5" t="s">
        <v>24</v>
      </c>
      <c r="Q237" s="5" t="s">
        <v>24</v>
      </c>
      <c r="R237" s="5" t="s">
        <v>24</v>
      </c>
      <c r="S237" s="5" t="s">
        <v>1852</v>
      </c>
      <c r="T237" s="5" t="s">
        <v>5120</v>
      </c>
      <c r="U237" s="5" t="s">
        <v>5120</v>
      </c>
      <c r="V237" s="5" t="s">
        <v>24</v>
      </c>
      <c r="W237" s="5" t="s">
        <v>24</v>
      </c>
      <c r="X237" s="5" t="s">
        <v>24</v>
      </c>
      <c r="Y237" s="5" t="s">
        <v>5964</v>
      </c>
      <c r="Z237" s="5" t="s">
        <v>5965</v>
      </c>
      <c r="AA237" s="5" t="s">
        <v>5965</v>
      </c>
      <c r="AB237" s="5"/>
    </row>
    <row r="238" ht="15.75" customHeight="1">
      <c r="A238" s="5" t="s">
        <v>5966</v>
      </c>
      <c r="B238" s="5" t="s">
        <v>5967</v>
      </c>
      <c r="C238" s="5" t="s">
        <v>106</v>
      </c>
      <c r="D238" s="5" t="s">
        <v>24</v>
      </c>
      <c r="E238" s="5" t="s">
        <v>1849</v>
      </c>
      <c r="F238" s="5" t="s">
        <v>4963</v>
      </c>
      <c r="G238" s="5" t="s">
        <v>24</v>
      </c>
      <c r="H238" s="5" t="s">
        <v>24</v>
      </c>
      <c r="I238" s="5" t="s">
        <v>24</v>
      </c>
      <c r="J238" s="5" t="s">
        <v>24</v>
      </c>
      <c r="K238" s="5" t="s">
        <v>24</v>
      </c>
      <c r="L238" s="5" t="s">
        <v>24</v>
      </c>
      <c r="M238" s="5" t="s">
        <v>24</v>
      </c>
      <c r="N238" s="5" t="s">
        <v>24</v>
      </c>
      <c r="O238" s="5" t="s">
        <v>3745</v>
      </c>
      <c r="P238" s="5" t="s">
        <v>24</v>
      </c>
      <c r="Q238" s="5" t="s">
        <v>24</v>
      </c>
      <c r="R238" s="5" t="s">
        <v>24</v>
      </c>
      <c r="S238" s="5" t="s">
        <v>1852</v>
      </c>
      <c r="T238" s="5" t="s">
        <v>2127</v>
      </c>
      <c r="U238" s="5" t="s">
        <v>2127</v>
      </c>
      <c r="V238" s="5" t="s">
        <v>24</v>
      </c>
      <c r="W238" s="5" t="s">
        <v>24</v>
      </c>
      <c r="X238" s="5" t="s">
        <v>24</v>
      </c>
      <c r="Y238" s="5" t="s">
        <v>5968</v>
      </c>
      <c r="Z238" s="5" t="s">
        <v>5969</v>
      </c>
      <c r="AA238" s="5" t="s">
        <v>5969</v>
      </c>
      <c r="AB238" s="5"/>
    </row>
    <row r="239" ht="15.75" customHeight="1">
      <c r="A239" s="5" t="s">
        <v>5970</v>
      </c>
      <c r="B239" s="5" t="s">
        <v>5971</v>
      </c>
      <c r="C239" s="5" t="s">
        <v>5013</v>
      </c>
      <c r="D239" s="5" t="s">
        <v>24</v>
      </c>
      <c r="E239" s="5" t="s">
        <v>1849</v>
      </c>
      <c r="F239" s="5" t="s">
        <v>4963</v>
      </c>
      <c r="G239" s="5" t="s">
        <v>24</v>
      </c>
      <c r="H239" s="5" t="s">
        <v>24</v>
      </c>
      <c r="I239" s="5" t="s">
        <v>24</v>
      </c>
      <c r="J239" s="5" t="s">
        <v>24</v>
      </c>
      <c r="K239" s="5" t="s">
        <v>24</v>
      </c>
      <c r="L239" s="5" t="s">
        <v>24</v>
      </c>
      <c r="M239" s="5" t="s">
        <v>24</v>
      </c>
      <c r="N239" s="5" t="s">
        <v>24</v>
      </c>
      <c r="O239" s="5" t="s">
        <v>1933</v>
      </c>
      <c r="P239" s="5" t="s">
        <v>24</v>
      </c>
      <c r="Q239" s="5" t="s">
        <v>24</v>
      </c>
      <c r="R239" s="5" t="s">
        <v>24</v>
      </c>
      <c r="S239" s="5" t="s">
        <v>1852</v>
      </c>
      <c r="T239" s="5" t="s">
        <v>5972</v>
      </c>
      <c r="U239" s="5" t="s">
        <v>5972</v>
      </c>
      <c r="V239" s="5" t="s">
        <v>24</v>
      </c>
      <c r="W239" s="5" t="s">
        <v>24</v>
      </c>
      <c r="X239" s="5" t="s">
        <v>24</v>
      </c>
      <c r="Y239" s="5" t="s">
        <v>5973</v>
      </c>
      <c r="Z239" s="5" t="s">
        <v>5974</v>
      </c>
      <c r="AA239" s="5" t="s">
        <v>5974</v>
      </c>
      <c r="AB239" s="5"/>
    </row>
    <row r="240" ht="15.75" customHeight="1">
      <c r="A240" s="5" t="s">
        <v>5975</v>
      </c>
      <c r="B240" s="5" t="s">
        <v>5976</v>
      </c>
      <c r="C240" s="5" t="s">
        <v>5013</v>
      </c>
      <c r="D240" s="5" t="s">
        <v>24</v>
      </c>
      <c r="E240" s="5" t="s">
        <v>1849</v>
      </c>
      <c r="F240" s="5" t="s">
        <v>4963</v>
      </c>
      <c r="G240" s="5" t="s">
        <v>24</v>
      </c>
      <c r="H240" s="5" t="s">
        <v>24</v>
      </c>
      <c r="I240" s="5" t="s">
        <v>24</v>
      </c>
      <c r="J240" s="5" t="s">
        <v>24</v>
      </c>
      <c r="K240" s="5" t="s">
        <v>24</v>
      </c>
      <c r="L240" s="5" t="s">
        <v>24</v>
      </c>
      <c r="M240" s="5" t="s">
        <v>3136</v>
      </c>
      <c r="N240" s="5" t="s">
        <v>24</v>
      </c>
      <c r="O240" s="5" t="s">
        <v>24</v>
      </c>
      <c r="P240" s="5" t="s">
        <v>24</v>
      </c>
      <c r="Q240" s="5" t="s">
        <v>24</v>
      </c>
      <c r="R240" s="5" t="s">
        <v>24</v>
      </c>
      <c r="S240" s="5" t="s">
        <v>1852</v>
      </c>
      <c r="T240" s="5" t="s">
        <v>5977</v>
      </c>
      <c r="U240" s="5" t="s">
        <v>5977</v>
      </c>
      <c r="V240" s="5" t="s">
        <v>24</v>
      </c>
      <c r="W240" s="5" t="s">
        <v>24</v>
      </c>
      <c r="X240" s="5" t="s">
        <v>24</v>
      </c>
      <c r="Y240" s="5" t="s">
        <v>5978</v>
      </c>
      <c r="Z240" s="5" t="s">
        <v>5979</v>
      </c>
      <c r="AA240" s="5" t="s">
        <v>5979</v>
      </c>
      <c r="AB240" s="5"/>
    </row>
    <row r="241" ht="15.75" customHeight="1">
      <c r="A241" s="5" t="s">
        <v>5980</v>
      </c>
      <c r="B241" s="5" t="s">
        <v>5981</v>
      </c>
      <c r="C241" s="5" t="s">
        <v>5013</v>
      </c>
      <c r="D241" s="5" t="s">
        <v>24</v>
      </c>
      <c r="E241" s="5" t="s">
        <v>1849</v>
      </c>
      <c r="F241" s="5" t="s">
        <v>4963</v>
      </c>
      <c r="G241" s="5" t="s">
        <v>24</v>
      </c>
      <c r="H241" s="5" t="s">
        <v>24</v>
      </c>
      <c r="I241" s="5" t="s">
        <v>24</v>
      </c>
      <c r="J241" s="5" t="s">
        <v>24</v>
      </c>
      <c r="K241" s="5" t="s">
        <v>24</v>
      </c>
      <c r="L241" s="5" t="s">
        <v>24</v>
      </c>
      <c r="M241" s="5" t="s">
        <v>4504</v>
      </c>
      <c r="N241" s="5" t="s">
        <v>24</v>
      </c>
      <c r="O241" s="5" t="s">
        <v>24</v>
      </c>
      <c r="P241" s="5" t="s">
        <v>24</v>
      </c>
      <c r="Q241" s="5" t="s">
        <v>24</v>
      </c>
      <c r="R241" s="5" t="s">
        <v>24</v>
      </c>
      <c r="S241" s="5" t="s">
        <v>1852</v>
      </c>
      <c r="T241" s="5" t="s">
        <v>5837</v>
      </c>
      <c r="U241" s="5" t="s">
        <v>5837</v>
      </c>
      <c r="V241" s="5" t="s">
        <v>24</v>
      </c>
      <c r="W241" s="5" t="s">
        <v>24</v>
      </c>
      <c r="X241" s="5" t="s">
        <v>24</v>
      </c>
      <c r="Y241" s="5" t="s">
        <v>5982</v>
      </c>
      <c r="Z241" s="5" t="s">
        <v>5983</v>
      </c>
      <c r="AA241" s="5" t="s">
        <v>5983</v>
      </c>
      <c r="AB241" s="5"/>
    </row>
    <row r="242" ht="15.75" customHeight="1">
      <c r="A242" s="5" t="s">
        <v>5984</v>
      </c>
      <c r="B242" s="5" t="s">
        <v>5985</v>
      </c>
      <c r="C242" s="5" t="s">
        <v>5095</v>
      </c>
      <c r="D242" s="5" t="s">
        <v>24</v>
      </c>
      <c r="E242" s="5" t="s">
        <v>1849</v>
      </c>
      <c r="F242" s="5" t="s">
        <v>4963</v>
      </c>
      <c r="G242" s="5" t="s">
        <v>24</v>
      </c>
      <c r="H242" s="5" t="s">
        <v>24</v>
      </c>
      <c r="I242" s="5" t="s">
        <v>24</v>
      </c>
      <c r="J242" s="5" t="s">
        <v>24</v>
      </c>
      <c r="K242" s="5" t="s">
        <v>24</v>
      </c>
      <c r="L242" s="5" t="s">
        <v>24</v>
      </c>
      <c r="M242" s="5" t="s">
        <v>1885</v>
      </c>
      <c r="N242" s="5" t="s">
        <v>24</v>
      </c>
      <c r="O242" s="5" t="s">
        <v>24</v>
      </c>
      <c r="P242" s="5" t="s">
        <v>24</v>
      </c>
      <c r="Q242" s="5" t="s">
        <v>24</v>
      </c>
      <c r="R242" s="5" t="s">
        <v>24</v>
      </c>
      <c r="S242" s="5" t="s">
        <v>1852</v>
      </c>
      <c r="T242" s="5" t="s">
        <v>5837</v>
      </c>
      <c r="U242" s="5" t="s">
        <v>5837</v>
      </c>
      <c r="V242" s="5" t="s">
        <v>24</v>
      </c>
      <c r="W242" s="5" t="s">
        <v>24</v>
      </c>
      <c r="X242" s="5" t="s">
        <v>24</v>
      </c>
      <c r="Y242" s="5" t="s">
        <v>5986</v>
      </c>
      <c r="Z242" s="5" t="s">
        <v>5987</v>
      </c>
      <c r="AA242" s="5" t="s">
        <v>5987</v>
      </c>
      <c r="AB242" s="5"/>
    </row>
    <row r="243" ht="15.75" customHeight="1">
      <c r="A243" s="5" t="s">
        <v>5988</v>
      </c>
      <c r="B243" s="5" t="s">
        <v>5989</v>
      </c>
      <c r="C243" s="5" t="s">
        <v>5013</v>
      </c>
      <c r="D243" s="5" t="s">
        <v>24</v>
      </c>
      <c r="E243" s="5" t="s">
        <v>1849</v>
      </c>
      <c r="F243" s="5" t="s">
        <v>4963</v>
      </c>
      <c r="G243" s="5" t="s">
        <v>24</v>
      </c>
      <c r="H243" s="5" t="s">
        <v>24</v>
      </c>
      <c r="I243" s="5" t="s">
        <v>24</v>
      </c>
      <c r="J243" s="5" t="s">
        <v>24</v>
      </c>
      <c r="K243" s="5" t="s">
        <v>24</v>
      </c>
      <c r="L243" s="5" t="s">
        <v>24</v>
      </c>
      <c r="M243" s="5" t="s">
        <v>24</v>
      </c>
      <c r="N243" s="5" t="s">
        <v>24</v>
      </c>
      <c r="O243" s="5" t="s">
        <v>1933</v>
      </c>
      <c r="P243" s="5" t="s">
        <v>24</v>
      </c>
      <c r="Q243" s="5" t="s">
        <v>24</v>
      </c>
      <c r="R243" s="5" t="s">
        <v>24</v>
      </c>
      <c r="S243" s="5" t="s">
        <v>1852</v>
      </c>
      <c r="T243" s="5" t="s">
        <v>5184</v>
      </c>
      <c r="U243" s="5" t="s">
        <v>5184</v>
      </c>
      <c r="V243" s="5" t="s">
        <v>24</v>
      </c>
      <c r="W243" s="5" t="s">
        <v>24</v>
      </c>
      <c r="X243" s="5" t="s">
        <v>24</v>
      </c>
      <c r="Y243" s="5" t="s">
        <v>5990</v>
      </c>
      <c r="Z243" s="5" t="s">
        <v>5991</v>
      </c>
      <c r="AA243" s="5" t="s">
        <v>5991</v>
      </c>
      <c r="AB243" s="5"/>
    </row>
    <row r="244" ht="15.75" customHeight="1">
      <c r="A244" s="5" t="s">
        <v>5992</v>
      </c>
      <c r="B244" s="5" t="s">
        <v>5993</v>
      </c>
      <c r="C244" s="5" t="s">
        <v>227</v>
      </c>
      <c r="D244" s="5" t="s">
        <v>24</v>
      </c>
      <c r="E244" s="5" t="s">
        <v>1849</v>
      </c>
      <c r="F244" s="5" t="s">
        <v>4963</v>
      </c>
      <c r="G244" s="5" t="s">
        <v>24</v>
      </c>
      <c r="H244" s="5" t="s">
        <v>24</v>
      </c>
      <c r="I244" s="5" t="s">
        <v>24</v>
      </c>
      <c r="J244" s="5" t="s">
        <v>24</v>
      </c>
      <c r="K244" s="5" t="s">
        <v>24</v>
      </c>
      <c r="L244" s="5" t="s">
        <v>24</v>
      </c>
      <c r="M244" s="5" t="s">
        <v>5607</v>
      </c>
      <c r="N244" s="5" t="s">
        <v>24</v>
      </c>
      <c r="O244" s="5" t="s">
        <v>24</v>
      </c>
      <c r="P244" s="5" t="s">
        <v>24</v>
      </c>
      <c r="Q244" s="5" t="s">
        <v>24</v>
      </c>
      <c r="R244" s="5" t="s">
        <v>24</v>
      </c>
      <c r="S244" s="5" t="s">
        <v>1852</v>
      </c>
      <c r="T244" s="5" t="s">
        <v>5384</v>
      </c>
      <c r="U244" s="5" t="s">
        <v>5384</v>
      </c>
      <c r="V244" s="5" t="s">
        <v>24</v>
      </c>
      <c r="W244" s="5" t="s">
        <v>24</v>
      </c>
      <c r="X244" s="5" t="s">
        <v>24</v>
      </c>
      <c r="Y244" s="5" t="s">
        <v>5994</v>
      </c>
      <c r="Z244" s="5" t="s">
        <v>5995</v>
      </c>
      <c r="AA244" s="5" t="s">
        <v>5995</v>
      </c>
      <c r="AB244" s="5"/>
    </row>
    <row r="245" ht="15.75" customHeight="1">
      <c r="A245" s="5" t="s">
        <v>5996</v>
      </c>
      <c r="B245" s="5" t="s">
        <v>5997</v>
      </c>
      <c r="C245" s="5" t="s">
        <v>227</v>
      </c>
      <c r="D245" s="5" t="s">
        <v>24</v>
      </c>
      <c r="E245" s="5" t="s">
        <v>1849</v>
      </c>
      <c r="F245" s="5" t="s">
        <v>4963</v>
      </c>
      <c r="G245" s="5" t="s">
        <v>24</v>
      </c>
      <c r="H245" s="5" t="s">
        <v>24</v>
      </c>
      <c r="I245" s="5" t="s">
        <v>24</v>
      </c>
      <c r="J245" s="5" t="s">
        <v>24</v>
      </c>
      <c r="K245" s="5" t="s">
        <v>24</v>
      </c>
      <c r="L245" s="5" t="s">
        <v>24</v>
      </c>
      <c r="M245" s="5" t="s">
        <v>24</v>
      </c>
      <c r="N245" s="5" t="s">
        <v>24</v>
      </c>
      <c r="O245" s="5" t="s">
        <v>1894</v>
      </c>
      <c r="P245" s="5" t="s">
        <v>24</v>
      </c>
      <c r="Q245" s="5" t="s">
        <v>24</v>
      </c>
      <c r="R245" s="5" t="s">
        <v>24</v>
      </c>
      <c r="S245" s="5" t="s">
        <v>1852</v>
      </c>
      <c r="T245" s="5" t="s">
        <v>5998</v>
      </c>
      <c r="U245" s="5" t="s">
        <v>5998</v>
      </c>
      <c r="V245" s="5" t="s">
        <v>24</v>
      </c>
      <c r="W245" s="5" t="s">
        <v>24</v>
      </c>
      <c r="X245" s="5" t="s">
        <v>24</v>
      </c>
      <c r="Y245" s="5" t="s">
        <v>5999</v>
      </c>
      <c r="Z245" s="5" t="s">
        <v>6000</v>
      </c>
      <c r="AA245" s="5" t="s">
        <v>6000</v>
      </c>
      <c r="AB245" s="5"/>
    </row>
    <row r="246" ht="15.75" customHeight="1">
      <c r="A246" s="5" t="s">
        <v>6001</v>
      </c>
      <c r="B246" s="5" t="s">
        <v>6002</v>
      </c>
      <c r="C246" s="5" t="s">
        <v>227</v>
      </c>
      <c r="D246" s="5" t="s">
        <v>24</v>
      </c>
      <c r="E246" s="5" t="s">
        <v>1849</v>
      </c>
      <c r="F246" s="5" t="s">
        <v>4963</v>
      </c>
      <c r="G246" s="5" t="s">
        <v>24</v>
      </c>
      <c r="H246" s="5" t="s">
        <v>24</v>
      </c>
      <c r="I246" s="5" t="s">
        <v>24</v>
      </c>
      <c r="J246" s="5" t="s">
        <v>24</v>
      </c>
      <c r="K246" s="5" t="s">
        <v>24</v>
      </c>
      <c r="L246" s="5" t="s">
        <v>24</v>
      </c>
      <c r="M246" s="5" t="s">
        <v>24</v>
      </c>
      <c r="N246" s="5" t="s">
        <v>24</v>
      </c>
      <c r="O246" s="5" t="s">
        <v>3994</v>
      </c>
      <c r="P246" s="5" t="s">
        <v>24</v>
      </c>
      <c r="Q246" s="5" t="s">
        <v>24</v>
      </c>
      <c r="R246" s="5" t="s">
        <v>24</v>
      </c>
      <c r="S246" s="5" t="s">
        <v>1852</v>
      </c>
      <c r="T246" s="5" t="s">
        <v>5793</v>
      </c>
      <c r="U246" s="5" t="s">
        <v>5793</v>
      </c>
      <c r="V246" s="5" t="s">
        <v>24</v>
      </c>
      <c r="W246" s="5" t="s">
        <v>24</v>
      </c>
      <c r="X246" s="5" t="s">
        <v>24</v>
      </c>
      <c r="Y246" s="5" t="s">
        <v>6003</v>
      </c>
      <c r="Z246" s="5" t="s">
        <v>6004</v>
      </c>
      <c r="AA246" s="5" t="s">
        <v>6004</v>
      </c>
      <c r="AB246" s="5"/>
    </row>
    <row r="247" ht="15.75" customHeight="1">
      <c r="A247" s="5" t="s">
        <v>6005</v>
      </c>
      <c r="B247" s="5" t="s">
        <v>6006</v>
      </c>
      <c r="C247" s="5" t="s">
        <v>5013</v>
      </c>
      <c r="D247" s="5" t="s">
        <v>24</v>
      </c>
      <c r="E247" s="5" t="s">
        <v>1849</v>
      </c>
      <c r="F247" s="5" t="s">
        <v>4963</v>
      </c>
      <c r="G247" s="5" t="s">
        <v>24</v>
      </c>
      <c r="H247" s="5" t="s">
        <v>24</v>
      </c>
      <c r="I247" s="5" t="s">
        <v>24</v>
      </c>
      <c r="J247" s="5" t="s">
        <v>24</v>
      </c>
      <c r="K247" s="5" t="s">
        <v>24</v>
      </c>
      <c r="L247" s="5" t="s">
        <v>24</v>
      </c>
      <c r="M247" s="5" t="s">
        <v>1885</v>
      </c>
      <c r="N247" s="5" t="s">
        <v>24</v>
      </c>
      <c r="O247" s="5" t="s">
        <v>24</v>
      </c>
      <c r="P247" s="5" t="s">
        <v>24</v>
      </c>
      <c r="Q247" s="5" t="s">
        <v>24</v>
      </c>
      <c r="R247" s="5" t="s">
        <v>24</v>
      </c>
      <c r="S247" s="5" t="s">
        <v>1852</v>
      </c>
      <c r="T247" s="5" t="s">
        <v>1887</v>
      </c>
      <c r="U247" s="5" t="s">
        <v>1887</v>
      </c>
      <c r="V247" s="5" t="s">
        <v>24</v>
      </c>
      <c r="W247" s="5" t="s">
        <v>24</v>
      </c>
      <c r="X247" s="5" t="s">
        <v>24</v>
      </c>
      <c r="Y247" s="5" t="s">
        <v>6007</v>
      </c>
      <c r="Z247" s="5" t="s">
        <v>6008</v>
      </c>
      <c r="AA247" s="5" t="s">
        <v>6008</v>
      </c>
      <c r="AB247" s="5"/>
    </row>
    <row r="248" ht="15.75" customHeight="1">
      <c r="A248" s="5" t="s">
        <v>6009</v>
      </c>
      <c r="B248" s="5" t="s">
        <v>6010</v>
      </c>
      <c r="C248" s="5" t="s">
        <v>2126</v>
      </c>
      <c r="D248" s="5" t="s">
        <v>24</v>
      </c>
      <c r="E248" s="5" t="s">
        <v>1849</v>
      </c>
      <c r="F248" s="5" t="s">
        <v>4963</v>
      </c>
      <c r="G248" s="5" t="s">
        <v>24</v>
      </c>
      <c r="H248" s="5" t="s">
        <v>24</v>
      </c>
      <c r="I248" s="5" t="s">
        <v>24</v>
      </c>
      <c r="J248" s="5" t="s">
        <v>24</v>
      </c>
      <c r="K248" s="5" t="s">
        <v>24</v>
      </c>
      <c r="L248" s="5" t="s">
        <v>24</v>
      </c>
      <c r="M248" s="5" t="s">
        <v>24</v>
      </c>
      <c r="N248" s="5" t="s">
        <v>24</v>
      </c>
      <c r="O248" s="5" t="s">
        <v>4849</v>
      </c>
      <c r="P248" s="5" t="s">
        <v>24</v>
      </c>
      <c r="Q248" s="5" t="s">
        <v>24</v>
      </c>
      <c r="R248" s="5" t="s">
        <v>24</v>
      </c>
      <c r="S248" s="5" t="s">
        <v>1852</v>
      </c>
      <c r="T248" s="5" t="s">
        <v>5261</v>
      </c>
      <c r="U248" s="5" t="s">
        <v>5261</v>
      </c>
      <c r="V248" s="5" t="s">
        <v>24</v>
      </c>
      <c r="W248" s="5" t="s">
        <v>24</v>
      </c>
      <c r="X248" s="5" t="s">
        <v>24</v>
      </c>
      <c r="Y248" s="5" t="s">
        <v>6011</v>
      </c>
      <c r="Z248" s="5" t="s">
        <v>6012</v>
      </c>
      <c r="AA248" s="5" t="s">
        <v>6012</v>
      </c>
      <c r="AB248" s="5"/>
    </row>
    <row r="249" ht="15.75" customHeight="1">
      <c r="A249" s="5" t="s">
        <v>6013</v>
      </c>
      <c r="B249" s="5" t="s">
        <v>6014</v>
      </c>
      <c r="C249" s="5" t="s">
        <v>5013</v>
      </c>
      <c r="D249" s="5" t="s">
        <v>24</v>
      </c>
      <c r="E249" s="5" t="s">
        <v>1849</v>
      </c>
      <c r="F249" s="5" t="s">
        <v>4963</v>
      </c>
      <c r="G249" s="5" t="s">
        <v>24</v>
      </c>
      <c r="H249" s="5" t="s">
        <v>24</v>
      </c>
      <c r="I249" s="5" t="s">
        <v>24</v>
      </c>
      <c r="J249" s="5" t="s">
        <v>24</v>
      </c>
      <c r="K249" s="5" t="s">
        <v>24</v>
      </c>
      <c r="L249" s="5" t="s">
        <v>24</v>
      </c>
      <c r="M249" s="5" t="s">
        <v>24</v>
      </c>
      <c r="N249" s="5" t="s">
        <v>24</v>
      </c>
      <c r="O249" s="5" t="s">
        <v>2148</v>
      </c>
      <c r="P249" s="5" t="s">
        <v>24</v>
      </c>
      <c r="Q249" s="5" t="s">
        <v>24</v>
      </c>
      <c r="R249" s="5" t="s">
        <v>24</v>
      </c>
      <c r="S249" s="5" t="s">
        <v>1852</v>
      </c>
      <c r="T249" s="5" t="s">
        <v>6015</v>
      </c>
      <c r="U249" s="5" t="s">
        <v>6015</v>
      </c>
      <c r="V249" s="5" t="s">
        <v>24</v>
      </c>
      <c r="W249" s="5" t="s">
        <v>24</v>
      </c>
      <c r="X249" s="5" t="s">
        <v>24</v>
      </c>
      <c r="Y249" s="5" t="s">
        <v>6016</v>
      </c>
      <c r="Z249" s="5" t="s">
        <v>6017</v>
      </c>
      <c r="AA249" s="5" t="s">
        <v>6017</v>
      </c>
      <c r="AB249" s="5"/>
    </row>
    <row r="250" ht="15.75" customHeight="1">
      <c r="A250" s="5" t="s">
        <v>6018</v>
      </c>
      <c r="B250" s="5" t="s">
        <v>6019</v>
      </c>
      <c r="C250" s="5" t="s">
        <v>227</v>
      </c>
      <c r="D250" s="5" t="s">
        <v>24</v>
      </c>
      <c r="E250" s="5" t="s">
        <v>1849</v>
      </c>
      <c r="F250" s="5" t="s">
        <v>4963</v>
      </c>
      <c r="G250" s="5" t="s">
        <v>24</v>
      </c>
      <c r="H250" s="5" t="s">
        <v>24</v>
      </c>
      <c r="I250" s="5" t="s">
        <v>24</v>
      </c>
      <c r="J250" s="5" t="s">
        <v>24</v>
      </c>
      <c r="K250" s="5" t="s">
        <v>24</v>
      </c>
      <c r="L250" s="5" t="s">
        <v>24</v>
      </c>
      <c r="M250" s="5" t="s">
        <v>24</v>
      </c>
      <c r="N250" s="5" t="s">
        <v>24</v>
      </c>
      <c r="O250" s="5" t="s">
        <v>1917</v>
      </c>
      <c r="P250" s="5" t="s">
        <v>24</v>
      </c>
      <c r="Q250" s="5" t="s">
        <v>24</v>
      </c>
      <c r="R250" s="5" t="s">
        <v>24</v>
      </c>
      <c r="S250" s="5" t="s">
        <v>1852</v>
      </c>
      <c r="T250" s="5" t="s">
        <v>2047</v>
      </c>
      <c r="U250" s="5" t="s">
        <v>2047</v>
      </c>
      <c r="V250" s="5" t="s">
        <v>24</v>
      </c>
      <c r="W250" s="5" t="s">
        <v>24</v>
      </c>
      <c r="X250" s="5" t="s">
        <v>24</v>
      </c>
      <c r="Y250" s="5" t="s">
        <v>6020</v>
      </c>
      <c r="Z250" s="5" t="s">
        <v>6021</v>
      </c>
      <c r="AA250" s="5" t="s">
        <v>6021</v>
      </c>
      <c r="AB250" s="5"/>
    </row>
    <row r="251" ht="15.75" customHeight="1">
      <c r="A251" s="5" t="s">
        <v>6022</v>
      </c>
      <c r="B251" s="5" t="s">
        <v>6023</v>
      </c>
      <c r="C251" s="5" t="s">
        <v>336</v>
      </c>
      <c r="D251" s="5" t="s">
        <v>24</v>
      </c>
      <c r="E251" s="5" t="s">
        <v>1849</v>
      </c>
      <c r="F251" s="5" t="s">
        <v>4963</v>
      </c>
      <c r="G251" s="5" t="s">
        <v>24</v>
      </c>
      <c r="H251" s="5" t="s">
        <v>24</v>
      </c>
      <c r="I251" s="5" t="s">
        <v>24</v>
      </c>
      <c r="J251" s="5" t="s">
        <v>24</v>
      </c>
      <c r="K251" s="5" t="s">
        <v>24</v>
      </c>
      <c r="L251" s="5" t="s">
        <v>24</v>
      </c>
      <c r="M251" s="5" t="s">
        <v>24</v>
      </c>
      <c r="N251" s="5" t="s">
        <v>24</v>
      </c>
      <c r="O251" s="5" t="s">
        <v>2715</v>
      </c>
      <c r="P251" s="5" t="s">
        <v>24</v>
      </c>
      <c r="Q251" s="5" t="s">
        <v>24</v>
      </c>
      <c r="R251" s="5" t="s">
        <v>24</v>
      </c>
      <c r="S251" s="5" t="s">
        <v>1852</v>
      </c>
      <c r="T251" s="5" t="s">
        <v>4146</v>
      </c>
      <c r="U251" s="5" t="s">
        <v>4146</v>
      </c>
      <c r="V251" s="5" t="s">
        <v>24</v>
      </c>
      <c r="W251" s="5" t="s">
        <v>24</v>
      </c>
      <c r="X251" s="5" t="s">
        <v>24</v>
      </c>
      <c r="Y251" s="5" t="s">
        <v>6024</v>
      </c>
      <c r="Z251" s="5" t="s">
        <v>6025</v>
      </c>
      <c r="AA251" s="5" t="s">
        <v>6025</v>
      </c>
      <c r="AB251" s="5"/>
    </row>
    <row r="252" ht="15.75" customHeight="1">
      <c r="A252" s="5" t="s">
        <v>6026</v>
      </c>
      <c r="B252" s="5" t="s">
        <v>6027</v>
      </c>
      <c r="C252" s="5" t="s">
        <v>227</v>
      </c>
      <c r="D252" s="5" t="s">
        <v>24</v>
      </c>
      <c r="E252" s="5" t="s">
        <v>1849</v>
      </c>
      <c r="F252" s="5" t="s">
        <v>4963</v>
      </c>
      <c r="G252" s="5" t="s">
        <v>24</v>
      </c>
      <c r="H252" s="5" t="s">
        <v>24</v>
      </c>
      <c r="I252" s="5" t="s">
        <v>24</v>
      </c>
      <c r="J252" s="5" t="s">
        <v>24</v>
      </c>
      <c r="K252" s="5" t="s">
        <v>24</v>
      </c>
      <c r="L252" s="5" t="s">
        <v>24</v>
      </c>
      <c r="M252" s="5" t="s">
        <v>1885</v>
      </c>
      <c r="N252" s="5" t="s">
        <v>24</v>
      </c>
      <c r="O252" s="5" t="s">
        <v>24</v>
      </c>
      <c r="P252" s="5" t="s">
        <v>24</v>
      </c>
      <c r="Q252" s="5" t="s">
        <v>24</v>
      </c>
      <c r="R252" s="5" t="s">
        <v>24</v>
      </c>
      <c r="S252" s="5" t="s">
        <v>1852</v>
      </c>
      <c r="T252" s="5" t="s">
        <v>5608</v>
      </c>
      <c r="U252" s="5" t="s">
        <v>5608</v>
      </c>
      <c r="V252" s="5" t="s">
        <v>24</v>
      </c>
      <c r="W252" s="5" t="s">
        <v>24</v>
      </c>
      <c r="X252" s="5" t="s">
        <v>24</v>
      </c>
      <c r="Y252" s="5" t="s">
        <v>6028</v>
      </c>
      <c r="Z252" s="5" t="s">
        <v>6029</v>
      </c>
      <c r="AA252" s="5" t="s">
        <v>6029</v>
      </c>
      <c r="AB252" s="5"/>
    </row>
    <row r="253" ht="15.75" customHeight="1">
      <c r="A253" s="5" t="s">
        <v>6030</v>
      </c>
      <c r="B253" s="5" t="s">
        <v>6031</v>
      </c>
      <c r="C253" s="5" t="s">
        <v>5013</v>
      </c>
      <c r="D253" s="5" t="s">
        <v>24</v>
      </c>
      <c r="E253" s="5" t="s">
        <v>1849</v>
      </c>
      <c r="F253" s="5" t="s">
        <v>4963</v>
      </c>
      <c r="G253" s="5" t="s">
        <v>24</v>
      </c>
      <c r="H253" s="5" t="s">
        <v>24</v>
      </c>
      <c r="I253" s="5" t="s">
        <v>24</v>
      </c>
      <c r="J253" s="5" t="s">
        <v>24</v>
      </c>
      <c r="K253" s="5" t="s">
        <v>24</v>
      </c>
      <c r="L253" s="5" t="s">
        <v>24</v>
      </c>
      <c r="M253" s="5" t="s">
        <v>24</v>
      </c>
      <c r="N253" s="5" t="s">
        <v>24</v>
      </c>
      <c r="O253" s="5" t="s">
        <v>1933</v>
      </c>
      <c r="P253" s="5" t="s">
        <v>24</v>
      </c>
      <c r="Q253" s="5" t="s">
        <v>24</v>
      </c>
      <c r="R253" s="5" t="s">
        <v>24</v>
      </c>
      <c r="S253" s="5" t="s">
        <v>1852</v>
      </c>
      <c r="T253" s="5" t="s">
        <v>5184</v>
      </c>
      <c r="U253" s="5" t="s">
        <v>5184</v>
      </c>
      <c r="V253" s="5" t="s">
        <v>24</v>
      </c>
      <c r="W253" s="5" t="s">
        <v>24</v>
      </c>
      <c r="X253" s="5" t="s">
        <v>24</v>
      </c>
      <c r="Y253" s="5" t="s">
        <v>6032</v>
      </c>
      <c r="Z253" s="5" t="s">
        <v>6033</v>
      </c>
      <c r="AA253" s="5" t="s">
        <v>6033</v>
      </c>
      <c r="AB253" s="5"/>
    </row>
    <row r="254" ht="15.75" customHeight="1">
      <c r="A254" s="5" t="s">
        <v>6034</v>
      </c>
      <c r="B254" s="5" t="s">
        <v>6035</v>
      </c>
      <c r="C254" s="5" t="s">
        <v>5415</v>
      </c>
      <c r="D254" s="5" t="s">
        <v>24</v>
      </c>
      <c r="E254" s="5" t="s">
        <v>1849</v>
      </c>
      <c r="F254" s="5" t="s">
        <v>4963</v>
      </c>
      <c r="G254" s="5" t="s">
        <v>24</v>
      </c>
      <c r="H254" s="5" t="s">
        <v>24</v>
      </c>
      <c r="I254" s="5" t="s">
        <v>24</v>
      </c>
      <c r="J254" s="5" t="s">
        <v>24</v>
      </c>
      <c r="K254" s="5" t="s">
        <v>24</v>
      </c>
      <c r="L254" s="5" t="s">
        <v>24</v>
      </c>
      <c r="M254" s="5" t="s">
        <v>1885</v>
      </c>
      <c r="N254" s="5" t="s">
        <v>24</v>
      </c>
      <c r="O254" s="5" t="s">
        <v>3552</v>
      </c>
      <c r="P254" s="5" t="s">
        <v>24</v>
      </c>
      <c r="Q254" s="5" t="s">
        <v>24</v>
      </c>
      <c r="R254" s="5" t="s">
        <v>24</v>
      </c>
      <c r="S254" s="5" t="s">
        <v>1852</v>
      </c>
      <c r="T254" s="5" t="s">
        <v>2271</v>
      </c>
      <c r="U254" s="5" t="s">
        <v>2271</v>
      </c>
      <c r="V254" s="5" t="s">
        <v>24</v>
      </c>
      <c r="W254" s="5" t="s">
        <v>24</v>
      </c>
      <c r="X254" s="5" t="s">
        <v>24</v>
      </c>
      <c r="Y254" s="5" t="s">
        <v>6036</v>
      </c>
      <c r="Z254" s="5" t="s">
        <v>6037</v>
      </c>
      <c r="AA254" s="5" t="s">
        <v>6037</v>
      </c>
      <c r="AB254" s="5"/>
    </row>
    <row r="255" ht="15.75" customHeight="1">
      <c r="A255" s="5" t="s">
        <v>6038</v>
      </c>
      <c r="B255" s="5" t="s">
        <v>6039</v>
      </c>
      <c r="C255" s="5" t="s">
        <v>227</v>
      </c>
      <c r="D255" s="5" t="s">
        <v>24</v>
      </c>
      <c r="E255" s="5" t="s">
        <v>1849</v>
      </c>
      <c r="F255" s="5" t="s">
        <v>4963</v>
      </c>
      <c r="G255" s="5" t="s">
        <v>24</v>
      </c>
      <c r="H255" s="5" t="s">
        <v>24</v>
      </c>
      <c r="I255" s="5" t="s">
        <v>24</v>
      </c>
      <c r="J255" s="5" t="s">
        <v>24</v>
      </c>
      <c r="K255" s="5" t="s">
        <v>24</v>
      </c>
      <c r="L255" s="5" t="s">
        <v>24</v>
      </c>
      <c r="M255" s="5" t="s">
        <v>1885</v>
      </c>
      <c r="N255" s="5" t="s">
        <v>24</v>
      </c>
      <c r="O255" s="5" t="s">
        <v>24</v>
      </c>
      <c r="P255" s="5" t="s">
        <v>24</v>
      </c>
      <c r="Q255" s="5" t="s">
        <v>24</v>
      </c>
      <c r="R255" s="5" t="s">
        <v>24</v>
      </c>
      <c r="S255" s="5" t="s">
        <v>1852</v>
      </c>
      <c r="T255" s="5" t="s">
        <v>2047</v>
      </c>
      <c r="U255" s="5" t="s">
        <v>2047</v>
      </c>
      <c r="V255" s="5" t="s">
        <v>24</v>
      </c>
      <c r="W255" s="5" t="s">
        <v>24</v>
      </c>
      <c r="X255" s="5" t="s">
        <v>24</v>
      </c>
      <c r="Y255" s="5" t="s">
        <v>6040</v>
      </c>
      <c r="Z255" s="5" t="s">
        <v>6041</v>
      </c>
      <c r="AA255" s="5" t="s">
        <v>6041</v>
      </c>
      <c r="AB255" s="5"/>
    </row>
    <row r="256" ht="15.75" customHeight="1">
      <c r="A256" s="5" t="s">
        <v>6042</v>
      </c>
      <c r="B256" s="5" t="s">
        <v>6043</v>
      </c>
      <c r="C256" s="5" t="s">
        <v>139</v>
      </c>
      <c r="D256" s="5" t="s">
        <v>24</v>
      </c>
      <c r="E256" s="5" t="s">
        <v>1849</v>
      </c>
      <c r="F256" s="5" t="s">
        <v>4963</v>
      </c>
      <c r="G256" s="5" t="s">
        <v>24</v>
      </c>
      <c r="H256" s="5" t="s">
        <v>24</v>
      </c>
      <c r="I256" s="5" t="s">
        <v>24</v>
      </c>
      <c r="J256" s="5" t="s">
        <v>24</v>
      </c>
      <c r="K256" s="5" t="s">
        <v>24</v>
      </c>
      <c r="L256" s="5" t="s">
        <v>24</v>
      </c>
      <c r="M256" s="5" t="s">
        <v>24</v>
      </c>
      <c r="N256" s="5" t="s">
        <v>24</v>
      </c>
      <c r="O256" s="5" t="s">
        <v>4258</v>
      </c>
      <c r="P256" s="5" t="s">
        <v>24</v>
      </c>
      <c r="Q256" s="5" t="s">
        <v>24</v>
      </c>
      <c r="R256" s="5" t="s">
        <v>24</v>
      </c>
      <c r="S256" s="5" t="s">
        <v>1852</v>
      </c>
      <c r="T256" s="5" t="s">
        <v>2627</v>
      </c>
      <c r="U256" s="5" t="s">
        <v>2627</v>
      </c>
      <c r="V256" s="5" t="s">
        <v>24</v>
      </c>
      <c r="W256" s="5" t="s">
        <v>24</v>
      </c>
      <c r="X256" s="5" t="s">
        <v>24</v>
      </c>
      <c r="Y256" s="5" t="s">
        <v>6044</v>
      </c>
      <c r="Z256" s="5" t="s">
        <v>6045</v>
      </c>
      <c r="AA256" s="5" t="s">
        <v>6045</v>
      </c>
      <c r="AB256" s="5"/>
    </row>
    <row r="257" ht="15.75" customHeight="1">
      <c r="A257" s="5" t="s">
        <v>6046</v>
      </c>
      <c r="B257" s="5" t="s">
        <v>823</v>
      </c>
      <c r="C257" s="5" t="s">
        <v>336</v>
      </c>
      <c r="D257" s="5" t="s">
        <v>24</v>
      </c>
      <c r="E257" s="5" t="s">
        <v>1849</v>
      </c>
      <c r="F257" s="5" t="s">
        <v>4963</v>
      </c>
      <c r="G257" s="5" t="s">
        <v>24</v>
      </c>
      <c r="H257" s="5" t="s">
        <v>24</v>
      </c>
      <c r="I257" s="5" t="s">
        <v>24</v>
      </c>
      <c r="J257" s="5" t="s">
        <v>24</v>
      </c>
      <c r="K257" s="5" t="s">
        <v>24</v>
      </c>
      <c r="L257" s="5" t="s">
        <v>24</v>
      </c>
      <c r="M257" s="5" t="s">
        <v>1885</v>
      </c>
      <c r="N257" s="5" t="s">
        <v>24</v>
      </c>
      <c r="O257" s="5" t="s">
        <v>1949</v>
      </c>
      <c r="P257" s="5" t="s">
        <v>24</v>
      </c>
      <c r="Q257" s="5" t="s">
        <v>24</v>
      </c>
      <c r="R257" s="5" t="s">
        <v>24</v>
      </c>
      <c r="S257" s="5" t="s">
        <v>1852</v>
      </c>
      <c r="T257" s="5" t="s">
        <v>3089</v>
      </c>
      <c r="U257" s="5" t="s">
        <v>3089</v>
      </c>
      <c r="V257" s="5" t="s">
        <v>24</v>
      </c>
      <c r="W257" s="5" t="s">
        <v>24</v>
      </c>
      <c r="X257" s="5" t="s">
        <v>24</v>
      </c>
      <c r="Y257" s="5" t="s">
        <v>6047</v>
      </c>
      <c r="Z257" s="5" t="s">
        <v>6048</v>
      </c>
      <c r="AA257" s="5" t="s">
        <v>6048</v>
      </c>
      <c r="AB257" s="5"/>
    </row>
    <row r="258" ht="15.75" customHeight="1">
      <c r="A258" s="5" t="s">
        <v>6049</v>
      </c>
      <c r="B258" s="5" t="s">
        <v>6050</v>
      </c>
      <c r="C258" s="5" t="s">
        <v>294</v>
      </c>
      <c r="D258" s="5" t="s">
        <v>24</v>
      </c>
      <c r="E258" s="5" t="s">
        <v>1849</v>
      </c>
      <c r="F258" s="5" t="s">
        <v>4963</v>
      </c>
      <c r="G258" s="5" t="s">
        <v>24</v>
      </c>
      <c r="H258" s="5" t="s">
        <v>24</v>
      </c>
      <c r="I258" s="5" t="s">
        <v>24</v>
      </c>
      <c r="J258" s="5" t="s">
        <v>24</v>
      </c>
      <c r="K258" s="5" t="s">
        <v>24</v>
      </c>
      <c r="L258" s="5" t="s">
        <v>24</v>
      </c>
      <c r="M258" s="5" t="s">
        <v>1885</v>
      </c>
      <c r="N258" s="5" t="s">
        <v>24</v>
      </c>
      <c r="O258" s="5" t="s">
        <v>24</v>
      </c>
      <c r="P258" s="5" t="s">
        <v>24</v>
      </c>
      <c r="Q258" s="5" t="s">
        <v>24</v>
      </c>
      <c r="R258" s="5" t="s">
        <v>24</v>
      </c>
      <c r="S258" s="5" t="s">
        <v>1852</v>
      </c>
      <c r="T258" s="5" t="s">
        <v>4749</v>
      </c>
      <c r="U258" s="5" t="s">
        <v>4749</v>
      </c>
      <c r="V258" s="5" t="s">
        <v>24</v>
      </c>
      <c r="W258" s="5" t="s">
        <v>24</v>
      </c>
      <c r="X258" s="5" t="s">
        <v>24</v>
      </c>
      <c r="Y258" s="5" t="s">
        <v>6051</v>
      </c>
      <c r="Z258" s="5" t="s">
        <v>6052</v>
      </c>
      <c r="AA258" s="5" t="s">
        <v>6052</v>
      </c>
      <c r="AB258" s="5"/>
    </row>
    <row r="259" ht="15.75" customHeight="1">
      <c r="A259" s="5" t="s">
        <v>6053</v>
      </c>
      <c r="B259" s="5" t="s">
        <v>969</v>
      </c>
      <c r="C259" s="5" t="s">
        <v>503</v>
      </c>
      <c r="D259" s="5" t="s">
        <v>24</v>
      </c>
      <c r="E259" s="5" t="s">
        <v>1849</v>
      </c>
      <c r="F259" s="5" t="s">
        <v>4963</v>
      </c>
      <c r="G259" s="5" t="s">
        <v>24</v>
      </c>
      <c r="H259" s="5" t="s">
        <v>24</v>
      </c>
      <c r="I259" s="5" t="s">
        <v>24</v>
      </c>
      <c r="J259" s="5" t="s">
        <v>24</v>
      </c>
      <c r="K259" s="5" t="s">
        <v>24</v>
      </c>
      <c r="L259" s="5" t="s">
        <v>24</v>
      </c>
      <c r="M259" s="5" t="s">
        <v>24</v>
      </c>
      <c r="N259" s="5" t="s">
        <v>24</v>
      </c>
      <c r="O259" s="5" t="s">
        <v>3136</v>
      </c>
      <c r="P259" s="5" t="s">
        <v>24</v>
      </c>
      <c r="Q259" s="5" t="s">
        <v>24</v>
      </c>
      <c r="R259" s="5" t="s">
        <v>24</v>
      </c>
      <c r="S259" s="5" t="s">
        <v>1852</v>
      </c>
      <c r="T259" s="5" t="s">
        <v>3773</v>
      </c>
      <c r="U259" s="5" t="s">
        <v>3773</v>
      </c>
      <c r="V259" s="5" t="s">
        <v>24</v>
      </c>
      <c r="W259" s="5" t="s">
        <v>24</v>
      </c>
      <c r="X259" s="5" t="s">
        <v>24</v>
      </c>
      <c r="Y259" s="5" t="s">
        <v>6054</v>
      </c>
      <c r="Z259" s="5" t="s">
        <v>6055</v>
      </c>
      <c r="AA259" s="5" t="s">
        <v>6055</v>
      </c>
      <c r="AB259" s="5"/>
    </row>
    <row r="260" ht="15.75" customHeight="1">
      <c r="A260" s="5" t="s">
        <v>6056</v>
      </c>
      <c r="B260" s="5" t="s">
        <v>6057</v>
      </c>
      <c r="C260" s="5" t="s">
        <v>5013</v>
      </c>
      <c r="D260" s="5" t="s">
        <v>24</v>
      </c>
      <c r="E260" s="5" t="s">
        <v>1849</v>
      </c>
      <c r="F260" s="5" t="s">
        <v>4963</v>
      </c>
      <c r="G260" s="5" t="s">
        <v>24</v>
      </c>
      <c r="H260" s="5" t="s">
        <v>24</v>
      </c>
      <c r="I260" s="5" t="s">
        <v>24</v>
      </c>
      <c r="J260" s="5" t="s">
        <v>24</v>
      </c>
      <c r="K260" s="5" t="s">
        <v>24</v>
      </c>
      <c r="L260" s="5" t="s">
        <v>24</v>
      </c>
      <c r="M260" s="5" t="s">
        <v>24</v>
      </c>
      <c r="N260" s="5" t="s">
        <v>24</v>
      </c>
      <c r="O260" s="5" t="s">
        <v>1851</v>
      </c>
      <c r="P260" s="5" t="s">
        <v>24</v>
      </c>
      <c r="Q260" s="5" t="s">
        <v>24</v>
      </c>
      <c r="R260" s="5" t="s">
        <v>24</v>
      </c>
      <c r="S260" s="5" t="s">
        <v>1852</v>
      </c>
      <c r="T260" s="5" t="s">
        <v>6058</v>
      </c>
      <c r="U260" s="5" t="s">
        <v>6058</v>
      </c>
      <c r="V260" s="5" t="s">
        <v>24</v>
      </c>
      <c r="W260" s="5" t="s">
        <v>24</v>
      </c>
      <c r="X260" s="5" t="s">
        <v>24</v>
      </c>
      <c r="Y260" s="5" t="s">
        <v>6059</v>
      </c>
      <c r="Z260" s="5" t="s">
        <v>6060</v>
      </c>
      <c r="AA260" s="5" t="s">
        <v>6060</v>
      </c>
      <c r="AB260" s="5"/>
    </row>
    <row r="261" ht="15.75" customHeight="1">
      <c r="A261" s="5" t="s">
        <v>6061</v>
      </c>
      <c r="B261" s="5" t="s">
        <v>6062</v>
      </c>
      <c r="C261" s="5" t="s">
        <v>227</v>
      </c>
      <c r="D261" s="5" t="s">
        <v>24</v>
      </c>
      <c r="E261" s="5" t="s">
        <v>1849</v>
      </c>
      <c r="F261" s="5" t="s">
        <v>4963</v>
      </c>
      <c r="G261" s="5" t="s">
        <v>24</v>
      </c>
      <c r="H261" s="5" t="s">
        <v>24</v>
      </c>
      <c r="I261" s="5" t="s">
        <v>24</v>
      </c>
      <c r="J261" s="5" t="s">
        <v>24</v>
      </c>
      <c r="K261" s="5" t="s">
        <v>24</v>
      </c>
      <c r="L261" s="5" t="s">
        <v>24</v>
      </c>
      <c r="M261" s="5" t="s">
        <v>5607</v>
      </c>
      <c r="N261" s="5" t="s">
        <v>24</v>
      </c>
      <c r="O261" s="5" t="s">
        <v>24</v>
      </c>
      <c r="P261" s="5" t="s">
        <v>24</v>
      </c>
      <c r="Q261" s="5" t="s">
        <v>24</v>
      </c>
      <c r="R261" s="5" t="s">
        <v>24</v>
      </c>
      <c r="S261" s="5" t="s">
        <v>1852</v>
      </c>
      <c r="T261" s="5" t="s">
        <v>5384</v>
      </c>
      <c r="U261" s="5" t="s">
        <v>5384</v>
      </c>
      <c r="V261" s="5" t="s">
        <v>24</v>
      </c>
      <c r="W261" s="5" t="s">
        <v>24</v>
      </c>
      <c r="X261" s="5" t="s">
        <v>24</v>
      </c>
      <c r="Y261" s="5" t="s">
        <v>6063</v>
      </c>
      <c r="Z261" s="5" t="s">
        <v>6064</v>
      </c>
      <c r="AA261" s="5" t="s">
        <v>6064</v>
      </c>
      <c r="AB261" s="5"/>
    </row>
    <row r="262" ht="15.75" customHeight="1">
      <c r="A262" s="5" t="s">
        <v>6065</v>
      </c>
      <c r="B262" s="5" t="s">
        <v>6066</v>
      </c>
      <c r="C262" s="5" t="s">
        <v>5013</v>
      </c>
      <c r="D262" s="5" t="s">
        <v>24</v>
      </c>
      <c r="E262" s="5" t="s">
        <v>1849</v>
      </c>
      <c r="F262" s="5" t="s">
        <v>4963</v>
      </c>
      <c r="G262" s="5" t="s">
        <v>24</v>
      </c>
      <c r="H262" s="5" t="s">
        <v>24</v>
      </c>
      <c r="I262" s="5" t="s">
        <v>24</v>
      </c>
      <c r="J262" s="5" t="s">
        <v>24</v>
      </c>
      <c r="K262" s="5" t="s">
        <v>24</v>
      </c>
      <c r="L262" s="5" t="s">
        <v>24</v>
      </c>
      <c r="M262" s="5" t="s">
        <v>1885</v>
      </c>
      <c r="N262" s="5" t="s">
        <v>24</v>
      </c>
      <c r="O262" s="5" t="s">
        <v>24</v>
      </c>
      <c r="P262" s="5" t="s">
        <v>24</v>
      </c>
      <c r="Q262" s="5" t="s">
        <v>24</v>
      </c>
      <c r="R262" s="5" t="s">
        <v>24</v>
      </c>
      <c r="S262" s="5" t="s">
        <v>1852</v>
      </c>
      <c r="T262" s="5" t="s">
        <v>5820</v>
      </c>
      <c r="U262" s="5" t="s">
        <v>5820</v>
      </c>
      <c r="V262" s="5" t="s">
        <v>24</v>
      </c>
      <c r="W262" s="5" t="s">
        <v>24</v>
      </c>
      <c r="X262" s="5" t="s">
        <v>24</v>
      </c>
      <c r="Y262" s="5" t="s">
        <v>6067</v>
      </c>
      <c r="Z262" s="5" t="s">
        <v>6068</v>
      </c>
      <c r="AA262" s="5" t="s">
        <v>6068</v>
      </c>
      <c r="AB262" s="5"/>
    </row>
    <row r="263" ht="15.75" customHeight="1">
      <c r="A263" s="5" t="s">
        <v>6069</v>
      </c>
      <c r="B263" s="5" t="s">
        <v>6070</v>
      </c>
      <c r="C263" s="5" t="s">
        <v>227</v>
      </c>
      <c r="D263" s="5" t="s">
        <v>24</v>
      </c>
      <c r="E263" s="5" t="s">
        <v>1849</v>
      </c>
      <c r="F263" s="5" t="s">
        <v>4963</v>
      </c>
      <c r="G263" s="5" t="s">
        <v>24</v>
      </c>
      <c r="H263" s="5" t="s">
        <v>24</v>
      </c>
      <c r="I263" s="5" t="s">
        <v>24</v>
      </c>
      <c r="J263" s="5" t="s">
        <v>24</v>
      </c>
      <c r="K263" s="5" t="s">
        <v>24</v>
      </c>
      <c r="L263" s="5" t="s">
        <v>24</v>
      </c>
      <c r="M263" s="5" t="s">
        <v>5607</v>
      </c>
      <c r="N263" s="5" t="s">
        <v>24</v>
      </c>
      <c r="O263" s="5" t="s">
        <v>24</v>
      </c>
      <c r="P263" s="5" t="s">
        <v>24</v>
      </c>
      <c r="Q263" s="5" t="s">
        <v>24</v>
      </c>
      <c r="R263" s="5" t="s">
        <v>24</v>
      </c>
      <c r="S263" s="5" t="s">
        <v>1852</v>
      </c>
      <c r="T263" s="5" t="s">
        <v>5384</v>
      </c>
      <c r="U263" s="5" t="s">
        <v>5384</v>
      </c>
      <c r="V263" s="5" t="s">
        <v>24</v>
      </c>
      <c r="W263" s="5" t="s">
        <v>24</v>
      </c>
      <c r="X263" s="5" t="s">
        <v>24</v>
      </c>
      <c r="Y263" s="5" t="s">
        <v>6071</v>
      </c>
      <c r="Z263" s="5" t="s">
        <v>6072</v>
      </c>
      <c r="AA263" s="5" t="s">
        <v>6072</v>
      </c>
      <c r="AB263" s="5"/>
    </row>
    <row r="264" ht="15.75" customHeight="1">
      <c r="A264" s="5" t="s">
        <v>6073</v>
      </c>
      <c r="B264" s="5" t="s">
        <v>6074</v>
      </c>
      <c r="C264" s="5" t="s">
        <v>5415</v>
      </c>
      <c r="D264" s="5" t="s">
        <v>24</v>
      </c>
      <c r="E264" s="5" t="s">
        <v>1849</v>
      </c>
      <c r="F264" s="5" t="s">
        <v>4963</v>
      </c>
      <c r="G264" s="5" t="s">
        <v>24</v>
      </c>
      <c r="H264" s="5" t="s">
        <v>24</v>
      </c>
      <c r="I264" s="5" t="s">
        <v>24</v>
      </c>
      <c r="J264" s="5" t="s">
        <v>24</v>
      </c>
      <c r="K264" s="5" t="s">
        <v>24</v>
      </c>
      <c r="L264" s="5" t="s">
        <v>24</v>
      </c>
      <c r="M264" s="5" t="s">
        <v>1885</v>
      </c>
      <c r="N264" s="5" t="s">
        <v>24</v>
      </c>
      <c r="O264" s="5" t="s">
        <v>3745</v>
      </c>
      <c r="P264" s="5" t="s">
        <v>24</v>
      </c>
      <c r="Q264" s="5" t="s">
        <v>24</v>
      </c>
      <c r="R264" s="5" t="s">
        <v>24</v>
      </c>
      <c r="S264" s="5" t="s">
        <v>1852</v>
      </c>
      <c r="T264" s="5" t="s">
        <v>2363</v>
      </c>
      <c r="U264" s="5" t="s">
        <v>2363</v>
      </c>
      <c r="V264" s="5" t="s">
        <v>24</v>
      </c>
      <c r="W264" s="5" t="s">
        <v>24</v>
      </c>
      <c r="X264" s="5" t="s">
        <v>24</v>
      </c>
      <c r="Y264" s="5" t="s">
        <v>6075</v>
      </c>
      <c r="Z264" s="5" t="s">
        <v>6076</v>
      </c>
      <c r="AA264" s="5" t="s">
        <v>6076</v>
      </c>
      <c r="AB264" s="5"/>
    </row>
    <row r="265" ht="15.75" customHeight="1">
      <c r="A265" s="5" t="s">
        <v>6077</v>
      </c>
      <c r="B265" s="5" t="s">
        <v>6078</v>
      </c>
      <c r="C265" s="5" t="s">
        <v>227</v>
      </c>
      <c r="D265" s="5" t="s">
        <v>24</v>
      </c>
      <c r="E265" s="5" t="s">
        <v>1849</v>
      </c>
      <c r="F265" s="5" t="s">
        <v>4963</v>
      </c>
      <c r="G265" s="5" t="s">
        <v>24</v>
      </c>
      <c r="H265" s="5" t="s">
        <v>24</v>
      </c>
      <c r="I265" s="5" t="s">
        <v>24</v>
      </c>
      <c r="J265" s="5" t="s">
        <v>24</v>
      </c>
      <c r="K265" s="5" t="s">
        <v>24</v>
      </c>
      <c r="L265" s="5" t="s">
        <v>24</v>
      </c>
      <c r="M265" s="5" t="s">
        <v>4223</v>
      </c>
      <c r="N265" s="5" t="s">
        <v>24</v>
      </c>
      <c r="O265" s="5" t="s">
        <v>24</v>
      </c>
      <c r="P265" s="5" t="s">
        <v>24</v>
      </c>
      <c r="Q265" s="5" t="s">
        <v>24</v>
      </c>
      <c r="R265" s="5" t="s">
        <v>24</v>
      </c>
      <c r="S265" s="5" t="s">
        <v>1852</v>
      </c>
      <c r="T265" s="5" t="s">
        <v>5384</v>
      </c>
      <c r="U265" s="5" t="s">
        <v>5384</v>
      </c>
      <c r="V265" s="5" t="s">
        <v>24</v>
      </c>
      <c r="W265" s="5" t="s">
        <v>24</v>
      </c>
      <c r="X265" s="5" t="s">
        <v>24</v>
      </c>
      <c r="Y265" s="5" t="s">
        <v>6079</v>
      </c>
      <c r="Z265" s="5" t="s">
        <v>6080</v>
      </c>
      <c r="AA265" s="5" t="s">
        <v>6080</v>
      </c>
      <c r="AB265" s="5"/>
    </row>
    <row r="266" ht="15.75" customHeight="1">
      <c r="A266" s="5" t="s">
        <v>6081</v>
      </c>
      <c r="B266" s="5" t="s">
        <v>6082</v>
      </c>
      <c r="C266" s="5" t="s">
        <v>503</v>
      </c>
      <c r="D266" s="5" t="s">
        <v>24</v>
      </c>
      <c r="E266" s="5" t="s">
        <v>1849</v>
      </c>
      <c r="F266" s="5" t="s">
        <v>4963</v>
      </c>
      <c r="G266" s="5" t="s">
        <v>24</v>
      </c>
      <c r="H266" s="5" t="s">
        <v>24</v>
      </c>
      <c r="I266" s="5" t="s">
        <v>24</v>
      </c>
      <c r="J266" s="5" t="s">
        <v>24</v>
      </c>
      <c r="K266" s="5" t="s">
        <v>24</v>
      </c>
      <c r="L266" s="5" t="s">
        <v>24</v>
      </c>
      <c r="M266" s="5" t="s">
        <v>24</v>
      </c>
      <c r="N266" s="5" t="s">
        <v>24</v>
      </c>
      <c r="O266" s="5" t="s">
        <v>1894</v>
      </c>
      <c r="P266" s="5" t="s">
        <v>24</v>
      </c>
      <c r="Q266" s="5" t="s">
        <v>24</v>
      </c>
      <c r="R266" s="5" t="s">
        <v>24</v>
      </c>
      <c r="S266" s="5" t="s">
        <v>1852</v>
      </c>
      <c r="T266" s="5" t="s">
        <v>2502</v>
      </c>
      <c r="U266" s="5" t="s">
        <v>2502</v>
      </c>
      <c r="V266" s="5" t="s">
        <v>24</v>
      </c>
      <c r="W266" s="5" t="s">
        <v>24</v>
      </c>
      <c r="X266" s="5" t="s">
        <v>24</v>
      </c>
      <c r="Y266" s="5" t="s">
        <v>6083</v>
      </c>
      <c r="Z266" s="5" t="s">
        <v>6084</v>
      </c>
      <c r="AA266" s="5" t="s">
        <v>6084</v>
      </c>
      <c r="AB266" s="5"/>
    </row>
    <row r="267" ht="15.75" customHeight="1">
      <c r="A267" s="5" t="s">
        <v>6085</v>
      </c>
      <c r="B267" s="5" t="s">
        <v>6086</v>
      </c>
      <c r="C267" s="5" t="s">
        <v>5095</v>
      </c>
      <c r="D267" s="5" t="s">
        <v>24</v>
      </c>
      <c r="E267" s="5" t="s">
        <v>1849</v>
      </c>
      <c r="F267" s="5" t="s">
        <v>4963</v>
      </c>
      <c r="G267" s="5" t="s">
        <v>24</v>
      </c>
      <c r="H267" s="5" t="s">
        <v>24</v>
      </c>
      <c r="I267" s="5" t="s">
        <v>24</v>
      </c>
      <c r="J267" s="5" t="s">
        <v>24</v>
      </c>
      <c r="K267" s="5" t="s">
        <v>24</v>
      </c>
      <c r="L267" s="5" t="s">
        <v>24</v>
      </c>
      <c r="M267" s="5" t="s">
        <v>24</v>
      </c>
      <c r="N267" s="5" t="s">
        <v>24</v>
      </c>
      <c r="O267" s="5" t="s">
        <v>1963</v>
      </c>
      <c r="P267" s="5" t="s">
        <v>24</v>
      </c>
      <c r="Q267" s="5" t="s">
        <v>24</v>
      </c>
      <c r="R267" s="5" t="s">
        <v>24</v>
      </c>
      <c r="S267" s="5" t="s">
        <v>1852</v>
      </c>
      <c r="T267" s="5" t="s">
        <v>6087</v>
      </c>
      <c r="U267" s="5" t="s">
        <v>6087</v>
      </c>
      <c r="V267" s="5" t="s">
        <v>24</v>
      </c>
      <c r="W267" s="5" t="s">
        <v>24</v>
      </c>
      <c r="X267" s="5" t="s">
        <v>24</v>
      </c>
      <c r="Y267" s="5" t="s">
        <v>6088</v>
      </c>
      <c r="Z267" s="5" t="s">
        <v>6089</v>
      </c>
      <c r="AA267" s="5" t="s">
        <v>6089</v>
      </c>
      <c r="AB267" s="5"/>
    </row>
    <row r="268" ht="15.75" customHeight="1">
      <c r="A268" s="5" t="s">
        <v>6090</v>
      </c>
      <c r="B268" s="5" t="s">
        <v>6091</v>
      </c>
      <c r="C268" s="5" t="s">
        <v>227</v>
      </c>
      <c r="D268" s="5" t="s">
        <v>24</v>
      </c>
      <c r="E268" s="5" t="s">
        <v>1849</v>
      </c>
      <c r="F268" s="5" t="s">
        <v>4963</v>
      </c>
      <c r="G268" s="5" t="s">
        <v>24</v>
      </c>
      <c r="H268" s="5" t="s">
        <v>24</v>
      </c>
      <c r="I268" s="5" t="s">
        <v>24</v>
      </c>
      <c r="J268" s="5" t="s">
        <v>24</v>
      </c>
      <c r="K268" s="5" t="s">
        <v>24</v>
      </c>
      <c r="L268" s="5" t="s">
        <v>24</v>
      </c>
      <c r="M268" s="5" t="s">
        <v>1885</v>
      </c>
      <c r="N268" s="5" t="s">
        <v>24</v>
      </c>
      <c r="O268" s="5" t="s">
        <v>24</v>
      </c>
      <c r="P268" s="5" t="s">
        <v>24</v>
      </c>
      <c r="Q268" s="5" t="s">
        <v>24</v>
      </c>
      <c r="R268" s="5" t="s">
        <v>24</v>
      </c>
      <c r="S268" s="5" t="s">
        <v>1852</v>
      </c>
      <c r="T268" s="5" t="s">
        <v>5608</v>
      </c>
      <c r="U268" s="5" t="s">
        <v>5608</v>
      </c>
      <c r="V268" s="5" t="s">
        <v>24</v>
      </c>
      <c r="W268" s="5" t="s">
        <v>24</v>
      </c>
      <c r="X268" s="5" t="s">
        <v>24</v>
      </c>
      <c r="Y268" s="5" t="s">
        <v>6092</v>
      </c>
      <c r="Z268" s="5" t="s">
        <v>6093</v>
      </c>
      <c r="AA268" s="5" t="s">
        <v>6093</v>
      </c>
      <c r="AB268" s="5"/>
    </row>
    <row r="269" ht="15.75" customHeight="1">
      <c r="A269" s="5" t="s">
        <v>6094</v>
      </c>
      <c r="B269" s="5" t="s">
        <v>6095</v>
      </c>
      <c r="C269" s="5" t="s">
        <v>2126</v>
      </c>
      <c r="D269" s="5" t="s">
        <v>24</v>
      </c>
      <c r="E269" s="5" t="s">
        <v>1849</v>
      </c>
      <c r="F269" s="5" t="s">
        <v>4963</v>
      </c>
      <c r="G269" s="5" t="s">
        <v>24</v>
      </c>
      <c r="H269" s="5" t="s">
        <v>24</v>
      </c>
      <c r="I269" s="5" t="s">
        <v>24</v>
      </c>
      <c r="J269" s="5" t="s">
        <v>24</v>
      </c>
      <c r="K269" s="5" t="s">
        <v>24</v>
      </c>
      <c r="L269" s="5" t="s">
        <v>24</v>
      </c>
      <c r="M269" s="5" t="s">
        <v>1885</v>
      </c>
      <c r="N269" s="5" t="s">
        <v>24</v>
      </c>
      <c r="O269" s="5" t="s">
        <v>24</v>
      </c>
      <c r="P269" s="5" t="s">
        <v>24</v>
      </c>
      <c r="Q269" s="5" t="s">
        <v>24</v>
      </c>
      <c r="R269" s="5" t="s">
        <v>24</v>
      </c>
      <c r="S269" s="5" t="s">
        <v>1852</v>
      </c>
      <c r="T269" s="5" t="s">
        <v>5125</v>
      </c>
      <c r="U269" s="5" t="s">
        <v>5125</v>
      </c>
      <c r="V269" s="5" t="s">
        <v>24</v>
      </c>
      <c r="W269" s="5" t="s">
        <v>24</v>
      </c>
      <c r="X269" s="5" t="s">
        <v>24</v>
      </c>
      <c r="Y269" s="5" t="s">
        <v>6096</v>
      </c>
      <c r="Z269" s="5" t="s">
        <v>6097</v>
      </c>
      <c r="AA269" s="5" t="s">
        <v>6097</v>
      </c>
      <c r="AB269" s="5"/>
    </row>
    <row r="270" ht="15.75" customHeight="1">
      <c r="A270" s="5" t="s">
        <v>6098</v>
      </c>
      <c r="B270" s="5" t="s">
        <v>6099</v>
      </c>
      <c r="C270" s="5" t="s">
        <v>227</v>
      </c>
      <c r="D270" s="5" t="s">
        <v>24</v>
      </c>
      <c r="E270" s="5" t="s">
        <v>1849</v>
      </c>
      <c r="F270" s="5" t="s">
        <v>4963</v>
      </c>
      <c r="G270" s="5" t="s">
        <v>24</v>
      </c>
      <c r="H270" s="5" t="s">
        <v>24</v>
      </c>
      <c r="I270" s="5" t="s">
        <v>24</v>
      </c>
      <c r="J270" s="5" t="s">
        <v>24</v>
      </c>
      <c r="K270" s="5" t="s">
        <v>24</v>
      </c>
      <c r="L270" s="5" t="s">
        <v>24</v>
      </c>
      <c r="M270" s="5" t="s">
        <v>5607</v>
      </c>
      <c r="N270" s="5" t="s">
        <v>24</v>
      </c>
      <c r="O270" s="5" t="s">
        <v>24</v>
      </c>
      <c r="P270" s="5" t="s">
        <v>24</v>
      </c>
      <c r="Q270" s="5" t="s">
        <v>24</v>
      </c>
      <c r="R270" s="5" t="s">
        <v>24</v>
      </c>
      <c r="S270" s="5" t="s">
        <v>1852</v>
      </c>
      <c r="T270" s="5" t="s">
        <v>5384</v>
      </c>
      <c r="U270" s="5" t="s">
        <v>5384</v>
      </c>
      <c r="V270" s="5" t="s">
        <v>24</v>
      </c>
      <c r="W270" s="5" t="s">
        <v>24</v>
      </c>
      <c r="X270" s="5" t="s">
        <v>24</v>
      </c>
      <c r="Y270" s="5" t="s">
        <v>6100</v>
      </c>
      <c r="Z270" s="5" t="s">
        <v>6101</v>
      </c>
      <c r="AA270" s="5" t="s">
        <v>6101</v>
      </c>
      <c r="AB270" s="5"/>
    </row>
    <row r="271" ht="15.75" customHeight="1">
      <c r="A271" s="5" t="s">
        <v>6102</v>
      </c>
      <c r="B271" s="5" t="s">
        <v>6103</v>
      </c>
      <c r="C271" s="5" t="s">
        <v>5013</v>
      </c>
      <c r="D271" s="5" t="s">
        <v>24</v>
      </c>
      <c r="E271" s="5" t="s">
        <v>1849</v>
      </c>
      <c r="F271" s="5" t="s">
        <v>4963</v>
      </c>
      <c r="G271" s="5" t="s">
        <v>24</v>
      </c>
      <c r="H271" s="5" t="s">
        <v>24</v>
      </c>
      <c r="I271" s="5" t="s">
        <v>24</v>
      </c>
      <c r="J271" s="5" t="s">
        <v>24</v>
      </c>
      <c r="K271" s="5" t="s">
        <v>24</v>
      </c>
      <c r="L271" s="5" t="s">
        <v>24</v>
      </c>
      <c r="M271" s="5" t="s">
        <v>1885</v>
      </c>
      <c r="N271" s="5" t="s">
        <v>24</v>
      </c>
      <c r="O271" s="5" t="s">
        <v>24</v>
      </c>
      <c r="P271" s="5" t="s">
        <v>24</v>
      </c>
      <c r="Q271" s="5" t="s">
        <v>24</v>
      </c>
      <c r="R271" s="5" t="s">
        <v>24</v>
      </c>
      <c r="S271" s="5" t="s">
        <v>1852</v>
      </c>
      <c r="T271" s="5" t="s">
        <v>2047</v>
      </c>
      <c r="U271" s="5" t="s">
        <v>2047</v>
      </c>
      <c r="V271" s="5" t="s">
        <v>24</v>
      </c>
      <c r="W271" s="5" t="s">
        <v>24</v>
      </c>
      <c r="X271" s="5" t="s">
        <v>24</v>
      </c>
      <c r="Y271" s="5" t="s">
        <v>6104</v>
      </c>
      <c r="Z271" s="5" t="s">
        <v>6105</v>
      </c>
      <c r="AA271" s="5" t="s">
        <v>6105</v>
      </c>
      <c r="AB271" s="5"/>
    </row>
    <row r="272" ht="15.75" customHeight="1">
      <c r="A272" s="5" t="s">
        <v>6106</v>
      </c>
      <c r="B272" s="5" t="s">
        <v>6107</v>
      </c>
      <c r="C272" s="5" t="s">
        <v>227</v>
      </c>
      <c r="D272" s="5" t="s">
        <v>24</v>
      </c>
      <c r="E272" s="5" t="s">
        <v>1849</v>
      </c>
      <c r="F272" s="5" t="s">
        <v>4963</v>
      </c>
      <c r="G272" s="5" t="s">
        <v>24</v>
      </c>
      <c r="H272" s="5" t="s">
        <v>24</v>
      </c>
      <c r="I272" s="5" t="s">
        <v>24</v>
      </c>
      <c r="J272" s="5" t="s">
        <v>24</v>
      </c>
      <c r="K272" s="5" t="s">
        <v>24</v>
      </c>
      <c r="L272" s="5" t="s">
        <v>24</v>
      </c>
      <c r="M272" s="5" t="s">
        <v>4223</v>
      </c>
      <c r="N272" s="5" t="s">
        <v>24</v>
      </c>
      <c r="O272" s="5" t="s">
        <v>24</v>
      </c>
      <c r="P272" s="5" t="s">
        <v>24</v>
      </c>
      <c r="Q272" s="5" t="s">
        <v>24</v>
      </c>
      <c r="R272" s="5" t="s">
        <v>24</v>
      </c>
      <c r="S272" s="5" t="s">
        <v>1852</v>
      </c>
      <c r="T272" s="5" t="s">
        <v>5384</v>
      </c>
      <c r="U272" s="5" t="s">
        <v>5384</v>
      </c>
      <c r="V272" s="5" t="s">
        <v>24</v>
      </c>
      <c r="W272" s="5" t="s">
        <v>24</v>
      </c>
      <c r="X272" s="5" t="s">
        <v>24</v>
      </c>
      <c r="Y272" s="5" t="s">
        <v>6108</v>
      </c>
      <c r="Z272" s="5" t="s">
        <v>6109</v>
      </c>
      <c r="AA272" s="5" t="s">
        <v>6109</v>
      </c>
      <c r="AB272" s="5"/>
    </row>
    <row r="273" ht="15.75" customHeight="1">
      <c r="A273" s="5" t="s">
        <v>6110</v>
      </c>
      <c r="B273" s="5" t="s">
        <v>6111</v>
      </c>
      <c r="C273" s="5" t="s">
        <v>2126</v>
      </c>
      <c r="D273" s="5" t="s">
        <v>24</v>
      </c>
      <c r="E273" s="5" t="s">
        <v>1849</v>
      </c>
      <c r="F273" s="5" t="s">
        <v>4963</v>
      </c>
      <c r="G273" s="5" t="s">
        <v>24</v>
      </c>
      <c r="H273" s="5" t="s">
        <v>24</v>
      </c>
      <c r="I273" s="5" t="s">
        <v>24</v>
      </c>
      <c r="J273" s="5" t="s">
        <v>24</v>
      </c>
      <c r="K273" s="5" t="s">
        <v>24</v>
      </c>
      <c r="L273" s="5" t="s">
        <v>24</v>
      </c>
      <c r="M273" s="5" t="s">
        <v>1885</v>
      </c>
      <c r="N273" s="5" t="s">
        <v>24</v>
      </c>
      <c r="O273" s="5" t="s">
        <v>2085</v>
      </c>
      <c r="P273" s="5" t="s">
        <v>24</v>
      </c>
      <c r="Q273" s="5" t="s">
        <v>24</v>
      </c>
      <c r="R273" s="5" t="s">
        <v>24</v>
      </c>
      <c r="S273" s="5" t="s">
        <v>1852</v>
      </c>
      <c r="T273" s="5" t="s">
        <v>5125</v>
      </c>
      <c r="U273" s="5" t="s">
        <v>5125</v>
      </c>
      <c r="V273" s="5" t="s">
        <v>24</v>
      </c>
      <c r="W273" s="5" t="s">
        <v>24</v>
      </c>
      <c r="X273" s="5" t="s">
        <v>24</v>
      </c>
      <c r="Y273" s="5" t="s">
        <v>6112</v>
      </c>
      <c r="Z273" s="5" t="s">
        <v>6113</v>
      </c>
      <c r="AA273" s="5" t="s">
        <v>6113</v>
      </c>
      <c r="AB273" s="5"/>
    </row>
    <row r="274" ht="15.75" customHeight="1">
      <c r="A274" s="5" t="s">
        <v>6114</v>
      </c>
      <c r="B274" s="5" t="s">
        <v>6115</v>
      </c>
      <c r="C274" s="5" t="s">
        <v>5013</v>
      </c>
      <c r="D274" s="5" t="s">
        <v>24</v>
      </c>
      <c r="E274" s="5" t="s">
        <v>1849</v>
      </c>
      <c r="F274" s="5" t="s">
        <v>4963</v>
      </c>
      <c r="G274" s="5" t="s">
        <v>24</v>
      </c>
      <c r="H274" s="5" t="s">
        <v>24</v>
      </c>
      <c r="I274" s="5" t="s">
        <v>24</v>
      </c>
      <c r="J274" s="5" t="s">
        <v>24</v>
      </c>
      <c r="K274" s="5" t="s">
        <v>24</v>
      </c>
      <c r="L274" s="5" t="s">
        <v>24</v>
      </c>
      <c r="M274" s="5" t="s">
        <v>1885</v>
      </c>
      <c r="N274" s="5" t="s">
        <v>24</v>
      </c>
      <c r="O274" s="5" t="s">
        <v>24</v>
      </c>
      <c r="P274" s="5" t="s">
        <v>24</v>
      </c>
      <c r="Q274" s="5" t="s">
        <v>24</v>
      </c>
      <c r="R274" s="5" t="s">
        <v>24</v>
      </c>
      <c r="S274" s="5" t="s">
        <v>1852</v>
      </c>
      <c r="T274" s="5" t="s">
        <v>2026</v>
      </c>
      <c r="U274" s="5" t="s">
        <v>2026</v>
      </c>
      <c r="V274" s="5" t="s">
        <v>24</v>
      </c>
      <c r="W274" s="5" t="s">
        <v>24</v>
      </c>
      <c r="X274" s="5" t="s">
        <v>24</v>
      </c>
      <c r="Y274" s="5" t="s">
        <v>6116</v>
      </c>
      <c r="Z274" s="5" t="s">
        <v>6117</v>
      </c>
      <c r="AA274" s="5" t="s">
        <v>6117</v>
      </c>
      <c r="AB274" s="5"/>
    </row>
    <row r="275" ht="15.75" customHeight="1">
      <c r="A275" s="5" t="s">
        <v>6118</v>
      </c>
      <c r="B275" s="5" t="s">
        <v>6119</v>
      </c>
      <c r="C275" s="5" t="s">
        <v>227</v>
      </c>
      <c r="D275" s="5" t="s">
        <v>24</v>
      </c>
      <c r="E275" s="5" t="s">
        <v>1849</v>
      </c>
      <c r="F275" s="5" t="s">
        <v>4963</v>
      </c>
      <c r="G275" s="5" t="s">
        <v>24</v>
      </c>
      <c r="H275" s="5" t="s">
        <v>24</v>
      </c>
      <c r="I275" s="5" t="s">
        <v>24</v>
      </c>
      <c r="J275" s="5" t="s">
        <v>24</v>
      </c>
      <c r="K275" s="5" t="s">
        <v>24</v>
      </c>
      <c r="L275" s="5" t="s">
        <v>24</v>
      </c>
      <c r="M275" s="5" t="s">
        <v>24</v>
      </c>
      <c r="N275" s="5" t="s">
        <v>24</v>
      </c>
      <c r="O275" s="5" t="s">
        <v>2626</v>
      </c>
      <c r="P275" s="5" t="s">
        <v>24</v>
      </c>
      <c r="Q275" s="5" t="s">
        <v>24</v>
      </c>
      <c r="R275" s="5" t="s">
        <v>24</v>
      </c>
      <c r="S275" s="5" t="s">
        <v>1852</v>
      </c>
      <c r="T275" s="5" t="s">
        <v>1918</v>
      </c>
      <c r="U275" s="5" t="s">
        <v>1918</v>
      </c>
      <c r="V275" s="5" t="s">
        <v>24</v>
      </c>
      <c r="W275" s="5" t="s">
        <v>24</v>
      </c>
      <c r="X275" s="5" t="s">
        <v>24</v>
      </c>
      <c r="Y275" s="5" t="s">
        <v>6120</v>
      </c>
      <c r="Z275" s="5" t="s">
        <v>6121</v>
      </c>
      <c r="AA275" s="5" t="s">
        <v>6121</v>
      </c>
      <c r="AB275" s="5"/>
    </row>
    <row r="276" ht="15.75" customHeight="1">
      <c r="A276" s="5" t="s">
        <v>6122</v>
      </c>
      <c r="B276" s="5" t="s">
        <v>6123</v>
      </c>
      <c r="C276" s="5" t="s">
        <v>227</v>
      </c>
      <c r="D276" s="5" t="s">
        <v>24</v>
      </c>
      <c r="E276" s="5" t="s">
        <v>1849</v>
      </c>
      <c r="F276" s="5" t="s">
        <v>4963</v>
      </c>
      <c r="G276" s="5" t="s">
        <v>24</v>
      </c>
      <c r="H276" s="5" t="s">
        <v>24</v>
      </c>
      <c r="I276" s="5" t="s">
        <v>24</v>
      </c>
      <c r="J276" s="5" t="s">
        <v>24</v>
      </c>
      <c r="K276" s="5" t="s">
        <v>24</v>
      </c>
      <c r="L276" s="5" t="s">
        <v>24</v>
      </c>
      <c r="M276" s="5" t="s">
        <v>24</v>
      </c>
      <c r="N276" s="5" t="s">
        <v>24</v>
      </c>
      <c r="O276" s="5" t="s">
        <v>1851</v>
      </c>
      <c r="P276" s="5" t="s">
        <v>24</v>
      </c>
      <c r="Q276" s="5" t="s">
        <v>24</v>
      </c>
      <c r="R276" s="5" t="s">
        <v>24</v>
      </c>
      <c r="S276" s="5" t="s">
        <v>1852</v>
      </c>
      <c r="T276" s="5" t="s">
        <v>6124</v>
      </c>
      <c r="U276" s="5" t="s">
        <v>6124</v>
      </c>
      <c r="V276" s="5" t="s">
        <v>24</v>
      </c>
      <c r="W276" s="5" t="s">
        <v>24</v>
      </c>
      <c r="X276" s="5" t="s">
        <v>24</v>
      </c>
      <c r="Y276" s="5" t="s">
        <v>6125</v>
      </c>
      <c r="Z276" s="5" t="s">
        <v>6126</v>
      </c>
      <c r="AA276" s="5" t="s">
        <v>6126</v>
      </c>
      <c r="AB276" s="5"/>
    </row>
    <row r="277" ht="15.75" customHeight="1">
      <c r="A277" s="5" t="s">
        <v>6127</v>
      </c>
      <c r="B277" s="5" t="s">
        <v>6128</v>
      </c>
      <c r="C277" s="5" t="s">
        <v>2126</v>
      </c>
      <c r="D277" s="5" t="s">
        <v>24</v>
      </c>
      <c r="E277" s="5" t="s">
        <v>1849</v>
      </c>
      <c r="F277" s="5" t="s">
        <v>4963</v>
      </c>
      <c r="G277" s="5" t="s">
        <v>24</v>
      </c>
      <c r="H277" s="5" t="s">
        <v>24</v>
      </c>
      <c r="I277" s="5" t="s">
        <v>24</v>
      </c>
      <c r="J277" s="5" t="s">
        <v>24</v>
      </c>
      <c r="K277" s="5" t="s">
        <v>24</v>
      </c>
      <c r="L277" s="5" t="s">
        <v>24</v>
      </c>
      <c r="M277" s="5" t="s">
        <v>24</v>
      </c>
      <c r="N277" s="5" t="s">
        <v>24</v>
      </c>
      <c r="O277" s="5" t="s">
        <v>3654</v>
      </c>
      <c r="P277" s="5" t="s">
        <v>24</v>
      </c>
      <c r="Q277" s="5" t="s">
        <v>24</v>
      </c>
      <c r="R277" s="5" t="s">
        <v>24</v>
      </c>
      <c r="S277" s="5" t="s">
        <v>1852</v>
      </c>
      <c r="T277" s="5" t="s">
        <v>5775</v>
      </c>
      <c r="U277" s="5" t="s">
        <v>5775</v>
      </c>
      <c r="V277" s="5" t="s">
        <v>24</v>
      </c>
      <c r="W277" s="5" t="s">
        <v>24</v>
      </c>
      <c r="X277" s="5" t="s">
        <v>24</v>
      </c>
      <c r="Y277" s="5" t="s">
        <v>6129</v>
      </c>
      <c r="Z277" s="5" t="s">
        <v>6130</v>
      </c>
      <c r="AA277" s="5" t="s">
        <v>6130</v>
      </c>
      <c r="AB277" s="5"/>
    </row>
    <row r="278" ht="15.75" customHeight="1">
      <c r="A278" s="5" t="s">
        <v>6131</v>
      </c>
      <c r="B278" s="5" t="s">
        <v>6132</v>
      </c>
      <c r="C278" s="5" t="s">
        <v>227</v>
      </c>
      <c r="D278" s="5" t="s">
        <v>24</v>
      </c>
      <c r="E278" s="5" t="s">
        <v>1849</v>
      </c>
      <c r="F278" s="5" t="s">
        <v>4963</v>
      </c>
      <c r="G278" s="5" t="s">
        <v>24</v>
      </c>
      <c r="H278" s="5" t="s">
        <v>24</v>
      </c>
      <c r="I278" s="5" t="s">
        <v>24</v>
      </c>
      <c r="J278" s="5" t="s">
        <v>24</v>
      </c>
      <c r="K278" s="5" t="s">
        <v>24</v>
      </c>
      <c r="L278" s="5" t="s">
        <v>24</v>
      </c>
      <c r="M278" s="5" t="s">
        <v>24</v>
      </c>
      <c r="N278" s="5" t="s">
        <v>24</v>
      </c>
      <c r="O278" s="5" t="s">
        <v>1851</v>
      </c>
      <c r="P278" s="5" t="s">
        <v>24</v>
      </c>
      <c r="Q278" s="5" t="s">
        <v>24</v>
      </c>
      <c r="R278" s="5" t="s">
        <v>24</v>
      </c>
      <c r="S278" s="5" t="s">
        <v>1852</v>
      </c>
      <c r="T278" s="5" t="s">
        <v>6124</v>
      </c>
      <c r="U278" s="5" t="s">
        <v>6124</v>
      </c>
      <c r="V278" s="5" t="s">
        <v>24</v>
      </c>
      <c r="W278" s="5" t="s">
        <v>24</v>
      </c>
      <c r="X278" s="5" t="s">
        <v>24</v>
      </c>
      <c r="Y278" s="5" t="s">
        <v>6133</v>
      </c>
      <c r="Z278" s="5" t="s">
        <v>6134</v>
      </c>
      <c r="AA278" s="5" t="s">
        <v>6134</v>
      </c>
      <c r="AB278" s="5"/>
    </row>
    <row r="279" ht="15.75" customHeight="1">
      <c r="A279" s="5" t="s">
        <v>6135</v>
      </c>
      <c r="B279" s="5" t="s">
        <v>6136</v>
      </c>
      <c r="C279" s="5" t="s">
        <v>5013</v>
      </c>
      <c r="D279" s="5" t="s">
        <v>24</v>
      </c>
      <c r="E279" s="5" t="s">
        <v>1849</v>
      </c>
      <c r="F279" s="5" t="s">
        <v>4963</v>
      </c>
      <c r="G279" s="5" t="s">
        <v>24</v>
      </c>
      <c r="H279" s="5" t="s">
        <v>24</v>
      </c>
      <c r="I279" s="5" t="s">
        <v>24</v>
      </c>
      <c r="J279" s="5" t="s">
        <v>24</v>
      </c>
      <c r="K279" s="5" t="s">
        <v>24</v>
      </c>
      <c r="L279" s="5" t="s">
        <v>24</v>
      </c>
      <c r="M279" s="5" t="s">
        <v>1885</v>
      </c>
      <c r="N279" s="5" t="s">
        <v>24</v>
      </c>
      <c r="O279" s="5" t="s">
        <v>24</v>
      </c>
      <c r="P279" s="5" t="s">
        <v>24</v>
      </c>
      <c r="Q279" s="5" t="s">
        <v>24</v>
      </c>
      <c r="R279" s="5" t="s">
        <v>24</v>
      </c>
      <c r="S279" s="5" t="s">
        <v>1852</v>
      </c>
      <c r="T279" s="5" t="s">
        <v>2271</v>
      </c>
      <c r="U279" s="5" t="s">
        <v>2271</v>
      </c>
      <c r="V279" s="5" t="s">
        <v>24</v>
      </c>
      <c r="W279" s="5" t="s">
        <v>24</v>
      </c>
      <c r="X279" s="5" t="s">
        <v>24</v>
      </c>
      <c r="Y279" s="5" t="s">
        <v>6137</v>
      </c>
      <c r="Z279" s="5" t="s">
        <v>6138</v>
      </c>
      <c r="AA279" s="5" t="s">
        <v>6138</v>
      </c>
      <c r="AB279" s="5"/>
    </row>
    <row r="280" ht="15.75" customHeight="1">
      <c r="A280" s="5" t="s">
        <v>6139</v>
      </c>
      <c r="B280" s="5" t="s">
        <v>6140</v>
      </c>
      <c r="C280" s="5" t="s">
        <v>294</v>
      </c>
      <c r="D280" s="5" t="s">
        <v>24</v>
      </c>
      <c r="E280" s="5" t="s">
        <v>1849</v>
      </c>
      <c r="F280" s="5" t="s">
        <v>4963</v>
      </c>
      <c r="G280" s="5" t="s">
        <v>24</v>
      </c>
      <c r="H280" s="5" t="s">
        <v>24</v>
      </c>
      <c r="I280" s="5" t="s">
        <v>24</v>
      </c>
      <c r="J280" s="5" t="s">
        <v>24</v>
      </c>
      <c r="K280" s="5" t="s">
        <v>24</v>
      </c>
      <c r="L280" s="5" t="s">
        <v>24</v>
      </c>
      <c r="M280" s="5" t="s">
        <v>1885</v>
      </c>
      <c r="N280" s="5" t="s">
        <v>24</v>
      </c>
      <c r="O280" s="5" t="s">
        <v>1917</v>
      </c>
      <c r="P280" s="5" t="s">
        <v>24</v>
      </c>
      <c r="Q280" s="5" t="s">
        <v>24</v>
      </c>
      <c r="R280" s="5" t="s">
        <v>24</v>
      </c>
      <c r="S280" s="5" t="s">
        <v>1852</v>
      </c>
      <c r="T280" s="5" t="s">
        <v>4749</v>
      </c>
      <c r="U280" s="5" t="s">
        <v>4749</v>
      </c>
      <c r="V280" s="5" t="s">
        <v>24</v>
      </c>
      <c r="W280" s="5" t="s">
        <v>24</v>
      </c>
      <c r="X280" s="5" t="s">
        <v>24</v>
      </c>
      <c r="Y280" s="5" t="s">
        <v>6141</v>
      </c>
      <c r="Z280" s="5" t="s">
        <v>6142</v>
      </c>
      <c r="AA280" s="5" t="s">
        <v>6142</v>
      </c>
      <c r="AB280" s="5"/>
    </row>
    <row r="281" ht="15.75" customHeight="1">
      <c r="A281" s="5" t="s">
        <v>6143</v>
      </c>
      <c r="B281" s="5" t="s">
        <v>6144</v>
      </c>
      <c r="C281" s="5" t="s">
        <v>5013</v>
      </c>
      <c r="D281" s="5" t="s">
        <v>24</v>
      </c>
      <c r="E281" s="5" t="s">
        <v>1849</v>
      </c>
      <c r="F281" s="5" t="s">
        <v>4963</v>
      </c>
      <c r="G281" s="5" t="s">
        <v>24</v>
      </c>
      <c r="H281" s="5" t="s">
        <v>24</v>
      </c>
      <c r="I281" s="5" t="s">
        <v>24</v>
      </c>
      <c r="J281" s="5" t="s">
        <v>24</v>
      </c>
      <c r="K281" s="5" t="s">
        <v>24</v>
      </c>
      <c r="L281" s="5" t="s">
        <v>24</v>
      </c>
      <c r="M281" s="5" t="s">
        <v>24</v>
      </c>
      <c r="N281" s="5" t="s">
        <v>24</v>
      </c>
      <c r="O281" s="5" t="s">
        <v>3136</v>
      </c>
      <c r="P281" s="5" t="s">
        <v>24</v>
      </c>
      <c r="Q281" s="5" t="s">
        <v>24</v>
      </c>
      <c r="R281" s="5" t="s">
        <v>24</v>
      </c>
      <c r="S281" s="5" t="s">
        <v>1852</v>
      </c>
      <c r="T281" s="5" t="s">
        <v>6145</v>
      </c>
      <c r="U281" s="5" t="s">
        <v>6145</v>
      </c>
      <c r="V281" s="5" t="s">
        <v>24</v>
      </c>
      <c r="W281" s="5" t="s">
        <v>24</v>
      </c>
      <c r="X281" s="5" t="s">
        <v>24</v>
      </c>
      <c r="Y281" s="5" t="s">
        <v>6146</v>
      </c>
      <c r="Z281" s="5" t="s">
        <v>6147</v>
      </c>
      <c r="AA281" s="5" t="s">
        <v>6147</v>
      </c>
      <c r="AB281" s="5"/>
    </row>
    <row r="282" ht="15.75" customHeight="1">
      <c r="A282" s="5" t="s">
        <v>6148</v>
      </c>
      <c r="B282" s="5" t="s">
        <v>6149</v>
      </c>
      <c r="C282" s="5" t="s">
        <v>227</v>
      </c>
      <c r="D282" s="5" t="s">
        <v>24</v>
      </c>
      <c r="E282" s="5" t="s">
        <v>1849</v>
      </c>
      <c r="F282" s="5" t="s">
        <v>4963</v>
      </c>
      <c r="G282" s="5" t="s">
        <v>24</v>
      </c>
      <c r="H282" s="5" t="s">
        <v>24</v>
      </c>
      <c r="I282" s="5" t="s">
        <v>24</v>
      </c>
      <c r="J282" s="5" t="s">
        <v>24</v>
      </c>
      <c r="K282" s="5" t="s">
        <v>24</v>
      </c>
      <c r="L282" s="5" t="s">
        <v>24</v>
      </c>
      <c r="M282" s="5" t="s">
        <v>24</v>
      </c>
      <c r="N282" s="5" t="s">
        <v>24</v>
      </c>
      <c r="O282" s="5" t="s">
        <v>1933</v>
      </c>
      <c r="P282" s="5" t="s">
        <v>24</v>
      </c>
      <c r="Q282" s="5" t="s">
        <v>24</v>
      </c>
      <c r="R282" s="5" t="s">
        <v>24</v>
      </c>
      <c r="S282" s="5" t="s">
        <v>1852</v>
      </c>
      <c r="T282" s="5" t="s">
        <v>6150</v>
      </c>
      <c r="U282" s="5" t="s">
        <v>6150</v>
      </c>
      <c r="V282" s="5" t="s">
        <v>24</v>
      </c>
      <c r="W282" s="5" t="s">
        <v>24</v>
      </c>
      <c r="X282" s="5" t="s">
        <v>24</v>
      </c>
      <c r="Y282" s="5" t="s">
        <v>6151</v>
      </c>
      <c r="Z282" s="5" t="s">
        <v>6152</v>
      </c>
      <c r="AA282" s="5" t="s">
        <v>6152</v>
      </c>
      <c r="AB282" s="5"/>
    </row>
    <row r="283" ht="15.75" customHeight="1">
      <c r="A283" s="5" t="s">
        <v>6153</v>
      </c>
      <c r="B283" s="5" t="s">
        <v>6154</v>
      </c>
      <c r="C283" s="5" t="s">
        <v>503</v>
      </c>
      <c r="D283" s="5" t="s">
        <v>24</v>
      </c>
      <c r="E283" s="5" t="s">
        <v>1849</v>
      </c>
      <c r="F283" s="5" t="s">
        <v>4963</v>
      </c>
      <c r="G283" s="5" t="s">
        <v>24</v>
      </c>
      <c r="H283" s="5" t="s">
        <v>24</v>
      </c>
      <c r="I283" s="5" t="s">
        <v>24</v>
      </c>
      <c r="J283" s="5" t="s">
        <v>24</v>
      </c>
      <c r="K283" s="5" t="s">
        <v>24</v>
      </c>
      <c r="L283" s="5" t="s">
        <v>24</v>
      </c>
      <c r="M283" s="5" t="s">
        <v>24</v>
      </c>
      <c r="N283" s="5" t="s">
        <v>24</v>
      </c>
      <c r="O283" s="5" t="s">
        <v>3598</v>
      </c>
      <c r="P283" s="5" t="s">
        <v>24</v>
      </c>
      <c r="Q283" s="5" t="s">
        <v>24</v>
      </c>
      <c r="R283" s="5" t="s">
        <v>24</v>
      </c>
      <c r="S283" s="5" t="s">
        <v>1852</v>
      </c>
      <c r="T283" s="5" t="s">
        <v>5638</v>
      </c>
      <c r="U283" s="5" t="s">
        <v>5638</v>
      </c>
      <c r="V283" s="5" t="s">
        <v>24</v>
      </c>
      <c r="W283" s="5" t="s">
        <v>24</v>
      </c>
      <c r="X283" s="5" t="s">
        <v>24</v>
      </c>
      <c r="Y283" s="5" t="s">
        <v>6155</v>
      </c>
      <c r="Z283" s="5" t="s">
        <v>6156</v>
      </c>
      <c r="AA283" s="5" t="s">
        <v>6156</v>
      </c>
      <c r="AB283" s="5"/>
    </row>
    <row r="284" ht="15.75" customHeight="1">
      <c r="A284" s="5" t="s">
        <v>6157</v>
      </c>
      <c r="B284" s="5" t="s">
        <v>6158</v>
      </c>
      <c r="C284" s="5" t="s">
        <v>5013</v>
      </c>
      <c r="D284" s="5" t="s">
        <v>24</v>
      </c>
      <c r="E284" s="5" t="s">
        <v>1849</v>
      </c>
      <c r="F284" s="5" t="s">
        <v>4963</v>
      </c>
      <c r="G284" s="5" t="s">
        <v>24</v>
      </c>
      <c r="H284" s="5" t="s">
        <v>24</v>
      </c>
      <c r="I284" s="5" t="s">
        <v>24</v>
      </c>
      <c r="J284" s="5" t="s">
        <v>24</v>
      </c>
      <c r="K284" s="5" t="s">
        <v>24</v>
      </c>
      <c r="L284" s="5" t="s">
        <v>24</v>
      </c>
      <c r="M284" s="5" t="s">
        <v>24</v>
      </c>
      <c r="N284" s="5" t="s">
        <v>24</v>
      </c>
      <c r="O284" s="5" t="s">
        <v>1851</v>
      </c>
      <c r="P284" s="5" t="s">
        <v>24</v>
      </c>
      <c r="Q284" s="5" t="s">
        <v>24</v>
      </c>
      <c r="R284" s="5" t="s">
        <v>24</v>
      </c>
      <c r="S284" s="5" t="s">
        <v>1852</v>
      </c>
      <c r="T284" s="5" t="s">
        <v>5463</v>
      </c>
      <c r="U284" s="5" t="s">
        <v>5463</v>
      </c>
      <c r="V284" s="5" t="s">
        <v>24</v>
      </c>
      <c r="W284" s="5" t="s">
        <v>24</v>
      </c>
      <c r="X284" s="5" t="s">
        <v>24</v>
      </c>
      <c r="Y284" s="5" t="s">
        <v>6159</v>
      </c>
      <c r="Z284" s="5" t="s">
        <v>6160</v>
      </c>
      <c r="AA284" s="5" t="s">
        <v>6160</v>
      </c>
      <c r="AB284" s="5"/>
    </row>
    <row r="285" ht="15.75" customHeight="1">
      <c r="A285" s="5" t="s">
        <v>6161</v>
      </c>
      <c r="B285" s="5" t="s">
        <v>6162</v>
      </c>
      <c r="C285" s="5" t="s">
        <v>5013</v>
      </c>
      <c r="D285" s="5" t="s">
        <v>24</v>
      </c>
      <c r="E285" s="5" t="s">
        <v>1849</v>
      </c>
      <c r="F285" s="5" t="s">
        <v>4963</v>
      </c>
      <c r="G285" s="5" t="s">
        <v>24</v>
      </c>
      <c r="H285" s="5" t="s">
        <v>24</v>
      </c>
      <c r="I285" s="5" t="s">
        <v>24</v>
      </c>
      <c r="J285" s="5" t="s">
        <v>24</v>
      </c>
      <c r="K285" s="5" t="s">
        <v>24</v>
      </c>
      <c r="L285" s="5" t="s">
        <v>24</v>
      </c>
      <c r="M285" s="5" t="s">
        <v>24</v>
      </c>
      <c r="N285" s="5" t="s">
        <v>24</v>
      </c>
      <c r="O285" s="5" t="s">
        <v>1933</v>
      </c>
      <c r="P285" s="5" t="s">
        <v>24</v>
      </c>
      <c r="Q285" s="5" t="s">
        <v>24</v>
      </c>
      <c r="R285" s="5" t="s">
        <v>24</v>
      </c>
      <c r="S285" s="5" t="s">
        <v>1852</v>
      </c>
      <c r="T285" s="5" t="s">
        <v>5384</v>
      </c>
      <c r="U285" s="5" t="s">
        <v>5384</v>
      </c>
      <c r="V285" s="5" t="s">
        <v>24</v>
      </c>
      <c r="W285" s="5" t="s">
        <v>24</v>
      </c>
      <c r="X285" s="5" t="s">
        <v>24</v>
      </c>
      <c r="Y285" s="5" t="s">
        <v>6163</v>
      </c>
      <c r="Z285" s="5" t="s">
        <v>6164</v>
      </c>
      <c r="AA285" s="5" t="s">
        <v>6164</v>
      </c>
      <c r="AB285" s="5"/>
    </row>
    <row r="286" ht="15.75" customHeight="1">
      <c r="A286" s="5" t="s">
        <v>6165</v>
      </c>
      <c r="B286" s="5" t="s">
        <v>6166</v>
      </c>
      <c r="C286" s="5" t="s">
        <v>145</v>
      </c>
      <c r="D286" s="5" t="s">
        <v>24</v>
      </c>
      <c r="E286" s="5" t="s">
        <v>1849</v>
      </c>
      <c r="F286" s="5" t="s">
        <v>4963</v>
      </c>
      <c r="G286" s="5" t="s">
        <v>24</v>
      </c>
      <c r="H286" s="5" t="s">
        <v>24</v>
      </c>
      <c r="I286" s="5" t="s">
        <v>24</v>
      </c>
      <c r="J286" s="5" t="s">
        <v>24</v>
      </c>
      <c r="K286" s="5" t="s">
        <v>24</v>
      </c>
      <c r="L286" s="5" t="s">
        <v>24</v>
      </c>
      <c r="M286" s="5" t="s">
        <v>1885</v>
      </c>
      <c r="N286" s="5" t="s">
        <v>24</v>
      </c>
      <c r="O286" s="5" t="s">
        <v>1917</v>
      </c>
      <c r="P286" s="5" t="s">
        <v>24</v>
      </c>
      <c r="Q286" s="5" t="s">
        <v>24</v>
      </c>
      <c r="R286" s="5" t="s">
        <v>24</v>
      </c>
      <c r="S286" s="5" t="s">
        <v>1852</v>
      </c>
      <c r="T286" s="5" t="s">
        <v>2627</v>
      </c>
      <c r="U286" s="5" t="s">
        <v>2627</v>
      </c>
      <c r="V286" s="5" t="s">
        <v>24</v>
      </c>
      <c r="W286" s="5" t="s">
        <v>24</v>
      </c>
      <c r="X286" s="5" t="s">
        <v>24</v>
      </c>
      <c r="Y286" s="5" t="s">
        <v>6167</v>
      </c>
      <c r="Z286" s="5" t="s">
        <v>6168</v>
      </c>
      <c r="AA286" s="5" t="s">
        <v>6168</v>
      </c>
      <c r="AB286" s="5"/>
    </row>
    <row r="287" ht="15.75" customHeight="1">
      <c r="A287" s="5" t="s">
        <v>6169</v>
      </c>
      <c r="B287" s="5" t="s">
        <v>6170</v>
      </c>
      <c r="C287" s="5" t="s">
        <v>145</v>
      </c>
      <c r="D287" s="5" t="s">
        <v>24</v>
      </c>
      <c r="E287" s="5" t="s">
        <v>1849</v>
      </c>
      <c r="F287" s="5" t="s">
        <v>4963</v>
      </c>
      <c r="G287" s="5" t="s">
        <v>24</v>
      </c>
      <c r="H287" s="5" t="s">
        <v>24</v>
      </c>
      <c r="I287" s="5" t="s">
        <v>24</v>
      </c>
      <c r="J287" s="5" t="s">
        <v>24</v>
      </c>
      <c r="K287" s="5" t="s">
        <v>24</v>
      </c>
      <c r="L287" s="5" t="s">
        <v>24</v>
      </c>
      <c r="M287" s="5" t="s">
        <v>1885</v>
      </c>
      <c r="N287" s="5" t="s">
        <v>24</v>
      </c>
      <c r="O287" s="5" t="s">
        <v>1917</v>
      </c>
      <c r="P287" s="5" t="s">
        <v>24</v>
      </c>
      <c r="Q287" s="5" t="s">
        <v>24</v>
      </c>
      <c r="R287" s="5" t="s">
        <v>24</v>
      </c>
      <c r="S287" s="5" t="s">
        <v>1852</v>
      </c>
      <c r="T287" s="5" t="s">
        <v>2627</v>
      </c>
      <c r="U287" s="5" t="s">
        <v>2627</v>
      </c>
      <c r="V287" s="5" t="s">
        <v>24</v>
      </c>
      <c r="W287" s="5" t="s">
        <v>24</v>
      </c>
      <c r="X287" s="5" t="s">
        <v>24</v>
      </c>
      <c r="Y287" s="5" t="s">
        <v>6171</v>
      </c>
      <c r="Z287" s="5" t="s">
        <v>6172</v>
      </c>
      <c r="AA287" s="5" t="s">
        <v>6172</v>
      </c>
      <c r="AB287" s="5"/>
    </row>
    <row r="288" ht="15.75" customHeight="1">
      <c r="A288" s="5" t="s">
        <v>6173</v>
      </c>
      <c r="B288" s="5" t="s">
        <v>6174</v>
      </c>
      <c r="C288" s="5" t="s">
        <v>5013</v>
      </c>
      <c r="D288" s="5" t="s">
        <v>24</v>
      </c>
      <c r="E288" s="5" t="s">
        <v>1849</v>
      </c>
      <c r="F288" s="5" t="s">
        <v>4963</v>
      </c>
      <c r="G288" s="5" t="s">
        <v>24</v>
      </c>
      <c r="H288" s="5" t="s">
        <v>24</v>
      </c>
      <c r="I288" s="5" t="s">
        <v>24</v>
      </c>
      <c r="J288" s="5" t="s">
        <v>24</v>
      </c>
      <c r="K288" s="5" t="s">
        <v>24</v>
      </c>
      <c r="L288" s="5" t="s">
        <v>24</v>
      </c>
      <c r="M288" s="5" t="s">
        <v>1885</v>
      </c>
      <c r="N288" s="5" t="s">
        <v>24</v>
      </c>
      <c r="O288" s="5" t="s">
        <v>24</v>
      </c>
      <c r="P288" s="5" t="s">
        <v>24</v>
      </c>
      <c r="Q288" s="5" t="s">
        <v>24</v>
      </c>
      <c r="R288" s="5" t="s">
        <v>24</v>
      </c>
      <c r="S288" s="5" t="s">
        <v>1852</v>
      </c>
      <c r="T288" s="5" t="s">
        <v>2271</v>
      </c>
      <c r="U288" s="5" t="s">
        <v>2271</v>
      </c>
      <c r="V288" s="5" t="s">
        <v>24</v>
      </c>
      <c r="W288" s="5" t="s">
        <v>24</v>
      </c>
      <c r="X288" s="5" t="s">
        <v>24</v>
      </c>
      <c r="Y288" s="5" t="s">
        <v>6175</v>
      </c>
      <c r="Z288" s="5" t="s">
        <v>6176</v>
      </c>
      <c r="AA288" s="5" t="s">
        <v>6176</v>
      </c>
      <c r="AB288" s="5"/>
    </row>
    <row r="289" ht="15.75" customHeight="1">
      <c r="A289" s="5" t="s">
        <v>6177</v>
      </c>
      <c r="B289" s="5" t="s">
        <v>6178</v>
      </c>
      <c r="C289" s="5" t="s">
        <v>106</v>
      </c>
      <c r="D289" s="5" t="s">
        <v>24</v>
      </c>
      <c r="E289" s="5" t="s">
        <v>1849</v>
      </c>
      <c r="F289" s="5" t="s">
        <v>4963</v>
      </c>
      <c r="G289" s="5" t="s">
        <v>24</v>
      </c>
      <c r="H289" s="5" t="s">
        <v>24</v>
      </c>
      <c r="I289" s="5" t="s">
        <v>24</v>
      </c>
      <c r="J289" s="5" t="s">
        <v>24</v>
      </c>
      <c r="K289" s="5" t="s">
        <v>24</v>
      </c>
      <c r="L289" s="5" t="s">
        <v>24</v>
      </c>
      <c r="M289" s="5" t="s">
        <v>24</v>
      </c>
      <c r="N289" s="5" t="s">
        <v>24</v>
      </c>
      <c r="O289" s="5" t="s">
        <v>1851</v>
      </c>
      <c r="P289" s="5" t="s">
        <v>24</v>
      </c>
      <c r="Q289" s="5" t="s">
        <v>24</v>
      </c>
      <c r="R289" s="5" t="s">
        <v>24</v>
      </c>
      <c r="S289" s="5" t="s">
        <v>1852</v>
      </c>
      <c r="T289" s="5" t="s">
        <v>4743</v>
      </c>
      <c r="U289" s="5" t="s">
        <v>4743</v>
      </c>
      <c r="V289" s="5" t="s">
        <v>24</v>
      </c>
      <c r="W289" s="5" t="s">
        <v>24</v>
      </c>
      <c r="X289" s="5" t="s">
        <v>24</v>
      </c>
      <c r="Y289" s="5" t="s">
        <v>6179</v>
      </c>
      <c r="Z289" s="5" t="s">
        <v>6180</v>
      </c>
      <c r="AA289" s="5" t="s">
        <v>6180</v>
      </c>
      <c r="AB289" s="5"/>
    </row>
    <row r="290" ht="15.75" customHeight="1">
      <c r="A290" s="5" t="s">
        <v>6181</v>
      </c>
      <c r="B290" s="5" t="s">
        <v>6182</v>
      </c>
      <c r="C290" s="5" t="s">
        <v>139</v>
      </c>
      <c r="D290" s="5" t="s">
        <v>24</v>
      </c>
      <c r="E290" s="5" t="s">
        <v>1849</v>
      </c>
      <c r="F290" s="5" t="s">
        <v>4963</v>
      </c>
      <c r="G290" s="5" t="s">
        <v>24</v>
      </c>
      <c r="H290" s="5" t="s">
        <v>24</v>
      </c>
      <c r="I290" s="5" t="s">
        <v>24</v>
      </c>
      <c r="J290" s="5" t="s">
        <v>24</v>
      </c>
      <c r="K290" s="5" t="s">
        <v>24</v>
      </c>
      <c r="L290" s="5" t="s">
        <v>24</v>
      </c>
      <c r="M290" s="5" t="s">
        <v>1885</v>
      </c>
      <c r="N290" s="5" t="s">
        <v>24</v>
      </c>
      <c r="O290" s="5" t="s">
        <v>4258</v>
      </c>
      <c r="P290" s="5" t="s">
        <v>24</v>
      </c>
      <c r="Q290" s="5" t="s">
        <v>24</v>
      </c>
      <c r="R290" s="5" t="s">
        <v>24</v>
      </c>
      <c r="S290" s="5" t="s">
        <v>1852</v>
      </c>
      <c r="T290" s="5" t="s">
        <v>2627</v>
      </c>
      <c r="U290" s="5" t="s">
        <v>2627</v>
      </c>
      <c r="V290" s="5" t="s">
        <v>24</v>
      </c>
      <c r="W290" s="5" t="s">
        <v>24</v>
      </c>
      <c r="X290" s="5" t="s">
        <v>24</v>
      </c>
      <c r="Y290" s="5" t="s">
        <v>6183</v>
      </c>
      <c r="Z290" s="5" t="s">
        <v>6184</v>
      </c>
      <c r="AA290" s="5" t="s">
        <v>6184</v>
      </c>
      <c r="AB290" s="5"/>
    </row>
    <row r="291" ht="15.75" customHeight="1">
      <c r="A291" s="5" t="s">
        <v>6185</v>
      </c>
      <c r="B291" s="5" t="s">
        <v>6186</v>
      </c>
      <c r="C291" s="5" t="s">
        <v>2126</v>
      </c>
      <c r="D291" s="5" t="s">
        <v>24</v>
      </c>
      <c r="E291" s="5" t="s">
        <v>1849</v>
      </c>
      <c r="F291" s="5" t="s">
        <v>4963</v>
      </c>
      <c r="G291" s="5" t="s">
        <v>24</v>
      </c>
      <c r="H291" s="5" t="s">
        <v>24</v>
      </c>
      <c r="I291" s="5" t="s">
        <v>24</v>
      </c>
      <c r="J291" s="5" t="s">
        <v>24</v>
      </c>
      <c r="K291" s="5" t="s">
        <v>24</v>
      </c>
      <c r="L291" s="5" t="s">
        <v>24</v>
      </c>
      <c r="M291" s="5" t="s">
        <v>24</v>
      </c>
      <c r="N291" s="5" t="s">
        <v>24</v>
      </c>
      <c r="O291" s="5" t="s">
        <v>3136</v>
      </c>
      <c r="P291" s="5" t="s">
        <v>24</v>
      </c>
      <c r="Q291" s="5" t="s">
        <v>24</v>
      </c>
      <c r="R291" s="5" t="s">
        <v>24</v>
      </c>
      <c r="S291" s="5" t="s">
        <v>1852</v>
      </c>
      <c r="T291" s="5" t="s">
        <v>2458</v>
      </c>
      <c r="U291" s="5" t="s">
        <v>2458</v>
      </c>
      <c r="V291" s="5" t="s">
        <v>24</v>
      </c>
      <c r="W291" s="5" t="s">
        <v>24</v>
      </c>
      <c r="X291" s="5" t="s">
        <v>24</v>
      </c>
      <c r="Y291" s="5" t="s">
        <v>6187</v>
      </c>
      <c r="Z291" s="5" t="s">
        <v>6188</v>
      </c>
      <c r="AA291" s="5" t="s">
        <v>6188</v>
      </c>
      <c r="AB291" s="5"/>
    </row>
    <row r="292" ht="15.75" customHeight="1">
      <c r="A292" s="5" t="s">
        <v>6189</v>
      </c>
      <c r="B292" s="5" t="s">
        <v>6190</v>
      </c>
      <c r="C292" s="5" t="s">
        <v>106</v>
      </c>
      <c r="D292" s="5" t="s">
        <v>24</v>
      </c>
      <c r="E292" s="5" t="s">
        <v>1849</v>
      </c>
      <c r="F292" s="5" t="s">
        <v>4963</v>
      </c>
      <c r="G292" s="5" t="s">
        <v>24</v>
      </c>
      <c r="H292" s="5" t="s">
        <v>24</v>
      </c>
      <c r="I292" s="5" t="s">
        <v>24</v>
      </c>
      <c r="J292" s="5" t="s">
        <v>24</v>
      </c>
      <c r="K292" s="5" t="s">
        <v>24</v>
      </c>
      <c r="L292" s="5" t="s">
        <v>24</v>
      </c>
      <c r="M292" s="5" t="s">
        <v>24</v>
      </c>
      <c r="N292" s="5" t="s">
        <v>24</v>
      </c>
      <c r="O292" s="5" t="s">
        <v>1851</v>
      </c>
      <c r="P292" s="5" t="s">
        <v>24</v>
      </c>
      <c r="Q292" s="5" t="s">
        <v>24</v>
      </c>
      <c r="R292" s="5" t="s">
        <v>24</v>
      </c>
      <c r="S292" s="5" t="s">
        <v>1852</v>
      </c>
      <c r="T292" s="5" t="s">
        <v>4743</v>
      </c>
      <c r="U292" s="5" t="s">
        <v>4743</v>
      </c>
      <c r="V292" s="5" t="s">
        <v>24</v>
      </c>
      <c r="W292" s="5" t="s">
        <v>24</v>
      </c>
      <c r="X292" s="5" t="s">
        <v>24</v>
      </c>
      <c r="Y292" s="5" t="s">
        <v>6191</v>
      </c>
      <c r="Z292" s="5" t="s">
        <v>6192</v>
      </c>
      <c r="AA292" s="5" t="s">
        <v>6192</v>
      </c>
      <c r="AB292" s="5"/>
    </row>
    <row r="293" ht="15.75" customHeight="1">
      <c r="A293" s="5" t="s">
        <v>6193</v>
      </c>
      <c r="B293" s="5" t="s">
        <v>6194</v>
      </c>
      <c r="C293" s="5" t="s">
        <v>227</v>
      </c>
      <c r="D293" s="5" t="s">
        <v>24</v>
      </c>
      <c r="E293" s="5" t="s">
        <v>1849</v>
      </c>
      <c r="F293" s="5" t="s">
        <v>4963</v>
      </c>
      <c r="G293" s="5" t="s">
        <v>24</v>
      </c>
      <c r="H293" s="5" t="s">
        <v>24</v>
      </c>
      <c r="I293" s="5" t="s">
        <v>24</v>
      </c>
      <c r="J293" s="5" t="s">
        <v>24</v>
      </c>
      <c r="K293" s="5" t="s">
        <v>24</v>
      </c>
      <c r="L293" s="5" t="s">
        <v>24</v>
      </c>
      <c r="M293" s="5" t="s">
        <v>24</v>
      </c>
      <c r="N293" s="5" t="s">
        <v>24</v>
      </c>
      <c r="O293" s="5" t="s">
        <v>2984</v>
      </c>
      <c r="P293" s="5" t="s">
        <v>24</v>
      </c>
      <c r="Q293" s="5" t="s">
        <v>24</v>
      </c>
      <c r="R293" s="5" t="s">
        <v>24</v>
      </c>
      <c r="S293" s="5" t="s">
        <v>1852</v>
      </c>
      <c r="T293" s="5" t="s">
        <v>5125</v>
      </c>
      <c r="U293" s="5" t="s">
        <v>5125</v>
      </c>
      <c r="V293" s="5" t="s">
        <v>24</v>
      </c>
      <c r="W293" s="5" t="s">
        <v>24</v>
      </c>
      <c r="X293" s="5" t="s">
        <v>24</v>
      </c>
      <c r="Y293" s="5" t="s">
        <v>6195</v>
      </c>
      <c r="Z293" s="5" t="s">
        <v>6196</v>
      </c>
      <c r="AA293" s="5" t="s">
        <v>6196</v>
      </c>
      <c r="AB293" s="5"/>
    </row>
    <row r="294" ht="15.75" customHeight="1">
      <c r="A294" s="5" t="s">
        <v>6197</v>
      </c>
      <c r="B294" s="5" t="s">
        <v>6198</v>
      </c>
      <c r="C294" s="5" t="s">
        <v>3029</v>
      </c>
      <c r="D294" s="5" t="s">
        <v>24</v>
      </c>
      <c r="E294" s="5" t="s">
        <v>1849</v>
      </c>
      <c r="F294" s="5" t="s">
        <v>4963</v>
      </c>
      <c r="G294" s="5" t="s">
        <v>24</v>
      </c>
      <c r="H294" s="5" t="s">
        <v>24</v>
      </c>
      <c r="I294" s="5" t="s">
        <v>24</v>
      </c>
      <c r="J294" s="5" t="s">
        <v>24</v>
      </c>
      <c r="K294" s="5" t="s">
        <v>24</v>
      </c>
      <c r="L294" s="5" t="s">
        <v>24</v>
      </c>
      <c r="M294" s="5" t="s">
        <v>5607</v>
      </c>
      <c r="N294" s="5" t="s">
        <v>24</v>
      </c>
      <c r="O294" s="5" t="s">
        <v>24</v>
      </c>
      <c r="P294" s="5" t="s">
        <v>24</v>
      </c>
      <c r="Q294" s="5" t="s">
        <v>24</v>
      </c>
      <c r="R294" s="5" t="s">
        <v>24</v>
      </c>
      <c r="S294" s="5" t="s">
        <v>1852</v>
      </c>
      <c r="T294" s="5" t="s">
        <v>5384</v>
      </c>
      <c r="U294" s="5" t="s">
        <v>5384</v>
      </c>
      <c r="V294" s="5" t="s">
        <v>24</v>
      </c>
      <c r="W294" s="5" t="s">
        <v>24</v>
      </c>
      <c r="X294" s="5" t="s">
        <v>24</v>
      </c>
      <c r="Y294" s="5" t="s">
        <v>6199</v>
      </c>
      <c r="Z294" s="5" t="s">
        <v>6200</v>
      </c>
      <c r="AA294" s="5" t="s">
        <v>6200</v>
      </c>
      <c r="AB294" s="5"/>
    </row>
    <row r="295" ht="15.75" customHeight="1">
      <c r="A295" s="5" t="s">
        <v>6201</v>
      </c>
      <c r="B295" s="5" t="s">
        <v>6202</v>
      </c>
      <c r="C295" s="5" t="s">
        <v>5013</v>
      </c>
      <c r="D295" s="5" t="s">
        <v>24</v>
      </c>
      <c r="E295" s="5" t="s">
        <v>1849</v>
      </c>
      <c r="F295" s="5" t="s">
        <v>4963</v>
      </c>
      <c r="G295" s="5" t="s">
        <v>24</v>
      </c>
      <c r="H295" s="5" t="s">
        <v>24</v>
      </c>
      <c r="I295" s="5" t="s">
        <v>24</v>
      </c>
      <c r="J295" s="5" t="s">
        <v>24</v>
      </c>
      <c r="K295" s="5" t="s">
        <v>24</v>
      </c>
      <c r="L295" s="5" t="s">
        <v>24</v>
      </c>
      <c r="M295" s="5" t="s">
        <v>1885</v>
      </c>
      <c r="N295" s="5" t="s">
        <v>24</v>
      </c>
      <c r="O295" s="5" t="s">
        <v>24</v>
      </c>
      <c r="P295" s="5" t="s">
        <v>24</v>
      </c>
      <c r="Q295" s="5" t="s">
        <v>24</v>
      </c>
      <c r="R295" s="5" t="s">
        <v>24</v>
      </c>
      <c r="S295" s="5" t="s">
        <v>1852</v>
      </c>
      <c r="T295" s="5" t="s">
        <v>2047</v>
      </c>
      <c r="U295" s="5" t="s">
        <v>2047</v>
      </c>
      <c r="V295" s="5" t="s">
        <v>24</v>
      </c>
      <c r="W295" s="5" t="s">
        <v>24</v>
      </c>
      <c r="X295" s="5" t="s">
        <v>24</v>
      </c>
      <c r="Y295" s="5" t="s">
        <v>6203</v>
      </c>
      <c r="Z295" s="5" t="s">
        <v>6204</v>
      </c>
      <c r="AA295" s="5" t="s">
        <v>6204</v>
      </c>
      <c r="AB295" s="5"/>
    </row>
    <row r="296" ht="15.75" customHeight="1">
      <c r="A296" s="5" t="s">
        <v>6205</v>
      </c>
      <c r="B296" s="5" t="s">
        <v>595</v>
      </c>
      <c r="C296" s="5" t="s">
        <v>336</v>
      </c>
      <c r="D296" s="5" t="s">
        <v>24</v>
      </c>
      <c r="E296" s="5" t="s">
        <v>1849</v>
      </c>
      <c r="F296" s="5" t="s">
        <v>4963</v>
      </c>
      <c r="G296" s="5" t="s">
        <v>24</v>
      </c>
      <c r="H296" s="5" t="s">
        <v>24</v>
      </c>
      <c r="I296" s="5" t="s">
        <v>24</v>
      </c>
      <c r="J296" s="5" t="s">
        <v>24</v>
      </c>
      <c r="K296" s="5" t="s">
        <v>24</v>
      </c>
      <c r="L296" s="5" t="s">
        <v>24</v>
      </c>
      <c r="M296" s="5" t="s">
        <v>1885</v>
      </c>
      <c r="N296" s="5" t="s">
        <v>24</v>
      </c>
      <c r="O296" s="5" t="s">
        <v>1949</v>
      </c>
      <c r="P296" s="5" t="s">
        <v>24</v>
      </c>
      <c r="Q296" s="5" t="s">
        <v>24</v>
      </c>
      <c r="R296" s="5" t="s">
        <v>24</v>
      </c>
      <c r="S296" s="5" t="s">
        <v>1852</v>
      </c>
      <c r="T296" s="5" t="s">
        <v>3089</v>
      </c>
      <c r="U296" s="5" t="s">
        <v>3089</v>
      </c>
      <c r="V296" s="5" t="s">
        <v>24</v>
      </c>
      <c r="W296" s="5" t="s">
        <v>24</v>
      </c>
      <c r="X296" s="5" t="s">
        <v>24</v>
      </c>
      <c r="Y296" s="5" t="s">
        <v>6206</v>
      </c>
      <c r="Z296" s="5" t="s">
        <v>6207</v>
      </c>
      <c r="AA296" s="5" t="s">
        <v>6207</v>
      </c>
      <c r="AB296" s="5"/>
    </row>
    <row r="297" ht="15.75" customHeight="1">
      <c r="A297" s="5" t="s">
        <v>6208</v>
      </c>
      <c r="B297" s="5" t="s">
        <v>6209</v>
      </c>
      <c r="C297" s="5" t="s">
        <v>106</v>
      </c>
      <c r="D297" s="5" t="s">
        <v>24</v>
      </c>
      <c r="E297" s="5" t="s">
        <v>1849</v>
      </c>
      <c r="F297" s="5" t="s">
        <v>4963</v>
      </c>
      <c r="G297" s="5" t="s">
        <v>24</v>
      </c>
      <c r="H297" s="5" t="s">
        <v>24</v>
      </c>
      <c r="I297" s="5" t="s">
        <v>24</v>
      </c>
      <c r="J297" s="5" t="s">
        <v>24</v>
      </c>
      <c r="K297" s="5" t="s">
        <v>24</v>
      </c>
      <c r="L297" s="5" t="s">
        <v>24</v>
      </c>
      <c r="M297" s="5" t="s">
        <v>3048</v>
      </c>
      <c r="N297" s="5" t="s">
        <v>24</v>
      </c>
      <c r="O297" s="5" t="s">
        <v>4842</v>
      </c>
      <c r="P297" s="5" t="s">
        <v>24</v>
      </c>
      <c r="Q297" s="5" t="s">
        <v>24</v>
      </c>
      <c r="R297" s="5" t="s">
        <v>24</v>
      </c>
      <c r="S297" s="5" t="s">
        <v>1852</v>
      </c>
      <c r="T297" s="5" t="s">
        <v>4843</v>
      </c>
      <c r="U297" s="5" t="s">
        <v>4843</v>
      </c>
      <c r="V297" s="5" t="s">
        <v>24</v>
      </c>
      <c r="W297" s="5" t="s">
        <v>24</v>
      </c>
      <c r="X297" s="5" t="s">
        <v>24</v>
      </c>
      <c r="Y297" s="5" t="s">
        <v>6210</v>
      </c>
      <c r="Z297" s="5" t="s">
        <v>6211</v>
      </c>
      <c r="AA297" s="5" t="s">
        <v>6211</v>
      </c>
      <c r="AB297" s="5"/>
    </row>
    <row r="298" ht="15.75" customHeight="1">
      <c r="A298" s="5" t="s">
        <v>6212</v>
      </c>
      <c r="B298" s="5" t="s">
        <v>6213</v>
      </c>
      <c r="C298" s="5" t="s">
        <v>5415</v>
      </c>
      <c r="D298" s="5" t="s">
        <v>24</v>
      </c>
      <c r="E298" s="5" t="s">
        <v>1849</v>
      </c>
      <c r="F298" s="5" t="s">
        <v>4963</v>
      </c>
      <c r="G298" s="5" t="s">
        <v>24</v>
      </c>
      <c r="H298" s="5" t="s">
        <v>24</v>
      </c>
      <c r="I298" s="5" t="s">
        <v>24</v>
      </c>
      <c r="J298" s="5" t="s">
        <v>24</v>
      </c>
      <c r="K298" s="5" t="s">
        <v>24</v>
      </c>
      <c r="L298" s="5" t="s">
        <v>24</v>
      </c>
      <c r="M298" s="5" t="s">
        <v>1885</v>
      </c>
      <c r="N298" s="5" t="s">
        <v>24</v>
      </c>
      <c r="O298" s="5" t="s">
        <v>1986</v>
      </c>
      <c r="P298" s="5" t="s">
        <v>24</v>
      </c>
      <c r="Q298" s="5" t="s">
        <v>24</v>
      </c>
      <c r="R298" s="5" t="s">
        <v>24</v>
      </c>
      <c r="S298" s="5" t="s">
        <v>2020</v>
      </c>
      <c r="T298" s="5" t="s">
        <v>2021</v>
      </c>
      <c r="U298" s="5" t="s">
        <v>2021</v>
      </c>
      <c r="V298" s="5" t="s">
        <v>24</v>
      </c>
      <c r="W298" s="5" t="s">
        <v>24</v>
      </c>
      <c r="X298" s="5" t="s">
        <v>24</v>
      </c>
      <c r="Y298" s="5" t="s">
        <v>6214</v>
      </c>
      <c r="Z298" s="5" t="s">
        <v>6215</v>
      </c>
      <c r="AA298" s="5" t="s">
        <v>6215</v>
      </c>
      <c r="AB298" s="5"/>
    </row>
    <row r="299" ht="15.75" customHeight="1">
      <c r="A299" s="5" t="s">
        <v>6216</v>
      </c>
      <c r="B299" s="5" t="s">
        <v>6217</v>
      </c>
      <c r="C299" s="5" t="s">
        <v>503</v>
      </c>
      <c r="D299" s="5" t="s">
        <v>24</v>
      </c>
      <c r="E299" s="5" t="s">
        <v>1849</v>
      </c>
      <c r="F299" s="5" t="s">
        <v>4963</v>
      </c>
      <c r="G299" s="5" t="s">
        <v>24</v>
      </c>
      <c r="H299" s="5" t="s">
        <v>24</v>
      </c>
      <c r="I299" s="5" t="s">
        <v>24</v>
      </c>
      <c r="J299" s="5" t="s">
        <v>24</v>
      </c>
      <c r="K299" s="5" t="s">
        <v>24</v>
      </c>
      <c r="L299" s="5" t="s">
        <v>24</v>
      </c>
      <c r="M299" s="5" t="s">
        <v>1885</v>
      </c>
      <c r="N299" s="5" t="s">
        <v>24</v>
      </c>
      <c r="O299" s="5" t="s">
        <v>2085</v>
      </c>
      <c r="P299" s="5" t="s">
        <v>24</v>
      </c>
      <c r="Q299" s="5" t="s">
        <v>24</v>
      </c>
      <c r="R299" s="5" t="s">
        <v>24</v>
      </c>
      <c r="S299" s="5" t="s">
        <v>1852</v>
      </c>
      <c r="T299" s="5" t="s">
        <v>1939</v>
      </c>
      <c r="U299" s="5" t="s">
        <v>1939</v>
      </c>
      <c r="V299" s="5" t="s">
        <v>24</v>
      </c>
      <c r="W299" s="5" t="s">
        <v>24</v>
      </c>
      <c r="X299" s="5" t="s">
        <v>24</v>
      </c>
      <c r="Y299" s="5" t="s">
        <v>6218</v>
      </c>
      <c r="Z299" s="5" t="s">
        <v>6219</v>
      </c>
      <c r="AA299" s="5" t="s">
        <v>6219</v>
      </c>
      <c r="AB299" s="5"/>
    </row>
    <row r="300" ht="15.75" customHeight="1">
      <c r="A300" s="5" t="s">
        <v>6220</v>
      </c>
      <c r="B300" s="5" t="s">
        <v>6221</v>
      </c>
      <c r="C300" s="5" t="s">
        <v>227</v>
      </c>
      <c r="D300" s="5" t="s">
        <v>24</v>
      </c>
      <c r="E300" s="5" t="s">
        <v>1849</v>
      </c>
      <c r="F300" s="5" t="s">
        <v>4963</v>
      </c>
      <c r="G300" s="5" t="s">
        <v>24</v>
      </c>
      <c r="H300" s="5" t="s">
        <v>24</v>
      </c>
      <c r="I300" s="5" t="s">
        <v>24</v>
      </c>
      <c r="J300" s="5" t="s">
        <v>24</v>
      </c>
      <c r="K300" s="5" t="s">
        <v>24</v>
      </c>
      <c r="L300" s="5" t="s">
        <v>24</v>
      </c>
      <c r="M300" s="5" t="s">
        <v>24</v>
      </c>
      <c r="N300" s="5" t="s">
        <v>24</v>
      </c>
      <c r="O300" s="5" t="s">
        <v>1851</v>
      </c>
      <c r="P300" s="5" t="s">
        <v>24</v>
      </c>
      <c r="Q300" s="5" t="s">
        <v>24</v>
      </c>
      <c r="R300" s="5" t="s">
        <v>24</v>
      </c>
      <c r="S300" s="5" t="s">
        <v>1852</v>
      </c>
      <c r="T300" s="5" t="s">
        <v>4743</v>
      </c>
      <c r="U300" s="5" t="s">
        <v>4743</v>
      </c>
      <c r="V300" s="5" t="s">
        <v>24</v>
      </c>
      <c r="W300" s="5" t="s">
        <v>24</v>
      </c>
      <c r="X300" s="5" t="s">
        <v>24</v>
      </c>
      <c r="Y300" s="5" t="s">
        <v>6222</v>
      </c>
      <c r="Z300" s="5" t="s">
        <v>6223</v>
      </c>
      <c r="AA300" s="5" t="s">
        <v>6223</v>
      </c>
      <c r="AB300" s="5"/>
    </row>
    <row r="301" ht="15.75" customHeight="1">
      <c r="A301" s="5" t="s">
        <v>6224</v>
      </c>
      <c r="B301" s="5" t="s">
        <v>6225</v>
      </c>
      <c r="C301" s="5" t="s">
        <v>294</v>
      </c>
      <c r="D301" s="5" t="s">
        <v>24</v>
      </c>
      <c r="E301" s="5" t="s">
        <v>1849</v>
      </c>
      <c r="F301" s="5" t="s">
        <v>4963</v>
      </c>
      <c r="G301" s="5" t="s">
        <v>24</v>
      </c>
      <c r="H301" s="5" t="s">
        <v>24</v>
      </c>
      <c r="I301" s="5" t="s">
        <v>24</v>
      </c>
      <c r="J301" s="5" t="s">
        <v>24</v>
      </c>
      <c r="K301" s="5" t="s">
        <v>24</v>
      </c>
      <c r="L301" s="5" t="s">
        <v>24</v>
      </c>
      <c r="M301" s="5" t="s">
        <v>24</v>
      </c>
      <c r="N301" s="5" t="s">
        <v>24</v>
      </c>
      <c r="O301" s="5" t="s">
        <v>1933</v>
      </c>
      <c r="P301" s="5" t="s">
        <v>24</v>
      </c>
      <c r="Q301" s="5" t="s">
        <v>24</v>
      </c>
      <c r="R301" s="5" t="s">
        <v>24</v>
      </c>
      <c r="S301" s="5" t="s">
        <v>1852</v>
      </c>
      <c r="T301" s="5" t="s">
        <v>1934</v>
      </c>
      <c r="U301" s="5" t="s">
        <v>1934</v>
      </c>
      <c r="V301" s="5" t="s">
        <v>24</v>
      </c>
      <c r="W301" s="5" t="s">
        <v>24</v>
      </c>
      <c r="X301" s="5" t="s">
        <v>24</v>
      </c>
      <c r="Y301" s="5" t="s">
        <v>6226</v>
      </c>
      <c r="Z301" s="5" t="s">
        <v>6227</v>
      </c>
      <c r="AA301" s="5" t="s">
        <v>6227</v>
      </c>
      <c r="AB301" s="5"/>
    </row>
    <row r="302" ht="15.75" customHeight="1">
      <c r="A302" s="5" t="s">
        <v>6228</v>
      </c>
      <c r="B302" s="5" t="s">
        <v>6229</v>
      </c>
      <c r="C302" s="5" t="s">
        <v>227</v>
      </c>
      <c r="D302" s="5" t="s">
        <v>24</v>
      </c>
      <c r="E302" s="5" t="s">
        <v>1849</v>
      </c>
      <c r="F302" s="5" t="s">
        <v>4963</v>
      </c>
      <c r="G302" s="5" t="s">
        <v>24</v>
      </c>
      <c r="H302" s="5" t="s">
        <v>24</v>
      </c>
      <c r="I302" s="5" t="s">
        <v>24</v>
      </c>
      <c r="J302" s="5" t="s">
        <v>24</v>
      </c>
      <c r="K302" s="5" t="s">
        <v>24</v>
      </c>
      <c r="L302" s="5" t="s">
        <v>24</v>
      </c>
      <c r="M302" s="5" t="s">
        <v>24</v>
      </c>
      <c r="N302" s="5" t="s">
        <v>24</v>
      </c>
      <c r="O302" s="5" t="s">
        <v>1933</v>
      </c>
      <c r="P302" s="5" t="s">
        <v>24</v>
      </c>
      <c r="Q302" s="5" t="s">
        <v>24</v>
      </c>
      <c r="R302" s="5" t="s">
        <v>24</v>
      </c>
      <c r="S302" s="5" t="s">
        <v>1852</v>
      </c>
      <c r="T302" s="5" t="s">
        <v>5184</v>
      </c>
      <c r="U302" s="5" t="s">
        <v>5184</v>
      </c>
      <c r="V302" s="5" t="s">
        <v>24</v>
      </c>
      <c r="W302" s="5" t="s">
        <v>24</v>
      </c>
      <c r="X302" s="5" t="s">
        <v>24</v>
      </c>
      <c r="Y302" s="5" t="s">
        <v>6230</v>
      </c>
      <c r="Z302" s="5" t="s">
        <v>6231</v>
      </c>
      <c r="AA302" s="5" t="s">
        <v>6231</v>
      </c>
      <c r="AB302" s="5"/>
    </row>
    <row r="303" ht="15.75" customHeight="1">
      <c r="A303" s="5" t="s">
        <v>6232</v>
      </c>
      <c r="B303" s="5" t="s">
        <v>6233</v>
      </c>
      <c r="C303" s="5" t="s">
        <v>2126</v>
      </c>
      <c r="D303" s="5" t="s">
        <v>24</v>
      </c>
      <c r="E303" s="5" t="s">
        <v>1849</v>
      </c>
      <c r="F303" s="5" t="s">
        <v>4963</v>
      </c>
      <c r="G303" s="5" t="s">
        <v>24</v>
      </c>
      <c r="H303" s="5" t="s">
        <v>24</v>
      </c>
      <c r="I303" s="5" t="s">
        <v>24</v>
      </c>
      <c r="J303" s="5" t="s">
        <v>24</v>
      </c>
      <c r="K303" s="5" t="s">
        <v>24</v>
      </c>
      <c r="L303" s="5" t="s">
        <v>24</v>
      </c>
      <c r="M303" s="5" t="s">
        <v>1885</v>
      </c>
      <c r="N303" s="5" t="s">
        <v>24</v>
      </c>
      <c r="O303" s="5" t="s">
        <v>24</v>
      </c>
      <c r="P303" s="5" t="s">
        <v>24</v>
      </c>
      <c r="Q303" s="5" t="s">
        <v>24</v>
      </c>
      <c r="R303" s="5" t="s">
        <v>24</v>
      </c>
      <c r="S303" s="5" t="s">
        <v>1852</v>
      </c>
      <c r="T303" s="5" t="s">
        <v>5125</v>
      </c>
      <c r="U303" s="5" t="s">
        <v>5125</v>
      </c>
      <c r="V303" s="5" t="s">
        <v>24</v>
      </c>
      <c r="W303" s="5" t="s">
        <v>24</v>
      </c>
      <c r="X303" s="5" t="s">
        <v>24</v>
      </c>
      <c r="Y303" s="5" t="s">
        <v>6234</v>
      </c>
      <c r="Z303" s="5" t="s">
        <v>6235</v>
      </c>
      <c r="AA303" s="5" t="s">
        <v>6235</v>
      </c>
      <c r="AB303" s="5"/>
    </row>
    <row r="304" ht="15.75" customHeight="1">
      <c r="A304" s="5" t="s">
        <v>6236</v>
      </c>
      <c r="B304" s="5" t="s">
        <v>6237</v>
      </c>
      <c r="C304" s="5" t="s">
        <v>1915</v>
      </c>
      <c r="D304" s="5" t="s">
        <v>24</v>
      </c>
      <c r="E304" s="5" t="s">
        <v>1849</v>
      </c>
      <c r="F304" s="5" t="s">
        <v>4963</v>
      </c>
      <c r="G304" s="5" t="s">
        <v>24</v>
      </c>
      <c r="H304" s="5" t="s">
        <v>24</v>
      </c>
      <c r="I304" s="5" t="s">
        <v>24</v>
      </c>
      <c r="J304" s="5" t="s">
        <v>24</v>
      </c>
      <c r="K304" s="5" t="s">
        <v>24</v>
      </c>
      <c r="L304" s="5" t="s">
        <v>24</v>
      </c>
      <c r="M304" s="5" t="s">
        <v>24</v>
      </c>
      <c r="N304" s="5" t="s">
        <v>24</v>
      </c>
      <c r="O304" s="5" t="s">
        <v>1851</v>
      </c>
      <c r="P304" s="5" t="s">
        <v>24</v>
      </c>
      <c r="Q304" s="5" t="s">
        <v>24</v>
      </c>
      <c r="R304" s="5" t="s">
        <v>24</v>
      </c>
      <c r="S304" s="5" t="s">
        <v>1852</v>
      </c>
      <c r="T304" s="5" t="s">
        <v>6238</v>
      </c>
      <c r="U304" s="5" t="s">
        <v>6238</v>
      </c>
      <c r="V304" s="5" t="s">
        <v>24</v>
      </c>
      <c r="W304" s="5" t="s">
        <v>24</v>
      </c>
      <c r="X304" s="5" t="s">
        <v>24</v>
      </c>
      <c r="Y304" s="5" t="s">
        <v>6239</v>
      </c>
      <c r="Z304" s="5" t="s">
        <v>6240</v>
      </c>
      <c r="AA304" s="5" t="s">
        <v>6240</v>
      </c>
      <c r="AB304" s="5"/>
    </row>
    <row r="305" ht="15.75" customHeight="1">
      <c r="A305" s="5" t="s">
        <v>6241</v>
      </c>
      <c r="B305" s="5" t="s">
        <v>6242</v>
      </c>
      <c r="C305" s="5" t="s">
        <v>5415</v>
      </c>
      <c r="D305" s="5" t="s">
        <v>24</v>
      </c>
      <c r="E305" s="5" t="s">
        <v>1849</v>
      </c>
      <c r="F305" s="5" t="s">
        <v>4963</v>
      </c>
      <c r="G305" s="5" t="s">
        <v>24</v>
      </c>
      <c r="H305" s="5" t="s">
        <v>24</v>
      </c>
      <c r="I305" s="5" t="s">
        <v>24</v>
      </c>
      <c r="J305" s="5" t="s">
        <v>24</v>
      </c>
      <c r="K305" s="5" t="s">
        <v>24</v>
      </c>
      <c r="L305" s="5" t="s">
        <v>24</v>
      </c>
      <c r="M305" s="5" t="s">
        <v>1885</v>
      </c>
      <c r="N305" s="5" t="s">
        <v>24</v>
      </c>
      <c r="O305" s="5" t="s">
        <v>1969</v>
      </c>
      <c r="P305" s="5" t="s">
        <v>24</v>
      </c>
      <c r="Q305" s="5" t="s">
        <v>24</v>
      </c>
      <c r="R305" s="5" t="s">
        <v>24</v>
      </c>
      <c r="S305" s="5" t="s">
        <v>1852</v>
      </c>
      <c r="T305" s="5" t="s">
        <v>2363</v>
      </c>
      <c r="U305" s="5" t="s">
        <v>2363</v>
      </c>
      <c r="V305" s="5" t="s">
        <v>24</v>
      </c>
      <c r="W305" s="5" t="s">
        <v>24</v>
      </c>
      <c r="X305" s="5" t="s">
        <v>24</v>
      </c>
      <c r="Y305" s="5" t="s">
        <v>6243</v>
      </c>
      <c r="Z305" s="5" t="s">
        <v>6244</v>
      </c>
      <c r="AA305" s="5" t="s">
        <v>6244</v>
      </c>
      <c r="AB305" s="5"/>
    </row>
    <row r="306" ht="15.75" customHeight="1">
      <c r="A306" s="5" t="s">
        <v>6245</v>
      </c>
      <c r="B306" s="5" t="s">
        <v>6246</v>
      </c>
      <c r="C306" s="5" t="s">
        <v>227</v>
      </c>
      <c r="D306" s="5" t="s">
        <v>24</v>
      </c>
      <c r="E306" s="5" t="s">
        <v>1849</v>
      </c>
      <c r="F306" s="5" t="s">
        <v>4963</v>
      </c>
      <c r="G306" s="5" t="s">
        <v>24</v>
      </c>
      <c r="H306" s="5" t="s">
        <v>24</v>
      </c>
      <c r="I306" s="5" t="s">
        <v>24</v>
      </c>
      <c r="J306" s="5" t="s">
        <v>24</v>
      </c>
      <c r="K306" s="5" t="s">
        <v>24</v>
      </c>
      <c r="L306" s="5" t="s">
        <v>24</v>
      </c>
      <c r="M306" s="5" t="s">
        <v>5607</v>
      </c>
      <c r="N306" s="5" t="s">
        <v>24</v>
      </c>
      <c r="O306" s="5" t="s">
        <v>24</v>
      </c>
      <c r="P306" s="5" t="s">
        <v>24</v>
      </c>
      <c r="Q306" s="5" t="s">
        <v>24</v>
      </c>
      <c r="R306" s="5" t="s">
        <v>24</v>
      </c>
      <c r="S306" s="5" t="s">
        <v>1852</v>
      </c>
      <c r="T306" s="5" t="s">
        <v>5384</v>
      </c>
      <c r="U306" s="5" t="s">
        <v>5384</v>
      </c>
      <c r="V306" s="5" t="s">
        <v>24</v>
      </c>
      <c r="W306" s="5" t="s">
        <v>24</v>
      </c>
      <c r="X306" s="5" t="s">
        <v>24</v>
      </c>
      <c r="Y306" s="5" t="s">
        <v>6247</v>
      </c>
      <c r="Z306" s="5" t="s">
        <v>6248</v>
      </c>
      <c r="AA306" s="5" t="s">
        <v>6248</v>
      </c>
      <c r="AB306" s="5"/>
    </row>
    <row r="307" ht="15.75" customHeight="1">
      <c r="A307" s="5" t="s">
        <v>6249</v>
      </c>
      <c r="B307" s="5" t="s">
        <v>6250</v>
      </c>
      <c r="C307" s="5" t="s">
        <v>139</v>
      </c>
      <c r="D307" s="5" t="s">
        <v>24</v>
      </c>
      <c r="E307" s="5" t="s">
        <v>1849</v>
      </c>
      <c r="F307" s="5" t="s">
        <v>4963</v>
      </c>
      <c r="G307" s="5" t="s">
        <v>24</v>
      </c>
      <c r="H307" s="5" t="s">
        <v>24</v>
      </c>
      <c r="I307" s="5" t="s">
        <v>24</v>
      </c>
      <c r="J307" s="5" t="s">
        <v>24</v>
      </c>
      <c r="K307" s="5" t="s">
        <v>24</v>
      </c>
      <c r="L307" s="5" t="s">
        <v>24</v>
      </c>
      <c r="M307" s="5" t="s">
        <v>24</v>
      </c>
      <c r="N307" s="5" t="s">
        <v>24</v>
      </c>
      <c r="O307" s="5" t="s">
        <v>1933</v>
      </c>
      <c r="P307" s="5" t="s">
        <v>24</v>
      </c>
      <c r="Q307" s="5" t="s">
        <v>24</v>
      </c>
      <c r="R307" s="5" t="s">
        <v>24</v>
      </c>
      <c r="S307" s="5" t="s">
        <v>1852</v>
      </c>
      <c r="T307" s="5" t="s">
        <v>5584</v>
      </c>
      <c r="U307" s="5" t="s">
        <v>5584</v>
      </c>
      <c r="V307" s="5" t="s">
        <v>24</v>
      </c>
      <c r="W307" s="5" t="s">
        <v>24</v>
      </c>
      <c r="X307" s="5" t="s">
        <v>24</v>
      </c>
      <c r="Y307" s="5" t="s">
        <v>6251</v>
      </c>
      <c r="Z307" s="5" t="s">
        <v>6252</v>
      </c>
      <c r="AA307" s="5" t="s">
        <v>6252</v>
      </c>
      <c r="AB307" s="5"/>
    </row>
    <row r="308" ht="15.75" customHeight="1">
      <c r="A308" s="5" t="s">
        <v>6253</v>
      </c>
      <c r="B308" s="5" t="s">
        <v>6254</v>
      </c>
      <c r="C308" s="5" t="s">
        <v>5013</v>
      </c>
      <c r="D308" s="5" t="s">
        <v>24</v>
      </c>
      <c r="E308" s="5" t="s">
        <v>1849</v>
      </c>
      <c r="F308" s="5" t="s">
        <v>4963</v>
      </c>
      <c r="G308" s="5" t="s">
        <v>24</v>
      </c>
      <c r="H308" s="5" t="s">
        <v>24</v>
      </c>
      <c r="I308" s="5" t="s">
        <v>24</v>
      </c>
      <c r="J308" s="5" t="s">
        <v>24</v>
      </c>
      <c r="K308" s="5" t="s">
        <v>24</v>
      </c>
      <c r="L308" s="5" t="s">
        <v>24</v>
      </c>
      <c r="M308" s="5" t="s">
        <v>1885</v>
      </c>
      <c r="N308" s="5" t="s">
        <v>24</v>
      </c>
      <c r="O308" s="5" t="s">
        <v>24</v>
      </c>
      <c r="P308" s="5" t="s">
        <v>24</v>
      </c>
      <c r="Q308" s="5" t="s">
        <v>24</v>
      </c>
      <c r="R308" s="5" t="s">
        <v>24</v>
      </c>
      <c r="S308" s="5" t="s">
        <v>1852</v>
      </c>
      <c r="T308" s="5" t="s">
        <v>2271</v>
      </c>
      <c r="U308" s="5" t="s">
        <v>2271</v>
      </c>
      <c r="V308" s="5" t="s">
        <v>24</v>
      </c>
      <c r="W308" s="5" t="s">
        <v>24</v>
      </c>
      <c r="X308" s="5" t="s">
        <v>24</v>
      </c>
      <c r="Y308" s="5" t="s">
        <v>6255</v>
      </c>
      <c r="Z308" s="5" t="s">
        <v>6256</v>
      </c>
      <c r="AA308" s="5" t="s">
        <v>6256</v>
      </c>
      <c r="AB308" s="5"/>
    </row>
    <row r="309" ht="15.75" customHeight="1">
      <c r="A309" s="5" t="s">
        <v>6257</v>
      </c>
      <c r="B309" s="5" t="s">
        <v>6258</v>
      </c>
      <c r="C309" s="5" t="s">
        <v>117</v>
      </c>
      <c r="D309" s="5" t="s">
        <v>24</v>
      </c>
      <c r="E309" s="5" t="s">
        <v>1849</v>
      </c>
      <c r="F309" s="5" t="s">
        <v>4963</v>
      </c>
      <c r="G309" s="5" t="s">
        <v>24</v>
      </c>
      <c r="H309" s="5" t="s">
        <v>24</v>
      </c>
      <c r="I309" s="5" t="s">
        <v>24</v>
      </c>
      <c r="J309" s="5" t="s">
        <v>24</v>
      </c>
      <c r="K309" s="5" t="s">
        <v>24</v>
      </c>
      <c r="L309" s="5" t="s">
        <v>24</v>
      </c>
      <c r="M309" s="5" t="s">
        <v>24</v>
      </c>
      <c r="N309" s="5" t="s">
        <v>24</v>
      </c>
      <c r="O309" s="5" t="s">
        <v>1851</v>
      </c>
      <c r="P309" s="5" t="s">
        <v>24</v>
      </c>
      <c r="Q309" s="5" t="s">
        <v>24</v>
      </c>
      <c r="R309" s="5" t="s">
        <v>24</v>
      </c>
      <c r="S309" s="5" t="s">
        <v>1852</v>
      </c>
      <c r="T309" s="5" t="s">
        <v>5884</v>
      </c>
      <c r="U309" s="5" t="s">
        <v>5884</v>
      </c>
      <c r="V309" s="5" t="s">
        <v>24</v>
      </c>
      <c r="W309" s="5" t="s">
        <v>24</v>
      </c>
      <c r="X309" s="5" t="s">
        <v>24</v>
      </c>
      <c r="Y309" s="5" t="s">
        <v>6259</v>
      </c>
      <c r="Z309" s="5" t="s">
        <v>6260</v>
      </c>
      <c r="AA309" s="5" t="s">
        <v>6260</v>
      </c>
      <c r="AB309" s="5"/>
    </row>
    <row r="310" ht="15.75" customHeight="1">
      <c r="A310" s="5" t="s">
        <v>6261</v>
      </c>
      <c r="B310" s="5" t="s">
        <v>6262</v>
      </c>
      <c r="C310" s="5" t="s">
        <v>5138</v>
      </c>
      <c r="D310" s="5" t="s">
        <v>24</v>
      </c>
      <c r="E310" s="5" t="s">
        <v>1849</v>
      </c>
      <c r="F310" s="5" t="s">
        <v>4963</v>
      </c>
      <c r="G310" s="5" t="s">
        <v>24</v>
      </c>
      <c r="H310" s="5" t="s">
        <v>24</v>
      </c>
      <c r="I310" s="5" t="s">
        <v>24</v>
      </c>
      <c r="J310" s="5" t="s">
        <v>24</v>
      </c>
      <c r="K310" s="5" t="s">
        <v>24</v>
      </c>
      <c r="L310" s="5" t="s">
        <v>24</v>
      </c>
      <c r="M310" s="5" t="s">
        <v>24</v>
      </c>
      <c r="N310" s="5" t="s">
        <v>24</v>
      </c>
      <c r="O310" s="5" t="s">
        <v>1933</v>
      </c>
      <c r="P310" s="5" t="s">
        <v>24</v>
      </c>
      <c r="Q310" s="5" t="s">
        <v>24</v>
      </c>
      <c r="R310" s="5" t="s">
        <v>24</v>
      </c>
      <c r="S310" s="5" t="s">
        <v>1852</v>
      </c>
      <c r="T310" s="5" t="s">
        <v>5325</v>
      </c>
      <c r="U310" s="5" t="s">
        <v>5325</v>
      </c>
      <c r="V310" s="5" t="s">
        <v>24</v>
      </c>
      <c r="W310" s="5" t="s">
        <v>24</v>
      </c>
      <c r="X310" s="5" t="s">
        <v>24</v>
      </c>
      <c r="Y310" s="5" t="s">
        <v>6263</v>
      </c>
      <c r="Z310" s="5" t="s">
        <v>6264</v>
      </c>
      <c r="AA310" s="5" t="s">
        <v>6264</v>
      </c>
      <c r="AB310" s="5"/>
    </row>
    <row r="311" ht="15.75" customHeight="1">
      <c r="A311" s="5" t="s">
        <v>6265</v>
      </c>
      <c r="B311" s="5" t="s">
        <v>6266</v>
      </c>
      <c r="C311" s="5" t="s">
        <v>139</v>
      </c>
      <c r="D311" s="5" t="s">
        <v>24</v>
      </c>
      <c r="E311" s="5" t="s">
        <v>1849</v>
      </c>
      <c r="F311" s="5" t="s">
        <v>4963</v>
      </c>
      <c r="G311" s="5" t="s">
        <v>24</v>
      </c>
      <c r="H311" s="5" t="s">
        <v>24</v>
      </c>
      <c r="I311" s="5" t="s">
        <v>24</v>
      </c>
      <c r="J311" s="5" t="s">
        <v>24</v>
      </c>
      <c r="K311" s="5" t="s">
        <v>24</v>
      </c>
      <c r="L311" s="5" t="s">
        <v>24</v>
      </c>
      <c r="M311" s="5" t="s">
        <v>1885</v>
      </c>
      <c r="N311" s="5" t="s">
        <v>24</v>
      </c>
      <c r="O311" s="5" t="s">
        <v>1894</v>
      </c>
      <c r="P311" s="5" t="s">
        <v>24</v>
      </c>
      <c r="Q311" s="5" t="s">
        <v>24</v>
      </c>
      <c r="R311" s="5" t="s">
        <v>24</v>
      </c>
      <c r="S311" s="5" t="s">
        <v>1852</v>
      </c>
      <c r="T311" s="5" t="s">
        <v>1923</v>
      </c>
      <c r="U311" s="5" t="s">
        <v>1923</v>
      </c>
      <c r="V311" s="5" t="s">
        <v>24</v>
      </c>
      <c r="W311" s="5" t="s">
        <v>24</v>
      </c>
      <c r="X311" s="5" t="s">
        <v>24</v>
      </c>
      <c r="Y311" s="5" t="s">
        <v>6267</v>
      </c>
      <c r="Z311" s="5" t="s">
        <v>6268</v>
      </c>
      <c r="AA311" s="5" t="s">
        <v>6268</v>
      </c>
      <c r="AB311" s="5"/>
    </row>
    <row r="312" ht="15.75" customHeight="1">
      <c r="A312" s="5" t="s">
        <v>6269</v>
      </c>
      <c r="B312" s="5" t="s">
        <v>6270</v>
      </c>
      <c r="C312" s="5" t="s">
        <v>5415</v>
      </c>
      <c r="D312" s="5" t="s">
        <v>24</v>
      </c>
      <c r="E312" s="5" t="s">
        <v>1849</v>
      </c>
      <c r="F312" s="5" t="s">
        <v>4963</v>
      </c>
      <c r="G312" s="5" t="s">
        <v>24</v>
      </c>
      <c r="H312" s="5" t="s">
        <v>24</v>
      </c>
      <c r="I312" s="5" t="s">
        <v>24</v>
      </c>
      <c r="J312" s="5" t="s">
        <v>24</v>
      </c>
      <c r="K312" s="5" t="s">
        <v>24</v>
      </c>
      <c r="L312" s="5" t="s">
        <v>24</v>
      </c>
      <c r="M312" s="5" t="s">
        <v>1885</v>
      </c>
      <c r="N312" s="5" t="s">
        <v>24</v>
      </c>
      <c r="O312" s="5" t="s">
        <v>1894</v>
      </c>
      <c r="P312" s="5" t="s">
        <v>24</v>
      </c>
      <c r="Q312" s="5" t="s">
        <v>24</v>
      </c>
      <c r="R312" s="5" t="s">
        <v>24</v>
      </c>
      <c r="S312" s="5" t="s">
        <v>2020</v>
      </c>
      <c r="T312" s="5" t="s">
        <v>2021</v>
      </c>
      <c r="U312" s="5" t="s">
        <v>2021</v>
      </c>
      <c r="V312" s="5" t="s">
        <v>24</v>
      </c>
      <c r="W312" s="5" t="s">
        <v>24</v>
      </c>
      <c r="X312" s="5" t="s">
        <v>24</v>
      </c>
      <c r="Y312" s="5" t="s">
        <v>6271</v>
      </c>
      <c r="Z312" s="5" t="s">
        <v>6272</v>
      </c>
      <c r="AA312" s="5" t="s">
        <v>6272</v>
      </c>
      <c r="AB312" s="5"/>
    </row>
    <row r="313" ht="15.75" customHeight="1">
      <c r="A313" s="5" t="s">
        <v>6273</v>
      </c>
      <c r="B313" s="5" t="s">
        <v>6274</v>
      </c>
      <c r="C313" s="5" t="s">
        <v>227</v>
      </c>
      <c r="D313" s="5" t="s">
        <v>24</v>
      </c>
      <c r="E313" s="5" t="s">
        <v>1849</v>
      </c>
      <c r="F313" s="5" t="s">
        <v>4963</v>
      </c>
      <c r="G313" s="5" t="s">
        <v>24</v>
      </c>
      <c r="H313" s="5" t="s">
        <v>24</v>
      </c>
      <c r="I313" s="5" t="s">
        <v>24</v>
      </c>
      <c r="J313" s="5" t="s">
        <v>24</v>
      </c>
      <c r="K313" s="5" t="s">
        <v>24</v>
      </c>
      <c r="L313" s="5" t="s">
        <v>24</v>
      </c>
      <c r="M313" s="5" t="s">
        <v>5607</v>
      </c>
      <c r="N313" s="5" t="s">
        <v>24</v>
      </c>
      <c r="O313" s="5" t="s">
        <v>24</v>
      </c>
      <c r="P313" s="5" t="s">
        <v>24</v>
      </c>
      <c r="Q313" s="5" t="s">
        <v>24</v>
      </c>
      <c r="R313" s="5" t="s">
        <v>24</v>
      </c>
      <c r="S313" s="5" t="s">
        <v>1852</v>
      </c>
      <c r="T313" s="5" t="s">
        <v>5384</v>
      </c>
      <c r="U313" s="5" t="s">
        <v>5384</v>
      </c>
      <c r="V313" s="5" t="s">
        <v>24</v>
      </c>
      <c r="W313" s="5" t="s">
        <v>24</v>
      </c>
      <c r="X313" s="5" t="s">
        <v>24</v>
      </c>
      <c r="Y313" s="5" t="s">
        <v>6275</v>
      </c>
      <c r="Z313" s="5" t="s">
        <v>6276</v>
      </c>
      <c r="AA313" s="5" t="s">
        <v>6276</v>
      </c>
      <c r="AB313" s="5"/>
    </row>
    <row r="314" ht="15.75" customHeight="1">
      <c r="A314" s="5" t="s">
        <v>6277</v>
      </c>
      <c r="B314" s="5" t="s">
        <v>6278</v>
      </c>
      <c r="C314" s="5" t="s">
        <v>139</v>
      </c>
      <c r="D314" s="5" t="s">
        <v>24</v>
      </c>
      <c r="E314" s="5" t="s">
        <v>1849</v>
      </c>
      <c r="F314" s="5" t="s">
        <v>4963</v>
      </c>
      <c r="G314" s="5" t="s">
        <v>24</v>
      </c>
      <c r="H314" s="5" t="s">
        <v>24</v>
      </c>
      <c r="I314" s="5" t="s">
        <v>24</v>
      </c>
      <c r="J314" s="5" t="s">
        <v>24</v>
      </c>
      <c r="K314" s="5" t="s">
        <v>24</v>
      </c>
      <c r="L314" s="5" t="s">
        <v>24</v>
      </c>
      <c r="M314" s="5" t="s">
        <v>24</v>
      </c>
      <c r="N314" s="5" t="s">
        <v>24</v>
      </c>
      <c r="O314" s="5" t="s">
        <v>1933</v>
      </c>
      <c r="P314" s="5" t="s">
        <v>24</v>
      </c>
      <c r="Q314" s="5" t="s">
        <v>24</v>
      </c>
      <c r="R314" s="5" t="s">
        <v>24</v>
      </c>
      <c r="S314" s="5" t="s">
        <v>1852</v>
      </c>
      <c r="T314" s="5" t="s">
        <v>5584</v>
      </c>
      <c r="U314" s="5" t="s">
        <v>5584</v>
      </c>
      <c r="V314" s="5" t="s">
        <v>24</v>
      </c>
      <c r="W314" s="5" t="s">
        <v>24</v>
      </c>
      <c r="X314" s="5" t="s">
        <v>24</v>
      </c>
      <c r="Y314" s="5" t="s">
        <v>6279</v>
      </c>
      <c r="Z314" s="5" t="s">
        <v>6280</v>
      </c>
      <c r="AA314" s="5" t="s">
        <v>6280</v>
      </c>
      <c r="AB314" s="5"/>
    </row>
    <row r="315" ht="15.75" customHeight="1">
      <c r="A315" s="5" t="s">
        <v>6281</v>
      </c>
      <c r="B315" s="5" t="s">
        <v>6282</v>
      </c>
      <c r="C315" s="5" t="s">
        <v>227</v>
      </c>
      <c r="D315" s="5" t="s">
        <v>24</v>
      </c>
      <c r="E315" s="5" t="s">
        <v>1849</v>
      </c>
      <c r="F315" s="5" t="s">
        <v>4963</v>
      </c>
      <c r="G315" s="5" t="s">
        <v>24</v>
      </c>
      <c r="H315" s="5" t="s">
        <v>24</v>
      </c>
      <c r="I315" s="5" t="s">
        <v>24</v>
      </c>
      <c r="J315" s="5" t="s">
        <v>24</v>
      </c>
      <c r="K315" s="5" t="s">
        <v>24</v>
      </c>
      <c r="L315" s="5" t="s">
        <v>24</v>
      </c>
      <c r="M315" s="5" t="s">
        <v>24</v>
      </c>
      <c r="N315" s="5" t="s">
        <v>24</v>
      </c>
      <c r="O315" s="5" t="s">
        <v>1933</v>
      </c>
      <c r="P315" s="5" t="s">
        <v>24</v>
      </c>
      <c r="Q315" s="5" t="s">
        <v>24</v>
      </c>
      <c r="R315" s="5" t="s">
        <v>24</v>
      </c>
      <c r="S315" s="5" t="s">
        <v>1852</v>
      </c>
      <c r="T315" s="5" t="s">
        <v>6150</v>
      </c>
      <c r="U315" s="5" t="s">
        <v>6150</v>
      </c>
      <c r="V315" s="5" t="s">
        <v>24</v>
      </c>
      <c r="W315" s="5" t="s">
        <v>24</v>
      </c>
      <c r="X315" s="5" t="s">
        <v>24</v>
      </c>
      <c r="Y315" s="5" t="s">
        <v>6283</v>
      </c>
      <c r="Z315" s="5" t="s">
        <v>6284</v>
      </c>
      <c r="AA315" s="5" t="s">
        <v>6284</v>
      </c>
      <c r="AB315" s="5"/>
    </row>
    <row r="316" ht="15.75" customHeight="1">
      <c r="A316" s="5" t="s">
        <v>6285</v>
      </c>
      <c r="B316" s="5" t="s">
        <v>6286</v>
      </c>
      <c r="C316" s="5" t="s">
        <v>5415</v>
      </c>
      <c r="D316" s="5" t="s">
        <v>24</v>
      </c>
      <c r="E316" s="5" t="s">
        <v>1849</v>
      </c>
      <c r="F316" s="5" t="s">
        <v>4963</v>
      </c>
      <c r="G316" s="5" t="s">
        <v>24</v>
      </c>
      <c r="H316" s="5" t="s">
        <v>24</v>
      </c>
      <c r="I316" s="5" t="s">
        <v>24</v>
      </c>
      <c r="J316" s="5" t="s">
        <v>24</v>
      </c>
      <c r="K316" s="5" t="s">
        <v>24</v>
      </c>
      <c r="L316" s="5" t="s">
        <v>24</v>
      </c>
      <c r="M316" s="5" t="s">
        <v>1885</v>
      </c>
      <c r="N316" s="5" t="s">
        <v>24</v>
      </c>
      <c r="O316" s="5" t="s">
        <v>3994</v>
      </c>
      <c r="P316" s="5" t="s">
        <v>24</v>
      </c>
      <c r="Q316" s="5" t="s">
        <v>24</v>
      </c>
      <c r="R316" s="5" t="s">
        <v>24</v>
      </c>
      <c r="S316" s="5" t="s">
        <v>1852</v>
      </c>
      <c r="T316" s="5" t="s">
        <v>2363</v>
      </c>
      <c r="U316" s="5" t="s">
        <v>2363</v>
      </c>
      <c r="V316" s="5" t="s">
        <v>24</v>
      </c>
      <c r="W316" s="5" t="s">
        <v>24</v>
      </c>
      <c r="X316" s="5" t="s">
        <v>24</v>
      </c>
      <c r="Y316" s="5" t="s">
        <v>6287</v>
      </c>
      <c r="Z316" s="5" t="s">
        <v>6288</v>
      </c>
      <c r="AA316" s="5" t="s">
        <v>6288</v>
      </c>
      <c r="AB316" s="5"/>
    </row>
    <row r="317" ht="15.75" customHeight="1">
      <c r="A317" s="5" t="s">
        <v>6289</v>
      </c>
      <c r="B317" s="5" t="s">
        <v>6290</v>
      </c>
      <c r="C317" s="5" t="s">
        <v>106</v>
      </c>
      <c r="D317" s="5" t="s">
        <v>24</v>
      </c>
      <c r="E317" s="5" t="s">
        <v>1849</v>
      </c>
      <c r="F317" s="5" t="s">
        <v>4963</v>
      </c>
      <c r="G317" s="5" t="s">
        <v>24</v>
      </c>
      <c r="H317" s="5" t="s">
        <v>24</v>
      </c>
      <c r="I317" s="5" t="s">
        <v>24</v>
      </c>
      <c r="J317" s="5" t="s">
        <v>24</v>
      </c>
      <c r="K317" s="5" t="s">
        <v>24</v>
      </c>
      <c r="L317" s="5" t="s">
        <v>24</v>
      </c>
      <c r="M317" s="5" t="s">
        <v>24</v>
      </c>
      <c r="N317" s="5" t="s">
        <v>24</v>
      </c>
      <c r="O317" s="5" t="s">
        <v>1851</v>
      </c>
      <c r="P317" s="5" t="s">
        <v>24</v>
      </c>
      <c r="Q317" s="5" t="s">
        <v>24</v>
      </c>
      <c r="R317" s="5" t="s">
        <v>24</v>
      </c>
      <c r="S317" s="5" t="s">
        <v>1852</v>
      </c>
      <c r="T317" s="5" t="s">
        <v>4743</v>
      </c>
      <c r="U317" s="5" t="s">
        <v>4743</v>
      </c>
      <c r="V317" s="5" t="s">
        <v>24</v>
      </c>
      <c r="W317" s="5" t="s">
        <v>24</v>
      </c>
      <c r="X317" s="5" t="s">
        <v>24</v>
      </c>
      <c r="Y317" s="5" t="s">
        <v>6291</v>
      </c>
      <c r="Z317" s="5" t="s">
        <v>6292</v>
      </c>
      <c r="AA317" s="5" t="s">
        <v>6292</v>
      </c>
      <c r="AB317" s="5"/>
    </row>
    <row r="318" ht="15.75" customHeight="1">
      <c r="A318" s="5" t="s">
        <v>6293</v>
      </c>
      <c r="B318" s="5" t="s">
        <v>6294</v>
      </c>
      <c r="C318" s="5" t="s">
        <v>139</v>
      </c>
      <c r="D318" s="5" t="s">
        <v>24</v>
      </c>
      <c r="E318" s="5" t="s">
        <v>1849</v>
      </c>
      <c r="F318" s="5" t="s">
        <v>4963</v>
      </c>
      <c r="G318" s="5" t="s">
        <v>24</v>
      </c>
      <c r="H318" s="5" t="s">
        <v>24</v>
      </c>
      <c r="I318" s="5" t="s">
        <v>24</v>
      </c>
      <c r="J318" s="5" t="s">
        <v>24</v>
      </c>
      <c r="K318" s="5" t="s">
        <v>24</v>
      </c>
      <c r="L318" s="5" t="s">
        <v>24</v>
      </c>
      <c r="M318" s="5" t="s">
        <v>24</v>
      </c>
      <c r="N318" s="5" t="s">
        <v>24</v>
      </c>
      <c r="O318" s="5" t="s">
        <v>1949</v>
      </c>
      <c r="P318" s="5" t="s">
        <v>24</v>
      </c>
      <c r="Q318" s="5" t="s">
        <v>24</v>
      </c>
      <c r="R318" s="5" t="s">
        <v>24</v>
      </c>
      <c r="S318" s="5" t="s">
        <v>1852</v>
      </c>
      <c r="T318" s="5" t="s">
        <v>2627</v>
      </c>
      <c r="U318" s="5" t="s">
        <v>2627</v>
      </c>
      <c r="V318" s="5" t="s">
        <v>24</v>
      </c>
      <c r="W318" s="5" t="s">
        <v>24</v>
      </c>
      <c r="X318" s="5" t="s">
        <v>24</v>
      </c>
      <c r="Y318" s="5" t="s">
        <v>6295</v>
      </c>
      <c r="Z318" s="5" t="s">
        <v>6296</v>
      </c>
      <c r="AA318" s="5" t="s">
        <v>6296</v>
      </c>
      <c r="AB318" s="5"/>
    </row>
    <row r="319" ht="15.75" customHeight="1">
      <c r="A319" s="5" t="s">
        <v>6297</v>
      </c>
      <c r="B319" s="5" t="s">
        <v>6298</v>
      </c>
      <c r="C319" s="5" t="s">
        <v>227</v>
      </c>
      <c r="D319" s="5" t="s">
        <v>24</v>
      </c>
      <c r="E319" s="5" t="s">
        <v>1849</v>
      </c>
      <c r="F319" s="5" t="s">
        <v>4963</v>
      </c>
      <c r="G319" s="5" t="s">
        <v>24</v>
      </c>
      <c r="H319" s="5" t="s">
        <v>24</v>
      </c>
      <c r="I319" s="5" t="s">
        <v>24</v>
      </c>
      <c r="J319" s="5" t="s">
        <v>24</v>
      </c>
      <c r="K319" s="5" t="s">
        <v>24</v>
      </c>
      <c r="L319" s="5" t="s">
        <v>24</v>
      </c>
      <c r="M319" s="5" t="s">
        <v>24</v>
      </c>
      <c r="N319" s="5" t="s">
        <v>24</v>
      </c>
      <c r="O319" s="5" t="s">
        <v>4139</v>
      </c>
      <c r="P319" s="5" t="s">
        <v>24</v>
      </c>
      <c r="Q319" s="5" t="s">
        <v>24</v>
      </c>
      <c r="R319" s="5" t="s">
        <v>24</v>
      </c>
      <c r="S319" s="5" t="s">
        <v>1852</v>
      </c>
      <c r="T319" s="5" t="s">
        <v>5384</v>
      </c>
      <c r="U319" s="5" t="s">
        <v>5384</v>
      </c>
      <c r="V319" s="5" t="s">
        <v>24</v>
      </c>
      <c r="W319" s="5" t="s">
        <v>24</v>
      </c>
      <c r="X319" s="5" t="s">
        <v>24</v>
      </c>
      <c r="Y319" s="5" t="s">
        <v>6299</v>
      </c>
      <c r="Z319" s="5" t="s">
        <v>6300</v>
      </c>
      <c r="AA319" s="5" t="s">
        <v>6300</v>
      </c>
      <c r="AB319" s="5"/>
    </row>
    <row r="320" ht="15.75" customHeight="1">
      <c r="A320" s="5" t="s">
        <v>6301</v>
      </c>
      <c r="B320" s="5" t="s">
        <v>6302</v>
      </c>
      <c r="C320" s="5" t="s">
        <v>503</v>
      </c>
      <c r="D320" s="5" t="s">
        <v>24</v>
      </c>
      <c r="E320" s="5" t="s">
        <v>1849</v>
      </c>
      <c r="F320" s="5" t="s">
        <v>4963</v>
      </c>
      <c r="G320" s="5" t="s">
        <v>24</v>
      </c>
      <c r="H320" s="5" t="s">
        <v>24</v>
      </c>
      <c r="I320" s="5" t="s">
        <v>24</v>
      </c>
      <c r="J320" s="5" t="s">
        <v>24</v>
      </c>
      <c r="K320" s="5" t="s">
        <v>24</v>
      </c>
      <c r="L320" s="5" t="s">
        <v>24</v>
      </c>
      <c r="M320" s="5" t="s">
        <v>1885</v>
      </c>
      <c r="N320" s="5" t="s">
        <v>24</v>
      </c>
      <c r="O320" s="5" t="s">
        <v>4258</v>
      </c>
      <c r="P320" s="5" t="s">
        <v>24</v>
      </c>
      <c r="Q320" s="5" t="s">
        <v>24</v>
      </c>
      <c r="R320" s="5" t="s">
        <v>24</v>
      </c>
      <c r="S320" s="5" t="s">
        <v>1852</v>
      </c>
      <c r="T320" s="5" t="s">
        <v>1939</v>
      </c>
      <c r="U320" s="5" t="s">
        <v>1939</v>
      </c>
      <c r="V320" s="5" t="s">
        <v>24</v>
      </c>
      <c r="W320" s="5" t="s">
        <v>24</v>
      </c>
      <c r="X320" s="5" t="s">
        <v>24</v>
      </c>
      <c r="Y320" s="5" t="s">
        <v>6303</v>
      </c>
      <c r="Z320" s="5" t="s">
        <v>6304</v>
      </c>
      <c r="AA320" s="5" t="s">
        <v>6304</v>
      </c>
      <c r="AB320" s="5"/>
    </row>
    <row r="321" ht="15.75" customHeight="1">
      <c r="A321" s="5" t="s">
        <v>6305</v>
      </c>
      <c r="B321" s="5" t="s">
        <v>6306</v>
      </c>
      <c r="C321" s="5" t="s">
        <v>5138</v>
      </c>
      <c r="D321" s="5" t="s">
        <v>24</v>
      </c>
      <c r="E321" s="5" t="s">
        <v>1849</v>
      </c>
      <c r="F321" s="5" t="s">
        <v>4963</v>
      </c>
      <c r="G321" s="5" t="s">
        <v>24</v>
      </c>
      <c r="H321" s="5" t="s">
        <v>24</v>
      </c>
      <c r="I321" s="5" t="s">
        <v>24</v>
      </c>
      <c r="J321" s="5" t="s">
        <v>24</v>
      </c>
      <c r="K321" s="5" t="s">
        <v>24</v>
      </c>
      <c r="L321" s="5" t="s">
        <v>24</v>
      </c>
      <c r="M321" s="5" t="s">
        <v>24</v>
      </c>
      <c r="N321" s="5" t="s">
        <v>24</v>
      </c>
      <c r="O321" s="5" t="s">
        <v>1933</v>
      </c>
      <c r="P321" s="5" t="s">
        <v>24</v>
      </c>
      <c r="Q321" s="5" t="s">
        <v>24</v>
      </c>
      <c r="R321" s="5" t="s">
        <v>24</v>
      </c>
      <c r="S321" s="5" t="s">
        <v>1852</v>
      </c>
      <c r="T321" s="5" t="s">
        <v>5534</v>
      </c>
      <c r="U321" s="5" t="s">
        <v>5534</v>
      </c>
      <c r="V321" s="5" t="s">
        <v>24</v>
      </c>
      <c r="W321" s="5" t="s">
        <v>24</v>
      </c>
      <c r="X321" s="5" t="s">
        <v>24</v>
      </c>
      <c r="Y321" s="5" t="s">
        <v>6307</v>
      </c>
      <c r="Z321" s="5" t="s">
        <v>6308</v>
      </c>
      <c r="AA321" s="5" t="s">
        <v>6308</v>
      </c>
      <c r="AB321" s="5"/>
    </row>
    <row r="322" ht="15.75" customHeight="1">
      <c r="A322" s="5" t="s">
        <v>6309</v>
      </c>
      <c r="B322" s="5" t="s">
        <v>6310</v>
      </c>
      <c r="C322" s="5" t="s">
        <v>2126</v>
      </c>
      <c r="D322" s="5" t="s">
        <v>24</v>
      </c>
      <c r="E322" s="5" t="s">
        <v>1849</v>
      </c>
      <c r="F322" s="5" t="s">
        <v>4963</v>
      </c>
      <c r="G322" s="5" t="s">
        <v>24</v>
      </c>
      <c r="H322" s="5" t="s">
        <v>24</v>
      </c>
      <c r="I322" s="5" t="s">
        <v>24</v>
      </c>
      <c r="J322" s="5" t="s">
        <v>24</v>
      </c>
      <c r="K322" s="5" t="s">
        <v>24</v>
      </c>
      <c r="L322" s="5" t="s">
        <v>24</v>
      </c>
      <c r="M322" s="5" t="s">
        <v>1885</v>
      </c>
      <c r="N322" s="5" t="s">
        <v>24</v>
      </c>
      <c r="O322" s="5" t="s">
        <v>24</v>
      </c>
      <c r="P322" s="5" t="s">
        <v>24</v>
      </c>
      <c r="Q322" s="5" t="s">
        <v>24</v>
      </c>
      <c r="R322" s="5" t="s">
        <v>24</v>
      </c>
      <c r="S322" s="5" t="s">
        <v>1852</v>
      </c>
      <c r="T322" s="5" t="s">
        <v>5125</v>
      </c>
      <c r="U322" s="5" t="s">
        <v>5125</v>
      </c>
      <c r="V322" s="5" t="s">
        <v>24</v>
      </c>
      <c r="W322" s="5" t="s">
        <v>24</v>
      </c>
      <c r="X322" s="5" t="s">
        <v>24</v>
      </c>
      <c r="Y322" s="5" t="s">
        <v>6311</v>
      </c>
      <c r="Z322" s="5" t="s">
        <v>6312</v>
      </c>
      <c r="AA322" s="5" t="s">
        <v>6312</v>
      </c>
      <c r="AB322" s="5"/>
    </row>
    <row r="323" ht="15.75" customHeight="1">
      <c r="A323" s="5" t="s">
        <v>6313</v>
      </c>
      <c r="B323" s="5" t="s">
        <v>6314</v>
      </c>
      <c r="C323" s="5" t="s">
        <v>2126</v>
      </c>
      <c r="D323" s="5" t="s">
        <v>24</v>
      </c>
      <c r="E323" s="5" t="s">
        <v>1849</v>
      </c>
      <c r="F323" s="5" t="s">
        <v>4963</v>
      </c>
      <c r="G323" s="5" t="s">
        <v>24</v>
      </c>
      <c r="H323" s="5" t="s">
        <v>24</v>
      </c>
      <c r="I323" s="5" t="s">
        <v>24</v>
      </c>
      <c r="J323" s="5" t="s">
        <v>24</v>
      </c>
      <c r="K323" s="5" t="s">
        <v>24</v>
      </c>
      <c r="L323" s="5" t="s">
        <v>24</v>
      </c>
      <c r="M323" s="5" t="s">
        <v>24</v>
      </c>
      <c r="N323" s="5" t="s">
        <v>24</v>
      </c>
      <c r="O323" s="5" t="s">
        <v>1933</v>
      </c>
      <c r="P323" s="5" t="s">
        <v>24</v>
      </c>
      <c r="Q323" s="5" t="s">
        <v>24</v>
      </c>
      <c r="R323" s="5" t="s">
        <v>24</v>
      </c>
      <c r="S323" s="5" t="s">
        <v>1852</v>
      </c>
      <c r="T323" s="5" t="s">
        <v>3109</v>
      </c>
      <c r="U323" s="5" t="s">
        <v>3109</v>
      </c>
      <c r="V323" s="5" t="s">
        <v>24</v>
      </c>
      <c r="W323" s="5" t="s">
        <v>24</v>
      </c>
      <c r="X323" s="5" t="s">
        <v>24</v>
      </c>
      <c r="Y323" s="5" t="s">
        <v>6315</v>
      </c>
      <c r="Z323" s="5" t="s">
        <v>6316</v>
      </c>
      <c r="AA323" s="5" t="s">
        <v>6316</v>
      </c>
      <c r="AB323" s="5"/>
    </row>
    <row r="324" ht="15.75" customHeight="1">
      <c r="A324" s="5" t="s">
        <v>6317</v>
      </c>
      <c r="B324" s="5" t="s">
        <v>6318</v>
      </c>
      <c r="C324" s="5" t="s">
        <v>227</v>
      </c>
      <c r="D324" s="5" t="s">
        <v>24</v>
      </c>
      <c r="E324" s="5" t="s">
        <v>1849</v>
      </c>
      <c r="F324" s="5" t="s">
        <v>4963</v>
      </c>
      <c r="G324" s="5" t="s">
        <v>24</v>
      </c>
      <c r="H324" s="5" t="s">
        <v>24</v>
      </c>
      <c r="I324" s="5" t="s">
        <v>24</v>
      </c>
      <c r="J324" s="5" t="s">
        <v>24</v>
      </c>
      <c r="K324" s="5" t="s">
        <v>24</v>
      </c>
      <c r="L324" s="5" t="s">
        <v>24</v>
      </c>
      <c r="M324" s="5" t="s">
        <v>24</v>
      </c>
      <c r="N324" s="5" t="s">
        <v>24</v>
      </c>
      <c r="O324" s="5" t="s">
        <v>1933</v>
      </c>
      <c r="P324" s="5" t="s">
        <v>24</v>
      </c>
      <c r="Q324" s="5" t="s">
        <v>24</v>
      </c>
      <c r="R324" s="5" t="s">
        <v>24</v>
      </c>
      <c r="S324" s="5" t="s">
        <v>1852</v>
      </c>
      <c r="T324" s="5" t="s">
        <v>6150</v>
      </c>
      <c r="U324" s="5" t="s">
        <v>6150</v>
      </c>
      <c r="V324" s="5" t="s">
        <v>24</v>
      </c>
      <c r="W324" s="5" t="s">
        <v>24</v>
      </c>
      <c r="X324" s="5" t="s">
        <v>24</v>
      </c>
      <c r="Y324" s="5" t="s">
        <v>6319</v>
      </c>
      <c r="Z324" s="5" t="s">
        <v>6320</v>
      </c>
      <c r="AA324" s="5" t="s">
        <v>6320</v>
      </c>
      <c r="AB324" s="5"/>
    </row>
    <row r="325" ht="15.75" customHeight="1">
      <c r="A325" s="5" t="s">
        <v>6321</v>
      </c>
      <c r="B325" s="5" t="s">
        <v>6322</v>
      </c>
      <c r="C325" s="5" t="s">
        <v>227</v>
      </c>
      <c r="D325" s="5" t="s">
        <v>24</v>
      </c>
      <c r="E325" s="5" t="s">
        <v>1849</v>
      </c>
      <c r="F325" s="5" t="s">
        <v>4963</v>
      </c>
      <c r="G325" s="5" t="s">
        <v>24</v>
      </c>
      <c r="H325" s="5" t="s">
        <v>24</v>
      </c>
      <c r="I325" s="5" t="s">
        <v>24</v>
      </c>
      <c r="J325" s="5" t="s">
        <v>24</v>
      </c>
      <c r="K325" s="5" t="s">
        <v>24</v>
      </c>
      <c r="L325" s="5" t="s">
        <v>24</v>
      </c>
      <c r="M325" s="5" t="s">
        <v>24</v>
      </c>
      <c r="N325" s="5" t="s">
        <v>24</v>
      </c>
      <c r="O325" s="5" t="s">
        <v>6323</v>
      </c>
      <c r="P325" s="5" t="s">
        <v>24</v>
      </c>
      <c r="Q325" s="5" t="s">
        <v>24</v>
      </c>
      <c r="R325" s="5" t="s">
        <v>24</v>
      </c>
      <c r="S325" s="5" t="s">
        <v>1852</v>
      </c>
      <c r="T325" s="5" t="s">
        <v>2047</v>
      </c>
      <c r="U325" s="5" t="s">
        <v>2047</v>
      </c>
      <c r="V325" s="5" t="s">
        <v>24</v>
      </c>
      <c r="W325" s="5" t="s">
        <v>24</v>
      </c>
      <c r="X325" s="5" t="s">
        <v>24</v>
      </c>
      <c r="Y325" s="5" t="s">
        <v>6324</v>
      </c>
      <c r="Z325" s="5" t="s">
        <v>6325</v>
      </c>
      <c r="AA325" s="5" t="s">
        <v>6325</v>
      </c>
      <c r="AB325" s="5"/>
    </row>
    <row r="326" ht="15.75" customHeight="1">
      <c r="A326" s="5" t="s">
        <v>6326</v>
      </c>
      <c r="B326" s="5" t="s">
        <v>6327</v>
      </c>
      <c r="C326" s="5" t="s">
        <v>2126</v>
      </c>
      <c r="D326" s="5" t="s">
        <v>24</v>
      </c>
      <c r="E326" s="5" t="s">
        <v>1849</v>
      </c>
      <c r="F326" s="5" t="s">
        <v>4963</v>
      </c>
      <c r="G326" s="5" t="s">
        <v>24</v>
      </c>
      <c r="H326" s="5" t="s">
        <v>24</v>
      </c>
      <c r="I326" s="5" t="s">
        <v>24</v>
      </c>
      <c r="J326" s="5" t="s">
        <v>24</v>
      </c>
      <c r="K326" s="5" t="s">
        <v>24</v>
      </c>
      <c r="L326" s="5" t="s">
        <v>24</v>
      </c>
      <c r="M326" s="5" t="s">
        <v>3048</v>
      </c>
      <c r="N326" s="5" t="s">
        <v>24</v>
      </c>
      <c r="O326" s="5" t="s">
        <v>24</v>
      </c>
      <c r="P326" s="5" t="s">
        <v>24</v>
      </c>
      <c r="Q326" s="5" t="s">
        <v>24</v>
      </c>
      <c r="R326" s="5" t="s">
        <v>24</v>
      </c>
      <c r="S326" s="5" t="s">
        <v>1852</v>
      </c>
      <c r="T326" s="5" t="s">
        <v>4843</v>
      </c>
      <c r="U326" s="5" t="s">
        <v>4843</v>
      </c>
      <c r="V326" s="5" t="s">
        <v>24</v>
      </c>
      <c r="W326" s="5" t="s">
        <v>24</v>
      </c>
      <c r="X326" s="5" t="s">
        <v>24</v>
      </c>
      <c r="Y326" s="5" t="s">
        <v>6328</v>
      </c>
      <c r="Z326" s="5" t="s">
        <v>6329</v>
      </c>
      <c r="AA326" s="5" t="s">
        <v>6329</v>
      </c>
      <c r="AB326" s="5"/>
    </row>
    <row r="327" ht="15.75" customHeight="1">
      <c r="A327" s="5" t="s">
        <v>6330</v>
      </c>
      <c r="B327" s="5" t="s">
        <v>6331</v>
      </c>
      <c r="C327" s="5" t="s">
        <v>106</v>
      </c>
      <c r="D327" s="5" t="s">
        <v>24</v>
      </c>
      <c r="E327" s="5" t="s">
        <v>1849</v>
      </c>
      <c r="F327" s="5" t="s">
        <v>4963</v>
      </c>
      <c r="G327" s="5" t="s">
        <v>24</v>
      </c>
      <c r="H327" s="5" t="s">
        <v>24</v>
      </c>
      <c r="I327" s="5" t="s">
        <v>24</v>
      </c>
      <c r="J327" s="5" t="s">
        <v>24</v>
      </c>
      <c r="K327" s="5" t="s">
        <v>24</v>
      </c>
      <c r="L327" s="5" t="s">
        <v>24</v>
      </c>
      <c r="M327" s="5" t="s">
        <v>1885</v>
      </c>
      <c r="N327" s="5" t="s">
        <v>24</v>
      </c>
      <c r="O327" s="5" t="s">
        <v>2085</v>
      </c>
      <c r="P327" s="5" t="s">
        <v>24</v>
      </c>
      <c r="Q327" s="5" t="s">
        <v>24</v>
      </c>
      <c r="R327" s="5" t="s">
        <v>24</v>
      </c>
      <c r="S327" s="5" t="s">
        <v>1852</v>
      </c>
      <c r="T327" s="5" t="s">
        <v>2047</v>
      </c>
      <c r="U327" s="5" t="s">
        <v>2047</v>
      </c>
      <c r="V327" s="5" t="s">
        <v>24</v>
      </c>
      <c r="W327" s="5" t="s">
        <v>24</v>
      </c>
      <c r="X327" s="5" t="s">
        <v>24</v>
      </c>
      <c r="Y327" s="5" t="s">
        <v>6332</v>
      </c>
      <c r="Z327" s="5" t="s">
        <v>6333</v>
      </c>
      <c r="AA327" s="5" t="s">
        <v>6333</v>
      </c>
      <c r="AB327" s="5"/>
    </row>
    <row r="328" ht="15.75" customHeight="1">
      <c r="A328" s="5" t="s">
        <v>6334</v>
      </c>
      <c r="B328" s="5" t="s">
        <v>6335</v>
      </c>
      <c r="C328" s="5" t="s">
        <v>139</v>
      </c>
      <c r="D328" s="5" t="s">
        <v>24</v>
      </c>
      <c r="E328" s="5" t="s">
        <v>1849</v>
      </c>
      <c r="F328" s="5" t="s">
        <v>4963</v>
      </c>
      <c r="G328" s="5" t="s">
        <v>24</v>
      </c>
      <c r="H328" s="5" t="s">
        <v>24</v>
      </c>
      <c r="I328" s="5" t="s">
        <v>24</v>
      </c>
      <c r="J328" s="5" t="s">
        <v>24</v>
      </c>
      <c r="K328" s="5" t="s">
        <v>24</v>
      </c>
      <c r="L328" s="5" t="s">
        <v>24</v>
      </c>
      <c r="M328" s="5" t="s">
        <v>24</v>
      </c>
      <c r="N328" s="5" t="s">
        <v>24</v>
      </c>
      <c r="O328" s="5" t="s">
        <v>1933</v>
      </c>
      <c r="P328" s="5" t="s">
        <v>24</v>
      </c>
      <c r="Q328" s="5" t="s">
        <v>24</v>
      </c>
      <c r="R328" s="5" t="s">
        <v>24</v>
      </c>
      <c r="S328" s="5" t="s">
        <v>1852</v>
      </c>
      <c r="T328" s="5" t="s">
        <v>5584</v>
      </c>
      <c r="U328" s="5" t="s">
        <v>5584</v>
      </c>
      <c r="V328" s="5" t="s">
        <v>24</v>
      </c>
      <c r="W328" s="5" t="s">
        <v>24</v>
      </c>
      <c r="X328" s="5" t="s">
        <v>24</v>
      </c>
      <c r="Y328" s="5" t="s">
        <v>6336</v>
      </c>
      <c r="Z328" s="5" t="s">
        <v>6337</v>
      </c>
      <c r="AA328" s="5" t="s">
        <v>6337</v>
      </c>
      <c r="AB328" s="5"/>
    </row>
    <row r="329" ht="15.75" customHeight="1">
      <c r="A329" s="5" t="s">
        <v>6338</v>
      </c>
      <c r="B329" s="5" t="s">
        <v>6339</v>
      </c>
      <c r="C329" s="5" t="s">
        <v>294</v>
      </c>
      <c r="D329" s="5" t="s">
        <v>24</v>
      </c>
      <c r="E329" s="5" t="s">
        <v>1849</v>
      </c>
      <c r="F329" s="5" t="s">
        <v>4963</v>
      </c>
      <c r="G329" s="5" t="s">
        <v>24</v>
      </c>
      <c r="H329" s="5" t="s">
        <v>24</v>
      </c>
      <c r="I329" s="5" t="s">
        <v>24</v>
      </c>
      <c r="J329" s="5" t="s">
        <v>24</v>
      </c>
      <c r="K329" s="5" t="s">
        <v>24</v>
      </c>
      <c r="L329" s="5" t="s">
        <v>24</v>
      </c>
      <c r="M329" s="5" t="s">
        <v>1885</v>
      </c>
      <c r="N329" s="5" t="s">
        <v>24</v>
      </c>
      <c r="O329" s="5" t="s">
        <v>24</v>
      </c>
      <c r="P329" s="5" t="s">
        <v>24</v>
      </c>
      <c r="Q329" s="5" t="s">
        <v>24</v>
      </c>
      <c r="R329" s="5" t="s">
        <v>24</v>
      </c>
      <c r="S329" s="5" t="s">
        <v>1852</v>
      </c>
      <c r="T329" s="5" t="s">
        <v>4749</v>
      </c>
      <c r="U329" s="5" t="s">
        <v>4749</v>
      </c>
      <c r="V329" s="5" t="s">
        <v>24</v>
      </c>
      <c r="W329" s="5" t="s">
        <v>24</v>
      </c>
      <c r="X329" s="5" t="s">
        <v>24</v>
      </c>
      <c r="Y329" s="5" t="s">
        <v>6340</v>
      </c>
      <c r="Z329" s="5" t="s">
        <v>6341</v>
      </c>
      <c r="AA329" s="5" t="s">
        <v>6341</v>
      </c>
      <c r="AB329" s="5"/>
    </row>
    <row r="330" ht="15.75" customHeight="1">
      <c r="A330" s="5" t="s">
        <v>6342</v>
      </c>
      <c r="B330" s="5" t="s">
        <v>6343</v>
      </c>
      <c r="C330" s="5" t="s">
        <v>227</v>
      </c>
      <c r="D330" s="5" t="s">
        <v>24</v>
      </c>
      <c r="E330" s="5" t="s">
        <v>1849</v>
      </c>
      <c r="F330" s="5" t="s">
        <v>4963</v>
      </c>
      <c r="G330" s="5" t="s">
        <v>24</v>
      </c>
      <c r="H330" s="5" t="s">
        <v>24</v>
      </c>
      <c r="I330" s="5" t="s">
        <v>24</v>
      </c>
      <c r="J330" s="5" t="s">
        <v>24</v>
      </c>
      <c r="K330" s="5" t="s">
        <v>24</v>
      </c>
      <c r="L330" s="5" t="s">
        <v>24</v>
      </c>
      <c r="M330" s="5" t="s">
        <v>1885</v>
      </c>
      <c r="N330" s="5" t="s">
        <v>24</v>
      </c>
      <c r="O330" s="5" t="s">
        <v>24</v>
      </c>
      <c r="P330" s="5" t="s">
        <v>24</v>
      </c>
      <c r="Q330" s="5" t="s">
        <v>24</v>
      </c>
      <c r="R330" s="5" t="s">
        <v>24</v>
      </c>
      <c r="S330" s="5" t="s">
        <v>1852</v>
      </c>
      <c r="T330" s="5" t="s">
        <v>3319</v>
      </c>
      <c r="U330" s="5" t="s">
        <v>3319</v>
      </c>
      <c r="V330" s="5" t="s">
        <v>24</v>
      </c>
      <c r="W330" s="5" t="s">
        <v>24</v>
      </c>
      <c r="X330" s="5" t="s">
        <v>24</v>
      </c>
      <c r="Y330" s="5" t="s">
        <v>6344</v>
      </c>
      <c r="Z330" s="5" t="s">
        <v>6345</v>
      </c>
      <c r="AA330" s="5" t="s">
        <v>6345</v>
      </c>
      <c r="AB330" s="5"/>
    </row>
    <row r="331" ht="15.75" customHeight="1">
      <c r="A331" s="5" t="s">
        <v>6346</v>
      </c>
      <c r="B331" s="5" t="s">
        <v>6347</v>
      </c>
      <c r="C331" s="5" t="s">
        <v>139</v>
      </c>
      <c r="D331" s="5" t="s">
        <v>24</v>
      </c>
      <c r="E331" s="5" t="s">
        <v>1849</v>
      </c>
      <c r="F331" s="5" t="s">
        <v>4963</v>
      </c>
      <c r="G331" s="5" t="s">
        <v>24</v>
      </c>
      <c r="H331" s="5" t="s">
        <v>24</v>
      </c>
      <c r="I331" s="5" t="s">
        <v>24</v>
      </c>
      <c r="J331" s="5" t="s">
        <v>24</v>
      </c>
      <c r="K331" s="5" t="s">
        <v>24</v>
      </c>
      <c r="L331" s="5" t="s">
        <v>24</v>
      </c>
      <c r="M331" s="5" t="s">
        <v>6348</v>
      </c>
      <c r="N331" s="5" t="s">
        <v>24</v>
      </c>
      <c r="O331" s="5" t="s">
        <v>24</v>
      </c>
      <c r="P331" s="5" t="s">
        <v>24</v>
      </c>
      <c r="Q331" s="5" t="s">
        <v>24</v>
      </c>
      <c r="R331" s="5" t="s">
        <v>24</v>
      </c>
      <c r="S331" s="5" t="s">
        <v>1852</v>
      </c>
      <c r="T331" s="5" t="s">
        <v>3202</v>
      </c>
      <c r="U331" s="5" t="s">
        <v>3202</v>
      </c>
      <c r="V331" s="5" t="s">
        <v>24</v>
      </c>
      <c r="W331" s="5" t="s">
        <v>24</v>
      </c>
      <c r="X331" s="5" t="s">
        <v>24</v>
      </c>
      <c r="Y331" s="5" t="s">
        <v>6349</v>
      </c>
      <c r="Z331" s="5" t="s">
        <v>6350</v>
      </c>
      <c r="AA331" s="5" t="s">
        <v>6350</v>
      </c>
      <c r="AB331" s="5"/>
    </row>
    <row r="332" ht="15.75" customHeight="1">
      <c r="A332" s="5" t="s">
        <v>6351</v>
      </c>
      <c r="B332" s="5" t="s">
        <v>6352</v>
      </c>
      <c r="C332" s="5" t="s">
        <v>5415</v>
      </c>
      <c r="D332" s="5" t="s">
        <v>24</v>
      </c>
      <c r="E332" s="5" t="s">
        <v>1849</v>
      </c>
      <c r="F332" s="5" t="s">
        <v>4963</v>
      </c>
      <c r="G332" s="5" t="s">
        <v>24</v>
      </c>
      <c r="H332" s="5" t="s">
        <v>24</v>
      </c>
      <c r="I332" s="5" t="s">
        <v>24</v>
      </c>
      <c r="J332" s="5" t="s">
        <v>24</v>
      </c>
      <c r="K332" s="5" t="s">
        <v>24</v>
      </c>
      <c r="L332" s="5" t="s">
        <v>24</v>
      </c>
      <c r="M332" s="5" t="s">
        <v>1885</v>
      </c>
      <c r="N332" s="5" t="s">
        <v>24</v>
      </c>
      <c r="O332" s="5" t="s">
        <v>3422</v>
      </c>
      <c r="P332" s="5" t="s">
        <v>24</v>
      </c>
      <c r="Q332" s="5" t="s">
        <v>24</v>
      </c>
      <c r="R332" s="5" t="s">
        <v>24</v>
      </c>
      <c r="S332" s="5" t="s">
        <v>1852</v>
      </c>
      <c r="T332" s="5" t="s">
        <v>2363</v>
      </c>
      <c r="U332" s="5" t="s">
        <v>2363</v>
      </c>
      <c r="V332" s="5" t="s">
        <v>24</v>
      </c>
      <c r="W332" s="5" t="s">
        <v>24</v>
      </c>
      <c r="X332" s="5" t="s">
        <v>24</v>
      </c>
      <c r="Y332" s="5" t="s">
        <v>6353</v>
      </c>
      <c r="Z332" s="5" t="s">
        <v>6354</v>
      </c>
      <c r="AA332" s="5" t="s">
        <v>6354</v>
      </c>
      <c r="AB332" s="5"/>
    </row>
    <row r="333" ht="15.75" customHeight="1">
      <c r="A333" s="5" t="s">
        <v>6355</v>
      </c>
      <c r="B333" s="5" t="s">
        <v>6356</v>
      </c>
      <c r="C333" s="5" t="s">
        <v>529</v>
      </c>
      <c r="D333" s="5" t="s">
        <v>24</v>
      </c>
      <c r="E333" s="5" t="s">
        <v>1849</v>
      </c>
      <c r="F333" s="5" t="s">
        <v>4963</v>
      </c>
      <c r="G333" s="5" t="s">
        <v>24</v>
      </c>
      <c r="H333" s="5" t="s">
        <v>24</v>
      </c>
      <c r="I333" s="5" t="s">
        <v>24</v>
      </c>
      <c r="J333" s="5" t="s">
        <v>24</v>
      </c>
      <c r="K333" s="5" t="s">
        <v>24</v>
      </c>
      <c r="L333" s="5" t="s">
        <v>24</v>
      </c>
      <c r="M333" s="5" t="s">
        <v>24</v>
      </c>
      <c r="N333" s="5" t="s">
        <v>24</v>
      </c>
      <c r="O333" s="5" t="s">
        <v>2148</v>
      </c>
      <c r="P333" s="5" t="s">
        <v>24</v>
      </c>
      <c r="Q333" s="5" t="s">
        <v>24</v>
      </c>
      <c r="R333" s="5" t="s">
        <v>24</v>
      </c>
      <c r="S333" s="5" t="s">
        <v>1852</v>
      </c>
      <c r="T333" s="5" t="s">
        <v>6357</v>
      </c>
      <c r="U333" s="5" t="s">
        <v>6357</v>
      </c>
      <c r="V333" s="5" t="s">
        <v>24</v>
      </c>
      <c r="W333" s="5" t="s">
        <v>24</v>
      </c>
      <c r="X333" s="5" t="s">
        <v>24</v>
      </c>
      <c r="Y333" s="5" t="s">
        <v>6358</v>
      </c>
      <c r="Z333" s="5" t="s">
        <v>6359</v>
      </c>
      <c r="AA333" s="5" t="s">
        <v>6359</v>
      </c>
      <c r="AB333" s="5"/>
    </row>
    <row r="334" ht="15.75" customHeight="1">
      <c r="A334" s="5" t="s">
        <v>6360</v>
      </c>
      <c r="B334" s="5" t="s">
        <v>6361</v>
      </c>
      <c r="C334" s="5" t="s">
        <v>5415</v>
      </c>
      <c r="D334" s="5" t="s">
        <v>24</v>
      </c>
      <c r="E334" s="5" t="s">
        <v>1849</v>
      </c>
      <c r="F334" s="5" t="s">
        <v>4963</v>
      </c>
      <c r="G334" s="5" t="s">
        <v>24</v>
      </c>
      <c r="H334" s="5" t="s">
        <v>24</v>
      </c>
      <c r="I334" s="5" t="s">
        <v>24</v>
      </c>
      <c r="J334" s="5" t="s">
        <v>24</v>
      </c>
      <c r="K334" s="5" t="s">
        <v>24</v>
      </c>
      <c r="L334" s="5" t="s">
        <v>24</v>
      </c>
      <c r="M334" s="5" t="s">
        <v>1885</v>
      </c>
      <c r="N334" s="5" t="s">
        <v>24</v>
      </c>
      <c r="O334" s="5" t="s">
        <v>3552</v>
      </c>
      <c r="P334" s="5" t="s">
        <v>24</v>
      </c>
      <c r="Q334" s="5" t="s">
        <v>24</v>
      </c>
      <c r="R334" s="5" t="s">
        <v>24</v>
      </c>
      <c r="S334" s="5" t="s">
        <v>1852</v>
      </c>
      <c r="T334" s="5" t="s">
        <v>2271</v>
      </c>
      <c r="U334" s="5" t="s">
        <v>2271</v>
      </c>
      <c r="V334" s="5" t="s">
        <v>24</v>
      </c>
      <c r="W334" s="5" t="s">
        <v>24</v>
      </c>
      <c r="X334" s="5" t="s">
        <v>24</v>
      </c>
      <c r="Y334" s="5" t="s">
        <v>6362</v>
      </c>
      <c r="Z334" s="5" t="s">
        <v>6363</v>
      </c>
      <c r="AA334" s="5" t="s">
        <v>6363</v>
      </c>
      <c r="AB334" s="5"/>
    </row>
    <row r="335" ht="15.75" customHeight="1">
      <c r="A335" s="5" t="s">
        <v>6364</v>
      </c>
      <c r="B335" s="5" t="s">
        <v>6365</v>
      </c>
      <c r="C335" s="5" t="s">
        <v>503</v>
      </c>
      <c r="D335" s="5" t="s">
        <v>24</v>
      </c>
      <c r="E335" s="5" t="s">
        <v>1849</v>
      </c>
      <c r="F335" s="5" t="s">
        <v>4963</v>
      </c>
      <c r="G335" s="5" t="s">
        <v>24</v>
      </c>
      <c r="H335" s="5" t="s">
        <v>24</v>
      </c>
      <c r="I335" s="5" t="s">
        <v>24</v>
      </c>
      <c r="J335" s="5" t="s">
        <v>24</v>
      </c>
      <c r="K335" s="5" t="s">
        <v>24</v>
      </c>
      <c r="L335" s="5" t="s">
        <v>24</v>
      </c>
      <c r="M335" s="5" t="s">
        <v>24</v>
      </c>
      <c r="N335" s="5" t="s">
        <v>24</v>
      </c>
      <c r="O335" s="5" t="s">
        <v>3136</v>
      </c>
      <c r="P335" s="5" t="s">
        <v>24</v>
      </c>
      <c r="Q335" s="5" t="s">
        <v>24</v>
      </c>
      <c r="R335" s="5" t="s">
        <v>24</v>
      </c>
      <c r="S335" s="5" t="s">
        <v>1852</v>
      </c>
      <c r="T335" s="5" t="s">
        <v>6366</v>
      </c>
      <c r="U335" s="5" t="s">
        <v>6366</v>
      </c>
      <c r="V335" s="5" t="s">
        <v>24</v>
      </c>
      <c r="W335" s="5" t="s">
        <v>24</v>
      </c>
      <c r="X335" s="5" t="s">
        <v>24</v>
      </c>
      <c r="Y335" s="5" t="s">
        <v>6367</v>
      </c>
      <c r="Z335" s="5" t="s">
        <v>6368</v>
      </c>
      <c r="AA335" s="5" t="s">
        <v>6368</v>
      </c>
      <c r="AB335" s="5"/>
    </row>
    <row r="336" ht="15.75" customHeight="1">
      <c r="A336" s="5" t="s">
        <v>6369</v>
      </c>
      <c r="B336" s="5" t="s">
        <v>6370</v>
      </c>
      <c r="C336" s="5" t="s">
        <v>227</v>
      </c>
      <c r="D336" s="5" t="s">
        <v>24</v>
      </c>
      <c r="E336" s="5" t="s">
        <v>1849</v>
      </c>
      <c r="F336" s="5" t="s">
        <v>4963</v>
      </c>
      <c r="G336" s="5" t="s">
        <v>24</v>
      </c>
      <c r="H336" s="5" t="s">
        <v>24</v>
      </c>
      <c r="I336" s="5" t="s">
        <v>24</v>
      </c>
      <c r="J336" s="5" t="s">
        <v>24</v>
      </c>
      <c r="K336" s="5" t="s">
        <v>24</v>
      </c>
      <c r="L336" s="5" t="s">
        <v>24</v>
      </c>
      <c r="M336" s="5" t="s">
        <v>24</v>
      </c>
      <c r="N336" s="5" t="s">
        <v>24</v>
      </c>
      <c r="O336" s="5" t="s">
        <v>3378</v>
      </c>
      <c r="P336" s="5" t="s">
        <v>24</v>
      </c>
      <c r="Q336" s="5" t="s">
        <v>24</v>
      </c>
      <c r="R336" s="5" t="s">
        <v>24</v>
      </c>
      <c r="S336" s="5" t="s">
        <v>1852</v>
      </c>
      <c r="T336" s="5" t="s">
        <v>2885</v>
      </c>
      <c r="U336" s="5" t="s">
        <v>2885</v>
      </c>
      <c r="V336" s="5" t="s">
        <v>24</v>
      </c>
      <c r="W336" s="5" t="s">
        <v>24</v>
      </c>
      <c r="X336" s="5" t="s">
        <v>24</v>
      </c>
      <c r="Y336" s="5" t="s">
        <v>6371</v>
      </c>
      <c r="Z336" s="5" t="s">
        <v>6372</v>
      </c>
      <c r="AA336" s="5" t="s">
        <v>6372</v>
      </c>
      <c r="AB336" s="5"/>
    </row>
    <row r="337" ht="15.75" customHeight="1">
      <c r="A337" s="5" t="s">
        <v>6373</v>
      </c>
      <c r="B337" s="5" t="s">
        <v>6374</v>
      </c>
      <c r="C337" s="5" t="s">
        <v>5415</v>
      </c>
      <c r="D337" s="5" t="s">
        <v>24</v>
      </c>
      <c r="E337" s="5" t="s">
        <v>1849</v>
      </c>
      <c r="F337" s="5" t="s">
        <v>4963</v>
      </c>
      <c r="G337" s="5" t="s">
        <v>24</v>
      </c>
      <c r="H337" s="5" t="s">
        <v>24</v>
      </c>
      <c r="I337" s="5" t="s">
        <v>24</v>
      </c>
      <c r="J337" s="5" t="s">
        <v>24</v>
      </c>
      <c r="K337" s="5" t="s">
        <v>24</v>
      </c>
      <c r="L337" s="5" t="s">
        <v>24</v>
      </c>
      <c r="M337" s="5" t="s">
        <v>1885</v>
      </c>
      <c r="N337" s="5" t="s">
        <v>24</v>
      </c>
      <c r="O337" s="5" t="s">
        <v>3574</v>
      </c>
      <c r="P337" s="5" t="s">
        <v>24</v>
      </c>
      <c r="Q337" s="5" t="s">
        <v>24</v>
      </c>
      <c r="R337" s="5" t="s">
        <v>24</v>
      </c>
      <c r="S337" s="5" t="s">
        <v>1852</v>
      </c>
      <c r="T337" s="5" t="s">
        <v>2363</v>
      </c>
      <c r="U337" s="5" t="s">
        <v>2363</v>
      </c>
      <c r="V337" s="5" t="s">
        <v>24</v>
      </c>
      <c r="W337" s="5" t="s">
        <v>24</v>
      </c>
      <c r="X337" s="5" t="s">
        <v>24</v>
      </c>
      <c r="Y337" s="5" t="s">
        <v>6375</v>
      </c>
      <c r="Z337" s="5" t="s">
        <v>6376</v>
      </c>
      <c r="AA337" s="5" t="s">
        <v>6376</v>
      </c>
      <c r="AB337" s="5"/>
    </row>
    <row r="338" ht="15.75" customHeight="1">
      <c r="A338" s="5" t="s">
        <v>6377</v>
      </c>
      <c r="B338" s="5" t="s">
        <v>6378</v>
      </c>
      <c r="C338" s="5" t="s">
        <v>5013</v>
      </c>
      <c r="D338" s="5" t="s">
        <v>24</v>
      </c>
      <c r="E338" s="5" t="s">
        <v>1849</v>
      </c>
      <c r="F338" s="5" t="s">
        <v>4963</v>
      </c>
      <c r="G338" s="5" t="s">
        <v>24</v>
      </c>
      <c r="H338" s="5" t="s">
        <v>24</v>
      </c>
      <c r="I338" s="5" t="s">
        <v>24</v>
      </c>
      <c r="J338" s="5" t="s">
        <v>24</v>
      </c>
      <c r="K338" s="5" t="s">
        <v>24</v>
      </c>
      <c r="L338" s="5" t="s">
        <v>24</v>
      </c>
      <c r="M338" s="5" t="s">
        <v>1885</v>
      </c>
      <c r="N338" s="5" t="s">
        <v>24</v>
      </c>
      <c r="O338" s="5" t="s">
        <v>24</v>
      </c>
      <c r="P338" s="5" t="s">
        <v>24</v>
      </c>
      <c r="Q338" s="5" t="s">
        <v>24</v>
      </c>
      <c r="R338" s="5" t="s">
        <v>24</v>
      </c>
      <c r="S338" s="5" t="s">
        <v>1852</v>
      </c>
      <c r="T338" s="5" t="s">
        <v>2885</v>
      </c>
      <c r="U338" s="5" t="s">
        <v>2885</v>
      </c>
      <c r="V338" s="5" t="s">
        <v>24</v>
      </c>
      <c r="W338" s="5" t="s">
        <v>24</v>
      </c>
      <c r="X338" s="5" t="s">
        <v>24</v>
      </c>
      <c r="Y338" s="5" t="s">
        <v>6379</v>
      </c>
      <c r="Z338" s="5" t="s">
        <v>6380</v>
      </c>
      <c r="AA338" s="5" t="s">
        <v>6380</v>
      </c>
      <c r="AB338" s="5"/>
    </row>
    <row r="339" ht="15.75" customHeight="1">
      <c r="A339" s="5" t="s">
        <v>6381</v>
      </c>
      <c r="B339" s="5" t="s">
        <v>6382</v>
      </c>
      <c r="C339" s="5" t="s">
        <v>227</v>
      </c>
      <c r="D339" s="5" t="s">
        <v>24</v>
      </c>
      <c r="E339" s="5" t="s">
        <v>1849</v>
      </c>
      <c r="F339" s="5" t="s">
        <v>4963</v>
      </c>
      <c r="G339" s="5" t="s">
        <v>24</v>
      </c>
      <c r="H339" s="5" t="s">
        <v>24</v>
      </c>
      <c r="I339" s="5" t="s">
        <v>24</v>
      </c>
      <c r="J339" s="5" t="s">
        <v>24</v>
      </c>
      <c r="K339" s="5" t="s">
        <v>24</v>
      </c>
      <c r="L339" s="5" t="s">
        <v>24</v>
      </c>
      <c r="M339" s="5" t="s">
        <v>24</v>
      </c>
      <c r="N339" s="5" t="s">
        <v>24</v>
      </c>
      <c r="O339" s="5" t="s">
        <v>1894</v>
      </c>
      <c r="P339" s="5" t="s">
        <v>24</v>
      </c>
      <c r="Q339" s="5" t="s">
        <v>24</v>
      </c>
      <c r="R339" s="5" t="s">
        <v>24</v>
      </c>
      <c r="S339" s="5" t="s">
        <v>1852</v>
      </c>
      <c r="T339" s="5" t="s">
        <v>6150</v>
      </c>
      <c r="U339" s="5" t="s">
        <v>6150</v>
      </c>
      <c r="V339" s="5" t="s">
        <v>24</v>
      </c>
      <c r="W339" s="5" t="s">
        <v>24</v>
      </c>
      <c r="X339" s="5" t="s">
        <v>24</v>
      </c>
      <c r="Y339" s="5" t="s">
        <v>6383</v>
      </c>
      <c r="Z339" s="5" t="s">
        <v>6384</v>
      </c>
      <c r="AA339" s="5" t="s">
        <v>6384</v>
      </c>
      <c r="AB339" s="5"/>
    </row>
    <row r="340" ht="15.75" customHeight="1">
      <c r="A340" s="5" t="s">
        <v>6385</v>
      </c>
      <c r="B340" s="5" t="s">
        <v>6386</v>
      </c>
      <c r="C340" s="5" t="s">
        <v>5370</v>
      </c>
      <c r="D340" s="5" t="s">
        <v>24</v>
      </c>
      <c r="E340" s="5" t="s">
        <v>1849</v>
      </c>
      <c r="F340" s="5" t="s">
        <v>4963</v>
      </c>
      <c r="G340" s="5" t="s">
        <v>24</v>
      </c>
      <c r="H340" s="5" t="s">
        <v>24</v>
      </c>
      <c r="I340" s="5" t="s">
        <v>24</v>
      </c>
      <c r="J340" s="5" t="s">
        <v>24</v>
      </c>
      <c r="K340" s="5" t="s">
        <v>24</v>
      </c>
      <c r="L340" s="5" t="s">
        <v>24</v>
      </c>
      <c r="M340" s="5" t="s">
        <v>1885</v>
      </c>
      <c r="N340" s="5" t="s">
        <v>24</v>
      </c>
      <c r="O340" s="5" t="s">
        <v>24</v>
      </c>
      <c r="P340" s="5" t="s">
        <v>24</v>
      </c>
      <c r="Q340" s="5" t="s">
        <v>24</v>
      </c>
      <c r="R340" s="5" t="s">
        <v>24</v>
      </c>
      <c r="S340" s="5" t="s">
        <v>1852</v>
      </c>
      <c r="T340" s="5" t="s">
        <v>5923</v>
      </c>
      <c r="U340" s="5" t="s">
        <v>5923</v>
      </c>
      <c r="V340" s="5" t="s">
        <v>24</v>
      </c>
      <c r="W340" s="5" t="s">
        <v>24</v>
      </c>
      <c r="X340" s="5" t="s">
        <v>24</v>
      </c>
      <c r="Y340" s="5" t="s">
        <v>6387</v>
      </c>
      <c r="Z340" s="5" t="s">
        <v>6388</v>
      </c>
      <c r="AA340" s="5" t="s">
        <v>6388</v>
      </c>
      <c r="AB340" s="5"/>
    </row>
    <row r="341" ht="15.75" customHeight="1">
      <c r="A341" s="5" t="s">
        <v>6389</v>
      </c>
      <c r="B341" s="5" t="s">
        <v>6390</v>
      </c>
      <c r="C341" s="5" t="s">
        <v>106</v>
      </c>
      <c r="D341" s="5" t="s">
        <v>24</v>
      </c>
      <c r="E341" s="5" t="s">
        <v>1849</v>
      </c>
      <c r="F341" s="5" t="s">
        <v>4963</v>
      </c>
      <c r="G341" s="5" t="s">
        <v>24</v>
      </c>
      <c r="H341" s="5" t="s">
        <v>24</v>
      </c>
      <c r="I341" s="5" t="s">
        <v>24</v>
      </c>
      <c r="J341" s="5" t="s">
        <v>24</v>
      </c>
      <c r="K341" s="5" t="s">
        <v>24</v>
      </c>
      <c r="L341" s="5" t="s">
        <v>24</v>
      </c>
      <c r="M341" s="5" t="s">
        <v>24</v>
      </c>
      <c r="N341" s="5" t="s">
        <v>24</v>
      </c>
      <c r="O341" s="5" t="s">
        <v>1851</v>
      </c>
      <c r="P341" s="5" t="s">
        <v>24</v>
      </c>
      <c r="Q341" s="5" t="s">
        <v>24</v>
      </c>
      <c r="R341" s="5" t="s">
        <v>24</v>
      </c>
      <c r="S341" s="5" t="s">
        <v>1852</v>
      </c>
      <c r="T341" s="5" t="s">
        <v>4743</v>
      </c>
      <c r="U341" s="5" t="s">
        <v>4743</v>
      </c>
      <c r="V341" s="5" t="s">
        <v>24</v>
      </c>
      <c r="W341" s="5" t="s">
        <v>24</v>
      </c>
      <c r="X341" s="5" t="s">
        <v>24</v>
      </c>
      <c r="Y341" s="5" t="s">
        <v>6391</v>
      </c>
      <c r="Z341" s="5" t="s">
        <v>6392</v>
      </c>
      <c r="AA341" s="5" t="s">
        <v>6392</v>
      </c>
      <c r="AB341" s="5"/>
    </row>
    <row r="342" ht="15.75" customHeight="1">
      <c r="A342" s="5" t="s">
        <v>6393</v>
      </c>
      <c r="B342" s="5" t="s">
        <v>6394</v>
      </c>
      <c r="C342" s="5" t="s">
        <v>5415</v>
      </c>
      <c r="D342" s="5" t="s">
        <v>24</v>
      </c>
      <c r="E342" s="5" t="s">
        <v>1849</v>
      </c>
      <c r="F342" s="5" t="s">
        <v>4963</v>
      </c>
      <c r="G342" s="5" t="s">
        <v>24</v>
      </c>
      <c r="H342" s="5" t="s">
        <v>24</v>
      </c>
      <c r="I342" s="5" t="s">
        <v>24</v>
      </c>
      <c r="J342" s="5" t="s">
        <v>24</v>
      </c>
      <c r="K342" s="5" t="s">
        <v>24</v>
      </c>
      <c r="L342" s="5" t="s">
        <v>24</v>
      </c>
      <c r="M342" s="5" t="s">
        <v>1885</v>
      </c>
      <c r="N342" s="5" t="s">
        <v>24</v>
      </c>
      <c r="O342" s="5" t="s">
        <v>1986</v>
      </c>
      <c r="P342" s="5" t="s">
        <v>24</v>
      </c>
      <c r="Q342" s="5" t="s">
        <v>24</v>
      </c>
      <c r="R342" s="5" t="s">
        <v>24</v>
      </c>
      <c r="S342" s="5" t="s">
        <v>1852</v>
      </c>
      <c r="T342" s="5" t="s">
        <v>2363</v>
      </c>
      <c r="U342" s="5" t="s">
        <v>2363</v>
      </c>
      <c r="V342" s="5" t="s">
        <v>24</v>
      </c>
      <c r="W342" s="5" t="s">
        <v>24</v>
      </c>
      <c r="X342" s="5" t="s">
        <v>24</v>
      </c>
      <c r="Y342" s="5" t="s">
        <v>6395</v>
      </c>
      <c r="Z342" s="5" t="s">
        <v>6396</v>
      </c>
      <c r="AA342" s="5" t="s">
        <v>6396</v>
      </c>
      <c r="AB342" s="5"/>
    </row>
    <row r="343" ht="15.75" customHeight="1">
      <c r="A343" s="5" t="s">
        <v>6397</v>
      </c>
      <c r="B343" s="5" t="s">
        <v>6398</v>
      </c>
      <c r="C343" s="5" t="s">
        <v>5601</v>
      </c>
      <c r="D343" s="5" t="s">
        <v>24</v>
      </c>
      <c r="E343" s="5" t="s">
        <v>1849</v>
      </c>
      <c r="F343" s="5" t="s">
        <v>4963</v>
      </c>
      <c r="G343" s="5" t="s">
        <v>24</v>
      </c>
      <c r="H343" s="5" t="s">
        <v>24</v>
      </c>
      <c r="I343" s="5" t="s">
        <v>24</v>
      </c>
      <c r="J343" s="5" t="s">
        <v>24</v>
      </c>
      <c r="K343" s="5" t="s">
        <v>24</v>
      </c>
      <c r="L343" s="5" t="s">
        <v>24</v>
      </c>
      <c r="M343" s="5" t="s">
        <v>24</v>
      </c>
      <c r="N343" s="5" t="s">
        <v>24</v>
      </c>
      <c r="O343" s="5" t="s">
        <v>1851</v>
      </c>
      <c r="P343" s="5" t="s">
        <v>24</v>
      </c>
      <c r="Q343" s="5" t="s">
        <v>24</v>
      </c>
      <c r="R343" s="5" t="s">
        <v>24</v>
      </c>
      <c r="S343" s="5" t="s">
        <v>1852</v>
      </c>
      <c r="T343" s="5" t="s">
        <v>5602</v>
      </c>
      <c r="U343" s="5" t="s">
        <v>5602</v>
      </c>
      <c r="V343" s="5" t="s">
        <v>24</v>
      </c>
      <c r="W343" s="5" t="s">
        <v>24</v>
      </c>
      <c r="X343" s="5" t="s">
        <v>24</v>
      </c>
      <c r="Y343" s="5" t="s">
        <v>6399</v>
      </c>
      <c r="Z343" s="5" t="s">
        <v>6400</v>
      </c>
      <c r="AA343" s="5" t="s">
        <v>6400</v>
      </c>
      <c r="AB343" s="5"/>
    </row>
    <row r="344" ht="15.75" customHeight="1">
      <c r="A344" s="5" t="s">
        <v>6401</v>
      </c>
      <c r="B344" s="5" t="s">
        <v>6402</v>
      </c>
      <c r="C344" s="5" t="s">
        <v>227</v>
      </c>
      <c r="D344" s="5" t="s">
        <v>24</v>
      </c>
      <c r="E344" s="5" t="s">
        <v>1849</v>
      </c>
      <c r="F344" s="5" t="s">
        <v>4963</v>
      </c>
      <c r="G344" s="5" t="s">
        <v>24</v>
      </c>
      <c r="H344" s="5" t="s">
        <v>24</v>
      </c>
      <c r="I344" s="5" t="s">
        <v>24</v>
      </c>
      <c r="J344" s="5" t="s">
        <v>24</v>
      </c>
      <c r="K344" s="5" t="s">
        <v>24</v>
      </c>
      <c r="L344" s="5" t="s">
        <v>24</v>
      </c>
      <c r="M344" s="5" t="s">
        <v>24</v>
      </c>
      <c r="N344" s="5" t="s">
        <v>24</v>
      </c>
      <c r="O344" s="5" t="s">
        <v>1933</v>
      </c>
      <c r="P344" s="5" t="s">
        <v>24</v>
      </c>
      <c r="Q344" s="5" t="s">
        <v>24</v>
      </c>
      <c r="R344" s="5" t="s">
        <v>24</v>
      </c>
      <c r="S344" s="5" t="s">
        <v>1852</v>
      </c>
      <c r="T344" s="5" t="s">
        <v>3837</v>
      </c>
      <c r="U344" s="5" t="s">
        <v>3837</v>
      </c>
      <c r="V344" s="5" t="s">
        <v>24</v>
      </c>
      <c r="W344" s="5" t="s">
        <v>24</v>
      </c>
      <c r="X344" s="5" t="s">
        <v>24</v>
      </c>
      <c r="Y344" s="5" t="s">
        <v>6403</v>
      </c>
      <c r="Z344" s="5" t="s">
        <v>6404</v>
      </c>
      <c r="AA344" s="5" t="s">
        <v>6404</v>
      </c>
      <c r="AB344" s="5"/>
    </row>
    <row r="345" ht="15.75" customHeight="1">
      <c r="A345" s="5" t="s">
        <v>6405</v>
      </c>
      <c r="B345" s="5" t="s">
        <v>6406</v>
      </c>
      <c r="C345" s="5" t="s">
        <v>5601</v>
      </c>
      <c r="D345" s="5" t="s">
        <v>24</v>
      </c>
      <c r="E345" s="5" t="s">
        <v>1849</v>
      </c>
      <c r="F345" s="5" t="s">
        <v>4963</v>
      </c>
      <c r="G345" s="5" t="s">
        <v>24</v>
      </c>
      <c r="H345" s="5" t="s">
        <v>24</v>
      </c>
      <c r="I345" s="5" t="s">
        <v>24</v>
      </c>
      <c r="J345" s="5" t="s">
        <v>24</v>
      </c>
      <c r="K345" s="5" t="s">
        <v>24</v>
      </c>
      <c r="L345" s="5" t="s">
        <v>24</v>
      </c>
      <c r="M345" s="5" t="s">
        <v>24</v>
      </c>
      <c r="N345" s="5" t="s">
        <v>24</v>
      </c>
      <c r="O345" s="5" t="s">
        <v>1851</v>
      </c>
      <c r="P345" s="5" t="s">
        <v>24</v>
      </c>
      <c r="Q345" s="5" t="s">
        <v>24</v>
      </c>
      <c r="R345" s="5" t="s">
        <v>24</v>
      </c>
      <c r="S345" s="5" t="s">
        <v>1852</v>
      </c>
      <c r="T345" s="5" t="s">
        <v>5602</v>
      </c>
      <c r="U345" s="5" t="s">
        <v>5602</v>
      </c>
      <c r="V345" s="5" t="s">
        <v>24</v>
      </c>
      <c r="W345" s="5" t="s">
        <v>24</v>
      </c>
      <c r="X345" s="5" t="s">
        <v>24</v>
      </c>
      <c r="Y345" s="5" t="s">
        <v>6407</v>
      </c>
      <c r="Z345" s="5" t="s">
        <v>6408</v>
      </c>
      <c r="AA345" s="5" t="s">
        <v>6408</v>
      </c>
      <c r="AB345" s="5"/>
    </row>
    <row r="346" ht="15.75" customHeight="1">
      <c r="A346" s="5" t="s">
        <v>6409</v>
      </c>
      <c r="B346" s="5" t="s">
        <v>6410</v>
      </c>
      <c r="C346" s="5" t="s">
        <v>5370</v>
      </c>
      <c r="D346" s="5" t="s">
        <v>24</v>
      </c>
      <c r="E346" s="5" t="s">
        <v>1849</v>
      </c>
      <c r="F346" s="5" t="s">
        <v>4963</v>
      </c>
      <c r="G346" s="5" t="s">
        <v>24</v>
      </c>
      <c r="H346" s="5" t="s">
        <v>24</v>
      </c>
      <c r="I346" s="5" t="s">
        <v>24</v>
      </c>
      <c r="J346" s="5" t="s">
        <v>24</v>
      </c>
      <c r="K346" s="5" t="s">
        <v>24</v>
      </c>
      <c r="L346" s="5" t="s">
        <v>24</v>
      </c>
      <c r="M346" s="5" t="s">
        <v>24</v>
      </c>
      <c r="N346" s="5" t="s">
        <v>24</v>
      </c>
      <c r="O346" s="5" t="s">
        <v>1933</v>
      </c>
      <c r="P346" s="5" t="s">
        <v>24</v>
      </c>
      <c r="Q346" s="5" t="s">
        <v>24</v>
      </c>
      <c r="R346" s="5" t="s">
        <v>24</v>
      </c>
      <c r="S346" s="5" t="s">
        <v>1852</v>
      </c>
      <c r="T346" s="5" t="s">
        <v>2627</v>
      </c>
      <c r="U346" s="5" t="s">
        <v>2627</v>
      </c>
      <c r="V346" s="5" t="s">
        <v>24</v>
      </c>
      <c r="W346" s="5" t="s">
        <v>24</v>
      </c>
      <c r="X346" s="5" t="s">
        <v>24</v>
      </c>
      <c r="Y346" s="5" t="s">
        <v>6411</v>
      </c>
      <c r="Z346" s="5" t="s">
        <v>6412</v>
      </c>
      <c r="AA346" s="5" t="s">
        <v>6412</v>
      </c>
      <c r="AB346" s="5"/>
    </row>
    <row r="347" ht="15.75" customHeight="1">
      <c r="A347" s="5" t="s">
        <v>6413</v>
      </c>
      <c r="B347" s="5" t="s">
        <v>6414</v>
      </c>
      <c r="C347" s="5" t="s">
        <v>227</v>
      </c>
      <c r="D347" s="5" t="s">
        <v>24</v>
      </c>
      <c r="E347" s="5" t="s">
        <v>1849</v>
      </c>
      <c r="F347" s="5" t="s">
        <v>4963</v>
      </c>
      <c r="G347" s="5" t="s">
        <v>24</v>
      </c>
      <c r="H347" s="5" t="s">
        <v>24</v>
      </c>
      <c r="I347" s="5" t="s">
        <v>24</v>
      </c>
      <c r="J347" s="5" t="s">
        <v>24</v>
      </c>
      <c r="K347" s="5" t="s">
        <v>24</v>
      </c>
      <c r="L347" s="5" t="s">
        <v>24</v>
      </c>
      <c r="M347" s="5" t="s">
        <v>24</v>
      </c>
      <c r="N347" s="5" t="s">
        <v>24</v>
      </c>
      <c r="O347" s="5" t="s">
        <v>1851</v>
      </c>
      <c r="P347" s="5" t="s">
        <v>24</v>
      </c>
      <c r="Q347" s="5" t="s">
        <v>24</v>
      </c>
      <c r="R347" s="5" t="s">
        <v>24</v>
      </c>
      <c r="S347" s="5" t="s">
        <v>1852</v>
      </c>
      <c r="T347" s="5" t="s">
        <v>5884</v>
      </c>
      <c r="U347" s="5" t="s">
        <v>5884</v>
      </c>
      <c r="V347" s="5" t="s">
        <v>24</v>
      </c>
      <c r="W347" s="5" t="s">
        <v>24</v>
      </c>
      <c r="X347" s="5" t="s">
        <v>24</v>
      </c>
      <c r="Y347" s="5" t="s">
        <v>6415</v>
      </c>
      <c r="Z347" s="5" t="s">
        <v>6416</v>
      </c>
      <c r="AA347" s="5" t="s">
        <v>6416</v>
      </c>
      <c r="AB347" s="5"/>
    </row>
    <row r="348" ht="15.75" customHeight="1">
      <c r="A348" s="5" t="s">
        <v>6417</v>
      </c>
      <c r="B348" s="5" t="s">
        <v>6418</v>
      </c>
      <c r="C348" s="5" t="s">
        <v>227</v>
      </c>
      <c r="D348" s="5" t="s">
        <v>24</v>
      </c>
      <c r="E348" s="5" t="s">
        <v>1849</v>
      </c>
      <c r="F348" s="5" t="s">
        <v>4963</v>
      </c>
      <c r="G348" s="5" t="s">
        <v>24</v>
      </c>
      <c r="H348" s="5" t="s">
        <v>24</v>
      </c>
      <c r="I348" s="5" t="s">
        <v>24</v>
      </c>
      <c r="J348" s="5" t="s">
        <v>24</v>
      </c>
      <c r="K348" s="5" t="s">
        <v>24</v>
      </c>
      <c r="L348" s="5" t="s">
        <v>24</v>
      </c>
      <c r="M348" s="5" t="s">
        <v>24</v>
      </c>
      <c r="N348" s="5" t="s">
        <v>24</v>
      </c>
      <c r="O348" s="5" t="s">
        <v>1933</v>
      </c>
      <c r="P348" s="5" t="s">
        <v>24</v>
      </c>
      <c r="Q348" s="5" t="s">
        <v>24</v>
      </c>
      <c r="R348" s="5" t="s">
        <v>24</v>
      </c>
      <c r="S348" s="5" t="s">
        <v>1852</v>
      </c>
      <c r="T348" s="5" t="s">
        <v>6150</v>
      </c>
      <c r="U348" s="5" t="s">
        <v>6150</v>
      </c>
      <c r="V348" s="5" t="s">
        <v>24</v>
      </c>
      <c r="W348" s="5" t="s">
        <v>24</v>
      </c>
      <c r="X348" s="5" t="s">
        <v>24</v>
      </c>
      <c r="Y348" s="5" t="s">
        <v>6419</v>
      </c>
      <c r="Z348" s="5" t="s">
        <v>6420</v>
      </c>
      <c r="AA348" s="5" t="s">
        <v>6420</v>
      </c>
      <c r="AB348" s="5"/>
    </row>
    <row r="349" ht="15.75" customHeight="1">
      <c r="A349" s="5" t="s">
        <v>6421</v>
      </c>
      <c r="B349" s="5" t="s">
        <v>6422</v>
      </c>
      <c r="C349" s="5" t="s">
        <v>227</v>
      </c>
      <c r="D349" s="5" t="s">
        <v>24</v>
      </c>
      <c r="E349" s="5" t="s">
        <v>1849</v>
      </c>
      <c r="F349" s="5" t="s">
        <v>4963</v>
      </c>
      <c r="G349" s="5" t="s">
        <v>24</v>
      </c>
      <c r="H349" s="5" t="s">
        <v>24</v>
      </c>
      <c r="I349" s="5" t="s">
        <v>24</v>
      </c>
      <c r="J349" s="5" t="s">
        <v>24</v>
      </c>
      <c r="K349" s="5" t="s">
        <v>24</v>
      </c>
      <c r="L349" s="5" t="s">
        <v>24</v>
      </c>
      <c r="M349" s="5" t="s">
        <v>24</v>
      </c>
      <c r="N349" s="5" t="s">
        <v>24</v>
      </c>
      <c r="O349" s="5" t="s">
        <v>1894</v>
      </c>
      <c r="P349" s="5" t="s">
        <v>24</v>
      </c>
      <c r="Q349" s="5" t="s">
        <v>24</v>
      </c>
      <c r="R349" s="5" t="s">
        <v>24</v>
      </c>
      <c r="S349" s="5" t="s">
        <v>1852</v>
      </c>
      <c r="T349" s="5" t="s">
        <v>2026</v>
      </c>
      <c r="U349" s="5" t="s">
        <v>2026</v>
      </c>
      <c r="V349" s="5" t="s">
        <v>24</v>
      </c>
      <c r="W349" s="5" t="s">
        <v>24</v>
      </c>
      <c r="X349" s="5" t="s">
        <v>24</v>
      </c>
      <c r="Y349" s="5" t="s">
        <v>6423</v>
      </c>
      <c r="Z349" s="5" t="s">
        <v>6424</v>
      </c>
      <c r="AA349" s="5" t="s">
        <v>6424</v>
      </c>
      <c r="AB349" s="5"/>
    </row>
    <row r="350" ht="15.75" customHeight="1">
      <c r="A350" s="5" t="s">
        <v>6425</v>
      </c>
      <c r="B350" s="5" t="s">
        <v>6426</v>
      </c>
      <c r="C350" s="5" t="s">
        <v>106</v>
      </c>
      <c r="D350" s="5" t="s">
        <v>24</v>
      </c>
      <c r="E350" s="5" t="s">
        <v>1849</v>
      </c>
      <c r="F350" s="5" t="s">
        <v>4963</v>
      </c>
      <c r="G350" s="5" t="s">
        <v>24</v>
      </c>
      <c r="H350" s="5" t="s">
        <v>24</v>
      </c>
      <c r="I350" s="5" t="s">
        <v>24</v>
      </c>
      <c r="J350" s="5" t="s">
        <v>24</v>
      </c>
      <c r="K350" s="5" t="s">
        <v>24</v>
      </c>
      <c r="L350" s="5" t="s">
        <v>24</v>
      </c>
      <c r="M350" s="5" t="s">
        <v>1885</v>
      </c>
      <c r="N350" s="5" t="s">
        <v>24</v>
      </c>
      <c r="O350" s="5" t="s">
        <v>2085</v>
      </c>
      <c r="P350" s="5" t="s">
        <v>24</v>
      </c>
      <c r="Q350" s="5" t="s">
        <v>24</v>
      </c>
      <c r="R350" s="5" t="s">
        <v>24</v>
      </c>
      <c r="S350" s="5" t="s">
        <v>1852</v>
      </c>
      <c r="T350" s="5" t="s">
        <v>2047</v>
      </c>
      <c r="U350" s="5" t="s">
        <v>2047</v>
      </c>
      <c r="V350" s="5" t="s">
        <v>24</v>
      </c>
      <c r="W350" s="5" t="s">
        <v>24</v>
      </c>
      <c r="X350" s="5" t="s">
        <v>24</v>
      </c>
      <c r="Y350" s="5" t="s">
        <v>6427</v>
      </c>
      <c r="Z350" s="5" t="s">
        <v>6428</v>
      </c>
      <c r="AA350" s="5" t="s">
        <v>6428</v>
      </c>
      <c r="AB350" s="5"/>
    </row>
    <row r="351" ht="15.75" customHeight="1">
      <c r="A351" s="5" t="s">
        <v>6429</v>
      </c>
      <c r="B351" s="5" t="s">
        <v>6430</v>
      </c>
      <c r="C351" s="5" t="s">
        <v>294</v>
      </c>
      <c r="D351" s="5" t="s">
        <v>24</v>
      </c>
      <c r="E351" s="5" t="s">
        <v>1849</v>
      </c>
      <c r="F351" s="5" t="s">
        <v>4963</v>
      </c>
      <c r="G351" s="5" t="s">
        <v>24</v>
      </c>
      <c r="H351" s="5" t="s">
        <v>24</v>
      </c>
      <c r="I351" s="5" t="s">
        <v>24</v>
      </c>
      <c r="J351" s="5" t="s">
        <v>24</v>
      </c>
      <c r="K351" s="5" t="s">
        <v>24</v>
      </c>
      <c r="L351" s="5" t="s">
        <v>24</v>
      </c>
      <c r="M351" s="5" t="s">
        <v>24</v>
      </c>
      <c r="N351" s="5" t="s">
        <v>24</v>
      </c>
      <c r="O351" s="5" t="s">
        <v>1933</v>
      </c>
      <c r="P351" s="5" t="s">
        <v>24</v>
      </c>
      <c r="Q351" s="5" t="s">
        <v>24</v>
      </c>
      <c r="R351" s="5" t="s">
        <v>24</v>
      </c>
      <c r="S351" s="5" t="s">
        <v>1852</v>
      </c>
      <c r="T351" s="5" t="s">
        <v>1934</v>
      </c>
      <c r="U351" s="5" t="s">
        <v>1934</v>
      </c>
      <c r="V351" s="5" t="s">
        <v>24</v>
      </c>
      <c r="W351" s="5" t="s">
        <v>24</v>
      </c>
      <c r="X351" s="5" t="s">
        <v>24</v>
      </c>
      <c r="Y351" s="5" t="s">
        <v>6431</v>
      </c>
      <c r="Z351" s="5" t="s">
        <v>6432</v>
      </c>
      <c r="AA351" s="5" t="s">
        <v>6432</v>
      </c>
      <c r="AB351" s="5"/>
    </row>
    <row r="352" ht="15.75" customHeight="1">
      <c r="A352" s="5" t="s">
        <v>6433</v>
      </c>
      <c r="B352" s="5" t="s">
        <v>6434</v>
      </c>
      <c r="C352" s="5" t="s">
        <v>5415</v>
      </c>
      <c r="D352" s="5" t="s">
        <v>24</v>
      </c>
      <c r="E352" s="5" t="s">
        <v>1849</v>
      </c>
      <c r="F352" s="5" t="s">
        <v>4963</v>
      </c>
      <c r="G352" s="5" t="s">
        <v>24</v>
      </c>
      <c r="H352" s="5" t="s">
        <v>24</v>
      </c>
      <c r="I352" s="5" t="s">
        <v>24</v>
      </c>
      <c r="J352" s="5" t="s">
        <v>24</v>
      </c>
      <c r="K352" s="5" t="s">
        <v>24</v>
      </c>
      <c r="L352" s="5" t="s">
        <v>24</v>
      </c>
      <c r="M352" s="5" t="s">
        <v>1885</v>
      </c>
      <c r="N352" s="5" t="s">
        <v>24</v>
      </c>
      <c r="O352" s="5" t="s">
        <v>1986</v>
      </c>
      <c r="P352" s="5" t="s">
        <v>24</v>
      </c>
      <c r="Q352" s="5" t="s">
        <v>24</v>
      </c>
      <c r="R352" s="5" t="s">
        <v>24</v>
      </c>
      <c r="S352" s="5" t="s">
        <v>1852</v>
      </c>
      <c r="T352" s="5" t="s">
        <v>2271</v>
      </c>
      <c r="U352" s="5" t="s">
        <v>2271</v>
      </c>
      <c r="V352" s="5" t="s">
        <v>24</v>
      </c>
      <c r="W352" s="5" t="s">
        <v>24</v>
      </c>
      <c r="X352" s="5" t="s">
        <v>24</v>
      </c>
      <c r="Y352" s="5" t="s">
        <v>6435</v>
      </c>
      <c r="Z352" s="5" t="s">
        <v>6436</v>
      </c>
      <c r="AA352" s="5" t="s">
        <v>6436</v>
      </c>
      <c r="AB352" s="5"/>
    </row>
    <row r="353" ht="15.75" customHeight="1">
      <c r="A353" s="5" t="s">
        <v>6437</v>
      </c>
      <c r="B353" s="5" t="s">
        <v>6438</v>
      </c>
      <c r="C353" s="5" t="s">
        <v>106</v>
      </c>
      <c r="D353" s="5" t="s">
        <v>24</v>
      </c>
      <c r="E353" s="5" t="s">
        <v>1849</v>
      </c>
      <c r="F353" s="5" t="s">
        <v>4963</v>
      </c>
      <c r="G353" s="5" t="s">
        <v>24</v>
      </c>
      <c r="H353" s="5" t="s">
        <v>24</v>
      </c>
      <c r="I353" s="5" t="s">
        <v>24</v>
      </c>
      <c r="J353" s="5" t="s">
        <v>24</v>
      </c>
      <c r="K353" s="5" t="s">
        <v>24</v>
      </c>
      <c r="L353" s="5" t="s">
        <v>24</v>
      </c>
      <c r="M353" s="5" t="s">
        <v>24</v>
      </c>
      <c r="N353" s="5" t="s">
        <v>24</v>
      </c>
      <c r="O353" s="5" t="s">
        <v>1933</v>
      </c>
      <c r="P353" s="5" t="s">
        <v>24</v>
      </c>
      <c r="Q353" s="5" t="s">
        <v>24</v>
      </c>
      <c r="R353" s="5" t="s">
        <v>24</v>
      </c>
      <c r="S353" s="5" t="s">
        <v>1852</v>
      </c>
      <c r="T353" s="5" t="s">
        <v>3207</v>
      </c>
      <c r="U353" s="5" t="s">
        <v>3207</v>
      </c>
      <c r="V353" s="5" t="s">
        <v>24</v>
      </c>
      <c r="W353" s="5" t="s">
        <v>24</v>
      </c>
      <c r="X353" s="5" t="s">
        <v>24</v>
      </c>
      <c r="Y353" s="5" t="s">
        <v>6439</v>
      </c>
      <c r="Z353" s="5" t="s">
        <v>6440</v>
      </c>
      <c r="AA353" s="5" t="s">
        <v>6440</v>
      </c>
      <c r="AB353" s="5"/>
    </row>
    <row r="354" ht="15.75" customHeight="1">
      <c r="A354" s="5" t="s">
        <v>6441</v>
      </c>
      <c r="B354" s="5" t="s">
        <v>6442</v>
      </c>
      <c r="C354" s="5" t="s">
        <v>294</v>
      </c>
      <c r="D354" s="5" t="s">
        <v>24</v>
      </c>
      <c r="E354" s="5" t="s">
        <v>1849</v>
      </c>
      <c r="F354" s="5" t="s">
        <v>4963</v>
      </c>
      <c r="G354" s="5" t="s">
        <v>24</v>
      </c>
      <c r="H354" s="5" t="s">
        <v>24</v>
      </c>
      <c r="I354" s="5" t="s">
        <v>24</v>
      </c>
      <c r="J354" s="5" t="s">
        <v>24</v>
      </c>
      <c r="K354" s="5" t="s">
        <v>24</v>
      </c>
      <c r="L354" s="5" t="s">
        <v>24</v>
      </c>
      <c r="M354" s="5" t="s">
        <v>1885</v>
      </c>
      <c r="N354" s="5" t="s">
        <v>24</v>
      </c>
      <c r="O354" s="5" t="s">
        <v>1917</v>
      </c>
      <c r="P354" s="5" t="s">
        <v>24</v>
      </c>
      <c r="Q354" s="5" t="s">
        <v>24</v>
      </c>
      <c r="R354" s="5" t="s">
        <v>24</v>
      </c>
      <c r="S354" s="5" t="s">
        <v>1852</v>
      </c>
      <c r="T354" s="5" t="s">
        <v>4749</v>
      </c>
      <c r="U354" s="5" t="s">
        <v>4749</v>
      </c>
      <c r="V354" s="5" t="s">
        <v>24</v>
      </c>
      <c r="W354" s="5" t="s">
        <v>24</v>
      </c>
      <c r="X354" s="5" t="s">
        <v>24</v>
      </c>
      <c r="Y354" s="5" t="s">
        <v>6443</v>
      </c>
      <c r="Z354" s="5" t="s">
        <v>6444</v>
      </c>
      <c r="AA354" s="5" t="s">
        <v>6444</v>
      </c>
      <c r="AB354" s="5"/>
    </row>
    <row r="355" ht="15.75" customHeight="1">
      <c r="A355" s="5" t="s">
        <v>6445</v>
      </c>
      <c r="B355" s="5" t="s">
        <v>6446</v>
      </c>
      <c r="C355" s="5" t="s">
        <v>227</v>
      </c>
      <c r="D355" s="5" t="s">
        <v>24</v>
      </c>
      <c r="E355" s="5" t="s">
        <v>1849</v>
      </c>
      <c r="F355" s="5" t="s">
        <v>4963</v>
      </c>
      <c r="G355" s="5" t="s">
        <v>24</v>
      </c>
      <c r="H355" s="5" t="s">
        <v>24</v>
      </c>
      <c r="I355" s="5" t="s">
        <v>24</v>
      </c>
      <c r="J355" s="5" t="s">
        <v>24</v>
      </c>
      <c r="K355" s="5" t="s">
        <v>24</v>
      </c>
      <c r="L355" s="5" t="s">
        <v>24</v>
      </c>
      <c r="M355" s="5" t="s">
        <v>24</v>
      </c>
      <c r="N355" s="5" t="s">
        <v>24</v>
      </c>
      <c r="O355" s="5" t="s">
        <v>3023</v>
      </c>
      <c r="P355" s="5" t="s">
        <v>24</v>
      </c>
      <c r="Q355" s="5" t="s">
        <v>24</v>
      </c>
      <c r="R355" s="5" t="s">
        <v>24</v>
      </c>
      <c r="S355" s="5" t="s">
        <v>1852</v>
      </c>
      <c r="T355" s="5" t="s">
        <v>6447</v>
      </c>
      <c r="U355" s="5" t="s">
        <v>6447</v>
      </c>
      <c r="V355" s="5" t="s">
        <v>24</v>
      </c>
      <c r="W355" s="5" t="s">
        <v>24</v>
      </c>
      <c r="X355" s="5" t="s">
        <v>24</v>
      </c>
      <c r="Y355" s="5" t="s">
        <v>6448</v>
      </c>
      <c r="Z355" s="5" t="s">
        <v>6449</v>
      </c>
      <c r="AA355" s="5" t="s">
        <v>6449</v>
      </c>
      <c r="AB355" s="5"/>
    </row>
    <row r="356" ht="15.75" customHeight="1">
      <c r="A356" s="5" t="s">
        <v>6450</v>
      </c>
      <c r="B356" s="5" t="s">
        <v>6451</v>
      </c>
      <c r="C356" s="5" t="s">
        <v>294</v>
      </c>
      <c r="D356" s="5" t="s">
        <v>24</v>
      </c>
      <c r="E356" s="5" t="s">
        <v>1849</v>
      </c>
      <c r="F356" s="5" t="s">
        <v>4963</v>
      </c>
      <c r="G356" s="5" t="s">
        <v>24</v>
      </c>
      <c r="H356" s="5" t="s">
        <v>24</v>
      </c>
      <c r="I356" s="5" t="s">
        <v>24</v>
      </c>
      <c r="J356" s="5" t="s">
        <v>24</v>
      </c>
      <c r="K356" s="5" t="s">
        <v>24</v>
      </c>
      <c r="L356" s="5" t="s">
        <v>24</v>
      </c>
      <c r="M356" s="5" t="s">
        <v>24</v>
      </c>
      <c r="N356" s="5" t="s">
        <v>24</v>
      </c>
      <c r="O356" s="5" t="s">
        <v>1933</v>
      </c>
      <c r="P356" s="5" t="s">
        <v>24</v>
      </c>
      <c r="Q356" s="5" t="s">
        <v>24</v>
      </c>
      <c r="R356" s="5" t="s">
        <v>24</v>
      </c>
      <c r="S356" s="5" t="s">
        <v>1852</v>
      </c>
      <c r="T356" s="5" t="s">
        <v>1934</v>
      </c>
      <c r="U356" s="5" t="s">
        <v>1934</v>
      </c>
      <c r="V356" s="5" t="s">
        <v>24</v>
      </c>
      <c r="W356" s="5" t="s">
        <v>24</v>
      </c>
      <c r="X356" s="5" t="s">
        <v>24</v>
      </c>
      <c r="Y356" s="5" t="s">
        <v>6452</v>
      </c>
      <c r="Z356" s="5" t="s">
        <v>6453</v>
      </c>
      <c r="AA356" s="5" t="s">
        <v>6453</v>
      </c>
      <c r="AB356" s="5"/>
    </row>
    <row r="357" ht="15.75" customHeight="1">
      <c r="A357" s="5" t="s">
        <v>6454</v>
      </c>
      <c r="B357" s="5" t="s">
        <v>6455</v>
      </c>
      <c r="C357" s="5" t="s">
        <v>2126</v>
      </c>
      <c r="D357" s="5" t="s">
        <v>24</v>
      </c>
      <c r="E357" s="5" t="s">
        <v>1849</v>
      </c>
      <c r="F357" s="5" t="s">
        <v>4963</v>
      </c>
      <c r="G357" s="5" t="s">
        <v>24</v>
      </c>
      <c r="H357" s="5" t="s">
        <v>24</v>
      </c>
      <c r="I357" s="5" t="s">
        <v>24</v>
      </c>
      <c r="J357" s="5" t="s">
        <v>24</v>
      </c>
      <c r="K357" s="5" t="s">
        <v>24</v>
      </c>
      <c r="L357" s="5" t="s">
        <v>24</v>
      </c>
      <c r="M357" s="5" t="s">
        <v>1885</v>
      </c>
      <c r="N357" s="5" t="s">
        <v>24</v>
      </c>
      <c r="O357" s="5" t="s">
        <v>24</v>
      </c>
      <c r="P357" s="5" t="s">
        <v>24</v>
      </c>
      <c r="Q357" s="5" t="s">
        <v>24</v>
      </c>
      <c r="R357" s="5" t="s">
        <v>24</v>
      </c>
      <c r="S357" s="5" t="s">
        <v>1852</v>
      </c>
      <c r="T357" s="5" t="s">
        <v>5125</v>
      </c>
      <c r="U357" s="5" t="s">
        <v>5125</v>
      </c>
      <c r="V357" s="5" t="s">
        <v>24</v>
      </c>
      <c r="W357" s="5" t="s">
        <v>24</v>
      </c>
      <c r="X357" s="5" t="s">
        <v>24</v>
      </c>
      <c r="Y357" s="5" t="s">
        <v>6456</v>
      </c>
      <c r="Z357" s="5" t="s">
        <v>6457</v>
      </c>
      <c r="AA357" s="5" t="s">
        <v>6457</v>
      </c>
      <c r="AB357" s="5"/>
    </row>
    <row r="358" ht="15.75" customHeight="1">
      <c r="A358" s="5" t="s">
        <v>6458</v>
      </c>
      <c r="B358" s="5" t="s">
        <v>335</v>
      </c>
      <c r="C358" s="5" t="s">
        <v>336</v>
      </c>
      <c r="D358" s="5" t="s">
        <v>24</v>
      </c>
      <c r="E358" s="5" t="s">
        <v>1849</v>
      </c>
      <c r="F358" s="5" t="s">
        <v>4963</v>
      </c>
      <c r="G358" s="5" t="s">
        <v>24</v>
      </c>
      <c r="H358" s="5" t="s">
        <v>24</v>
      </c>
      <c r="I358" s="5" t="s">
        <v>24</v>
      </c>
      <c r="J358" s="5" t="s">
        <v>24</v>
      </c>
      <c r="K358" s="5" t="s">
        <v>24</v>
      </c>
      <c r="L358" s="5" t="s">
        <v>24</v>
      </c>
      <c r="M358" s="5" t="s">
        <v>1885</v>
      </c>
      <c r="N358" s="5" t="s">
        <v>24</v>
      </c>
      <c r="O358" s="5" t="s">
        <v>1949</v>
      </c>
      <c r="P358" s="5" t="s">
        <v>24</v>
      </c>
      <c r="Q358" s="5" t="s">
        <v>24</v>
      </c>
      <c r="R358" s="5" t="s">
        <v>24</v>
      </c>
      <c r="S358" s="5" t="s">
        <v>1852</v>
      </c>
      <c r="T358" s="5" t="s">
        <v>3089</v>
      </c>
      <c r="U358" s="5" t="s">
        <v>3089</v>
      </c>
      <c r="V358" s="5" t="s">
        <v>24</v>
      </c>
      <c r="W358" s="5" t="s">
        <v>24</v>
      </c>
      <c r="X358" s="5" t="s">
        <v>24</v>
      </c>
      <c r="Y358" s="5" t="s">
        <v>6459</v>
      </c>
      <c r="Z358" s="5" t="s">
        <v>6460</v>
      </c>
      <c r="AA358" s="5" t="s">
        <v>6460</v>
      </c>
      <c r="AB358" s="5"/>
    </row>
    <row r="359" ht="15.75" customHeight="1">
      <c r="A359" s="5" t="s">
        <v>6461</v>
      </c>
      <c r="B359" s="5" t="s">
        <v>6462</v>
      </c>
      <c r="C359" s="5" t="s">
        <v>227</v>
      </c>
      <c r="D359" s="5" t="s">
        <v>24</v>
      </c>
      <c r="E359" s="5" t="s">
        <v>1849</v>
      </c>
      <c r="F359" s="5" t="s">
        <v>4963</v>
      </c>
      <c r="G359" s="5" t="s">
        <v>24</v>
      </c>
      <c r="H359" s="5" t="s">
        <v>24</v>
      </c>
      <c r="I359" s="5" t="s">
        <v>24</v>
      </c>
      <c r="J359" s="5" t="s">
        <v>24</v>
      </c>
      <c r="K359" s="5" t="s">
        <v>24</v>
      </c>
      <c r="L359" s="5" t="s">
        <v>24</v>
      </c>
      <c r="M359" s="5" t="s">
        <v>1885</v>
      </c>
      <c r="N359" s="5" t="s">
        <v>24</v>
      </c>
      <c r="O359" s="5" t="s">
        <v>24</v>
      </c>
      <c r="P359" s="5" t="s">
        <v>24</v>
      </c>
      <c r="Q359" s="5" t="s">
        <v>24</v>
      </c>
      <c r="R359" s="5" t="s">
        <v>24</v>
      </c>
      <c r="S359" s="5" t="s">
        <v>1852</v>
      </c>
      <c r="T359" s="5" t="s">
        <v>2047</v>
      </c>
      <c r="U359" s="5" t="s">
        <v>2047</v>
      </c>
      <c r="V359" s="5" t="s">
        <v>24</v>
      </c>
      <c r="W359" s="5" t="s">
        <v>24</v>
      </c>
      <c r="X359" s="5" t="s">
        <v>24</v>
      </c>
      <c r="Y359" s="5" t="s">
        <v>6463</v>
      </c>
      <c r="Z359" s="5" t="s">
        <v>6464</v>
      </c>
      <c r="AA359" s="5" t="s">
        <v>6464</v>
      </c>
      <c r="AB359" s="5"/>
    </row>
    <row r="360" ht="15.75" customHeight="1">
      <c r="A360" s="5" t="s">
        <v>6465</v>
      </c>
      <c r="B360" s="5" t="s">
        <v>6466</v>
      </c>
      <c r="C360" s="5" t="s">
        <v>117</v>
      </c>
      <c r="D360" s="5" t="s">
        <v>24</v>
      </c>
      <c r="E360" s="5" t="s">
        <v>1849</v>
      </c>
      <c r="F360" s="5" t="s">
        <v>4963</v>
      </c>
      <c r="G360" s="5" t="s">
        <v>24</v>
      </c>
      <c r="H360" s="5" t="s">
        <v>24</v>
      </c>
      <c r="I360" s="5" t="s">
        <v>24</v>
      </c>
      <c r="J360" s="5" t="s">
        <v>24</v>
      </c>
      <c r="K360" s="5" t="s">
        <v>24</v>
      </c>
      <c r="L360" s="5" t="s">
        <v>24</v>
      </c>
      <c r="M360" s="5" t="s">
        <v>24</v>
      </c>
      <c r="N360" s="5" t="s">
        <v>24</v>
      </c>
      <c r="O360" s="5" t="s">
        <v>1851</v>
      </c>
      <c r="P360" s="5" t="s">
        <v>24</v>
      </c>
      <c r="Q360" s="5" t="s">
        <v>24</v>
      </c>
      <c r="R360" s="5" t="s">
        <v>24</v>
      </c>
      <c r="S360" s="5" t="s">
        <v>1852</v>
      </c>
      <c r="T360" s="5" t="s">
        <v>5884</v>
      </c>
      <c r="U360" s="5" t="s">
        <v>5884</v>
      </c>
      <c r="V360" s="5" t="s">
        <v>24</v>
      </c>
      <c r="W360" s="5" t="s">
        <v>24</v>
      </c>
      <c r="X360" s="5" t="s">
        <v>24</v>
      </c>
      <c r="Y360" s="5" t="s">
        <v>6467</v>
      </c>
      <c r="Z360" s="5" t="s">
        <v>6468</v>
      </c>
      <c r="AA360" s="5" t="s">
        <v>6468</v>
      </c>
      <c r="AB360" s="5"/>
    </row>
    <row r="361" ht="15.75" customHeight="1">
      <c r="A361" s="5" t="s">
        <v>6469</v>
      </c>
      <c r="B361" s="5" t="s">
        <v>6470</v>
      </c>
      <c r="C361" s="5" t="s">
        <v>227</v>
      </c>
      <c r="D361" s="5" t="s">
        <v>24</v>
      </c>
      <c r="E361" s="5" t="s">
        <v>1849</v>
      </c>
      <c r="F361" s="5" t="s">
        <v>4963</v>
      </c>
      <c r="G361" s="5" t="s">
        <v>24</v>
      </c>
      <c r="H361" s="5" t="s">
        <v>24</v>
      </c>
      <c r="I361" s="5" t="s">
        <v>24</v>
      </c>
      <c r="J361" s="5" t="s">
        <v>24</v>
      </c>
      <c r="K361" s="5" t="s">
        <v>24</v>
      </c>
      <c r="L361" s="5" t="s">
        <v>24</v>
      </c>
      <c r="M361" s="5" t="s">
        <v>24</v>
      </c>
      <c r="N361" s="5" t="s">
        <v>24</v>
      </c>
      <c r="O361" s="5" t="s">
        <v>1851</v>
      </c>
      <c r="P361" s="5" t="s">
        <v>24</v>
      </c>
      <c r="Q361" s="5" t="s">
        <v>24</v>
      </c>
      <c r="R361" s="5" t="s">
        <v>24</v>
      </c>
      <c r="S361" s="5" t="s">
        <v>1852</v>
      </c>
      <c r="T361" s="5" t="s">
        <v>4743</v>
      </c>
      <c r="U361" s="5" t="s">
        <v>4743</v>
      </c>
      <c r="V361" s="5" t="s">
        <v>24</v>
      </c>
      <c r="W361" s="5" t="s">
        <v>24</v>
      </c>
      <c r="X361" s="5" t="s">
        <v>24</v>
      </c>
      <c r="Y361" s="5" t="s">
        <v>6471</v>
      </c>
      <c r="Z361" s="5" t="s">
        <v>6472</v>
      </c>
      <c r="AA361" s="5" t="s">
        <v>6472</v>
      </c>
      <c r="AB361" s="5"/>
    </row>
    <row r="362" ht="15.75" customHeight="1">
      <c r="A362" s="5" t="s">
        <v>6473</v>
      </c>
      <c r="B362" s="5" t="s">
        <v>6474</v>
      </c>
      <c r="C362" s="5" t="s">
        <v>294</v>
      </c>
      <c r="D362" s="5" t="s">
        <v>24</v>
      </c>
      <c r="E362" s="5" t="s">
        <v>1849</v>
      </c>
      <c r="F362" s="5" t="s">
        <v>4963</v>
      </c>
      <c r="G362" s="5" t="s">
        <v>24</v>
      </c>
      <c r="H362" s="5" t="s">
        <v>24</v>
      </c>
      <c r="I362" s="5" t="s">
        <v>24</v>
      </c>
      <c r="J362" s="5" t="s">
        <v>24</v>
      </c>
      <c r="K362" s="5" t="s">
        <v>24</v>
      </c>
      <c r="L362" s="5" t="s">
        <v>24</v>
      </c>
      <c r="M362" s="5" t="s">
        <v>1885</v>
      </c>
      <c r="N362" s="5" t="s">
        <v>24</v>
      </c>
      <c r="O362" s="5" t="s">
        <v>24</v>
      </c>
      <c r="P362" s="5" t="s">
        <v>24</v>
      </c>
      <c r="Q362" s="5" t="s">
        <v>24</v>
      </c>
      <c r="R362" s="5" t="s">
        <v>24</v>
      </c>
      <c r="S362" s="5" t="s">
        <v>1852</v>
      </c>
      <c r="T362" s="5" t="s">
        <v>4749</v>
      </c>
      <c r="U362" s="5" t="s">
        <v>4749</v>
      </c>
      <c r="V362" s="5" t="s">
        <v>24</v>
      </c>
      <c r="W362" s="5" t="s">
        <v>24</v>
      </c>
      <c r="X362" s="5" t="s">
        <v>24</v>
      </c>
      <c r="Y362" s="5" t="s">
        <v>6475</v>
      </c>
      <c r="Z362" s="5" t="s">
        <v>6476</v>
      </c>
      <c r="AA362" s="5" t="s">
        <v>6476</v>
      </c>
      <c r="AB362" s="5"/>
    </row>
    <row r="363" ht="15.75" customHeight="1">
      <c r="A363" s="5" t="s">
        <v>6477</v>
      </c>
      <c r="B363" s="5" t="s">
        <v>6478</v>
      </c>
      <c r="C363" s="5" t="s">
        <v>2126</v>
      </c>
      <c r="D363" s="5" t="s">
        <v>24</v>
      </c>
      <c r="E363" s="5" t="s">
        <v>1849</v>
      </c>
      <c r="F363" s="5" t="s">
        <v>4963</v>
      </c>
      <c r="G363" s="5" t="s">
        <v>24</v>
      </c>
      <c r="H363" s="5" t="s">
        <v>24</v>
      </c>
      <c r="I363" s="5" t="s">
        <v>24</v>
      </c>
      <c r="J363" s="5" t="s">
        <v>24</v>
      </c>
      <c r="K363" s="5" t="s">
        <v>24</v>
      </c>
      <c r="L363" s="5" t="s">
        <v>24</v>
      </c>
      <c r="M363" s="5" t="s">
        <v>1885</v>
      </c>
      <c r="N363" s="5" t="s">
        <v>24</v>
      </c>
      <c r="O363" s="5" t="s">
        <v>24</v>
      </c>
      <c r="P363" s="5" t="s">
        <v>24</v>
      </c>
      <c r="Q363" s="5" t="s">
        <v>24</v>
      </c>
      <c r="R363" s="5" t="s">
        <v>24</v>
      </c>
      <c r="S363" s="5" t="s">
        <v>1852</v>
      </c>
      <c r="T363" s="5" t="s">
        <v>5125</v>
      </c>
      <c r="U363" s="5" t="s">
        <v>5125</v>
      </c>
      <c r="V363" s="5" t="s">
        <v>24</v>
      </c>
      <c r="W363" s="5" t="s">
        <v>24</v>
      </c>
      <c r="X363" s="5" t="s">
        <v>24</v>
      </c>
      <c r="Y363" s="5" t="s">
        <v>6479</v>
      </c>
      <c r="Z363" s="5" t="s">
        <v>6480</v>
      </c>
      <c r="AA363" s="5" t="s">
        <v>6480</v>
      </c>
      <c r="AB363" s="5"/>
    </row>
    <row r="364" ht="15.75" customHeight="1">
      <c r="A364" s="5" t="s">
        <v>6481</v>
      </c>
      <c r="B364" s="5" t="s">
        <v>6482</v>
      </c>
      <c r="C364" s="5" t="s">
        <v>5013</v>
      </c>
      <c r="D364" s="5" t="s">
        <v>24</v>
      </c>
      <c r="E364" s="5" t="s">
        <v>1849</v>
      </c>
      <c r="F364" s="5" t="s">
        <v>4963</v>
      </c>
      <c r="G364" s="5" t="s">
        <v>24</v>
      </c>
      <c r="H364" s="5" t="s">
        <v>24</v>
      </c>
      <c r="I364" s="5" t="s">
        <v>24</v>
      </c>
      <c r="J364" s="5" t="s">
        <v>24</v>
      </c>
      <c r="K364" s="5" t="s">
        <v>24</v>
      </c>
      <c r="L364" s="5" t="s">
        <v>24</v>
      </c>
      <c r="M364" s="5" t="s">
        <v>2402</v>
      </c>
      <c r="N364" s="5" t="s">
        <v>24</v>
      </c>
      <c r="O364" s="5" t="s">
        <v>24</v>
      </c>
      <c r="P364" s="5" t="s">
        <v>24</v>
      </c>
      <c r="Q364" s="5" t="s">
        <v>24</v>
      </c>
      <c r="R364" s="5" t="s">
        <v>24</v>
      </c>
      <c r="S364" s="5" t="s">
        <v>1852</v>
      </c>
      <c r="T364" s="5" t="s">
        <v>2885</v>
      </c>
      <c r="U364" s="5" t="s">
        <v>2885</v>
      </c>
      <c r="V364" s="5" t="s">
        <v>24</v>
      </c>
      <c r="W364" s="5" t="s">
        <v>24</v>
      </c>
      <c r="X364" s="5" t="s">
        <v>24</v>
      </c>
      <c r="Y364" s="5" t="s">
        <v>6483</v>
      </c>
      <c r="Z364" s="5" t="s">
        <v>6484</v>
      </c>
      <c r="AA364" s="5" t="s">
        <v>6484</v>
      </c>
      <c r="AB364" s="5"/>
    </row>
    <row r="365" ht="15.75" customHeight="1">
      <c r="A365" s="5" t="s">
        <v>6485</v>
      </c>
      <c r="B365" s="5" t="s">
        <v>6486</v>
      </c>
      <c r="C365" s="5" t="s">
        <v>227</v>
      </c>
      <c r="D365" s="5" t="s">
        <v>24</v>
      </c>
      <c r="E365" s="5" t="s">
        <v>1849</v>
      </c>
      <c r="F365" s="5" t="s">
        <v>4963</v>
      </c>
      <c r="G365" s="5" t="s">
        <v>24</v>
      </c>
      <c r="H365" s="5" t="s">
        <v>24</v>
      </c>
      <c r="I365" s="5" t="s">
        <v>24</v>
      </c>
      <c r="J365" s="5" t="s">
        <v>24</v>
      </c>
      <c r="K365" s="5" t="s">
        <v>24</v>
      </c>
      <c r="L365" s="5" t="s">
        <v>24</v>
      </c>
      <c r="M365" s="5" t="s">
        <v>24</v>
      </c>
      <c r="N365" s="5" t="s">
        <v>24</v>
      </c>
      <c r="O365" s="5" t="s">
        <v>1917</v>
      </c>
      <c r="P365" s="5" t="s">
        <v>24</v>
      </c>
      <c r="Q365" s="5" t="s">
        <v>24</v>
      </c>
      <c r="R365" s="5" t="s">
        <v>24</v>
      </c>
      <c r="S365" s="5" t="s">
        <v>1852</v>
      </c>
      <c r="T365" s="5" t="s">
        <v>2047</v>
      </c>
      <c r="U365" s="5" t="s">
        <v>2047</v>
      </c>
      <c r="V365" s="5" t="s">
        <v>24</v>
      </c>
      <c r="W365" s="5" t="s">
        <v>24</v>
      </c>
      <c r="X365" s="5" t="s">
        <v>24</v>
      </c>
      <c r="Y365" s="5" t="s">
        <v>6487</v>
      </c>
      <c r="Z365" s="5" t="s">
        <v>6488</v>
      </c>
      <c r="AA365" s="5" t="s">
        <v>6488</v>
      </c>
      <c r="AB365" s="5"/>
    </row>
    <row r="366" ht="15.75" customHeight="1">
      <c r="A366" s="5" t="s">
        <v>6489</v>
      </c>
      <c r="B366" s="5" t="s">
        <v>6490</v>
      </c>
      <c r="C366" s="5" t="s">
        <v>503</v>
      </c>
      <c r="D366" s="5" t="s">
        <v>24</v>
      </c>
      <c r="E366" s="5" t="s">
        <v>1849</v>
      </c>
      <c r="F366" s="5" t="s">
        <v>4963</v>
      </c>
      <c r="G366" s="5" t="s">
        <v>24</v>
      </c>
      <c r="H366" s="5" t="s">
        <v>24</v>
      </c>
      <c r="I366" s="5" t="s">
        <v>24</v>
      </c>
      <c r="J366" s="5" t="s">
        <v>24</v>
      </c>
      <c r="K366" s="5" t="s">
        <v>24</v>
      </c>
      <c r="L366" s="5" t="s">
        <v>24</v>
      </c>
      <c r="M366" s="5" t="s">
        <v>24</v>
      </c>
      <c r="N366" s="5" t="s">
        <v>24</v>
      </c>
      <c r="O366" s="5" t="s">
        <v>4061</v>
      </c>
      <c r="P366" s="5" t="s">
        <v>24</v>
      </c>
      <c r="Q366" s="5" t="s">
        <v>24</v>
      </c>
      <c r="R366" s="5" t="s">
        <v>24</v>
      </c>
      <c r="S366" s="5" t="s">
        <v>1852</v>
      </c>
      <c r="T366" s="5" t="s">
        <v>2900</v>
      </c>
      <c r="U366" s="5" t="s">
        <v>2900</v>
      </c>
      <c r="V366" s="5" t="s">
        <v>24</v>
      </c>
      <c r="W366" s="5" t="s">
        <v>24</v>
      </c>
      <c r="X366" s="5" t="s">
        <v>24</v>
      </c>
      <c r="Y366" s="5" t="s">
        <v>6491</v>
      </c>
      <c r="Z366" s="5" t="s">
        <v>6492</v>
      </c>
      <c r="AA366" s="5" t="s">
        <v>6492</v>
      </c>
      <c r="AB366" s="5"/>
    </row>
    <row r="367" ht="15.75" customHeight="1">
      <c r="A367" s="5" t="s">
        <v>6493</v>
      </c>
      <c r="B367" s="5" t="s">
        <v>6494</v>
      </c>
      <c r="C367" s="5" t="s">
        <v>503</v>
      </c>
      <c r="D367" s="5" t="s">
        <v>24</v>
      </c>
      <c r="E367" s="5" t="s">
        <v>1849</v>
      </c>
      <c r="F367" s="5" t="s">
        <v>4963</v>
      </c>
      <c r="G367" s="5" t="s">
        <v>24</v>
      </c>
      <c r="H367" s="5" t="s">
        <v>24</v>
      </c>
      <c r="I367" s="5" t="s">
        <v>24</v>
      </c>
      <c r="J367" s="5" t="s">
        <v>24</v>
      </c>
      <c r="K367" s="5" t="s">
        <v>24</v>
      </c>
      <c r="L367" s="5" t="s">
        <v>24</v>
      </c>
      <c r="M367" s="5" t="s">
        <v>24</v>
      </c>
      <c r="N367" s="5" t="s">
        <v>24</v>
      </c>
      <c r="O367" s="5" t="s">
        <v>3136</v>
      </c>
      <c r="P367" s="5" t="s">
        <v>24</v>
      </c>
      <c r="Q367" s="5" t="s">
        <v>24</v>
      </c>
      <c r="R367" s="5" t="s">
        <v>24</v>
      </c>
      <c r="S367" s="5" t="s">
        <v>1852</v>
      </c>
      <c r="T367" s="5" t="s">
        <v>3628</v>
      </c>
      <c r="U367" s="5" t="s">
        <v>3628</v>
      </c>
      <c r="V367" s="5" t="s">
        <v>24</v>
      </c>
      <c r="W367" s="5" t="s">
        <v>24</v>
      </c>
      <c r="X367" s="5" t="s">
        <v>24</v>
      </c>
      <c r="Y367" s="5" t="s">
        <v>6495</v>
      </c>
      <c r="Z367" s="5" t="s">
        <v>6496</v>
      </c>
      <c r="AA367" s="5" t="s">
        <v>6496</v>
      </c>
      <c r="AB367" s="5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2.63" defaultRowHeight="15.0"/>
  <cols>
    <col customWidth="1" min="1" max="1" width="74.13"/>
    <col customWidth="1" min="2" max="2" width="19.13"/>
    <col customWidth="1" min="3" max="4" width="9.25"/>
    <col customWidth="1" min="5" max="5" width="11.25"/>
    <col customWidth="1" min="6" max="26" width="8.63"/>
  </cols>
  <sheetData>
    <row r="1">
      <c r="A1" s="6" t="s">
        <v>15</v>
      </c>
      <c r="B1" s="4" t="s">
        <v>6497</v>
      </c>
      <c r="C1" s="7"/>
      <c r="D1" s="7"/>
      <c r="E1" s="7"/>
    </row>
    <row r="2">
      <c r="A2" s="6" t="s">
        <v>18</v>
      </c>
      <c r="B2" s="4" t="s">
        <v>6498</v>
      </c>
      <c r="C2" s="7"/>
      <c r="D2" s="7"/>
      <c r="E2" s="7"/>
    </row>
    <row r="3">
      <c r="B3" s="7"/>
      <c r="C3" s="7"/>
      <c r="D3" s="7"/>
      <c r="E3" s="7"/>
    </row>
    <row r="4">
      <c r="A4" s="6" t="s">
        <v>6499</v>
      </c>
      <c r="B4" s="7" t="s">
        <v>6500</v>
      </c>
      <c r="C4" s="7"/>
      <c r="D4" s="7"/>
      <c r="E4" s="7"/>
    </row>
    <row r="5">
      <c r="A5" s="6" t="s">
        <v>6501</v>
      </c>
      <c r="B5" s="8">
        <v>46089.0</v>
      </c>
      <c r="C5" s="8">
        <v>46088.0</v>
      </c>
      <c r="D5" s="8">
        <v>46087.0</v>
      </c>
      <c r="E5" s="7" t="s">
        <v>6502</v>
      </c>
    </row>
    <row r="6">
      <c r="A6" s="9" t="s">
        <v>980</v>
      </c>
      <c r="B6" s="10">
        <v>28.740000000000002</v>
      </c>
      <c r="C6" s="10">
        <v>24.889999999999997</v>
      </c>
      <c r="D6" s="10">
        <v>28.740000000000002</v>
      </c>
      <c r="E6" s="10">
        <v>27.259230769230776</v>
      </c>
    </row>
    <row r="7">
      <c r="A7" s="9" t="s">
        <v>294</v>
      </c>
      <c r="B7" s="10">
        <v>30.284117647058824</v>
      </c>
      <c r="C7" s="10">
        <v>30.284117647058824</v>
      </c>
      <c r="D7" s="10">
        <v>30.284117647058824</v>
      </c>
      <c r="E7" s="10">
        <v>30.284117647058828</v>
      </c>
    </row>
    <row r="8">
      <c r="A8" s="9" t="s">
        <v>1570</v>
      </c>
      <c r="B8" s="10">
        <v>38.99</v>
      </c>
      <c r="C8" s="10">
        <v>38.99</v>
      </c>
      <c r="D8" s="10">
        <v>38.99</v>
      </c>
      <c r="E8" s="10">
        <v>38.99</v>
      </c>
    </row>
    <row r="9">
      <c r="A9" s="9" t="s">
        <v>1554</v>
      </c>
      <c r="B9" s="10">
        <v>33.99</v>
      </c>
      <c r="C9" s="10">
        <v>33.99</v>
      </c>
      <c r="D9" s="10">
        <v>33.99</v>
      </c>
      <c r="E9" s="10">
        <v>33.99</v>
      </c>
    </row>
    <row r="10">
      <c r="A10" s="9" t="s">
        <v>1245</v>
      </c>
      <c r="B10" s="10">
        <v>43.626666666666665</v>
      </c>
      <c r="C10" s="10">
        <v>40.498000000000005</v>
      </c>
      <c r="D10" s="10">
        <v>43.626666666666665</v>
      </c>
      <c r="E10" s="10">
        <v>42.20454545454545</v>
      </c>
    </row>
    <row r="11">
      <c r="A11" s="9" t="s">
        <v>1616</v>
      </c>
      <c r="B11" s="10">
        <v>59.9</v>
      </c>
      <c r="C11" s="10">
        <v>54.71</v>
      </c>
      <c r="D11" s="10"/>
      <c r="E11" s="10">
        <v>57.305</v>
      </c>
    </row>
    <row r="12">
      <c r="A12" s="9" t="s">
        <v>1766</v>
      </c>
      <c r="B12" s="10">
        <v>35.99</v>
      </c>
      <c r="C12" s="10">
        <v>35.99</v>
      </c>
      <c r="D12" s="10">
        <v>35.99</v>
      </c>
      <c r="E12" s="10">
        <v>35.99</v>
      </c>
    </row>
    <row r="13">
      <c r="A13" s="9" t="s">
        <v>1402</v>
      </c>
      <c r="B13" s="10"/>
      <c r="C13" s="10">
        <v>59.9</v>
      </c>
      <c r="D13" s="10">
        <v>59.9</v>
      </c>
      <c r="E13" s="10">
        <v>59.9</v>
      </c>
    </row>
    <row r="14">
      <c r="A14" s="9" t="s">
        <v>283</v>
      </c>
      <c r="B14" s="10"/>
      <c r="C14" s="10">
        <v>16.9</v>
      </c>
      <c r="D14" s="10"/>
      <c r="E14" s="10">
        <v>16.9</v>
      </c>
    </row>
    <row r="15">
      <c r="A15" s="9" t="s">
        <v>1357</v>
      </c>
      <c r="B15" s="10">
        <v>34.99</v>
      </c>
      <c r="C15" s="10">
        <v>34.99</v>
      </c>
      <c r="D15" s="10">
        <v>34.99</v>
      </c>
      <c r="E15" s="10">
        <v>34.99</v>
      </c>
    </row>
    <row r="16">
      <c r="A16" s="9" t="s">
        <v>128</v>
      </c>
      <c r="B16" s="10">
        <v>27.025666666666673</v>
      </c>
      <c r="C16" s="10">
        <v>31.53129032258065</v>
      </c>
      <c r="D16" s="10">
        <v>27.247777777777785</v>
      </c>
      <c r="E16" s="10">
        <v>28.68102272727272</v>
      </c>
    </row>
    <row r="17">
      <c r="A17" s="9" t="s">
        <v>145</v>
      </c>
      <c r="B17" s="10">
        <v>40.66409090909091</v>
      </c>
      <c r="C17" s="10">
        <v>41.49478260869566</v>
      </c>
      <c r="D17" s="10">
        <v>41.22</v>
      </c>
      <c r="E17" s="10">
        <v>41.1246774193548</v>
      </c>
    </row>
    <row r="18">
      <c r="A18" s="9" t="s">
        <v>874</v>
      </c>
      <c r="B18" s="10">
        <v>34.50333333333334</v>
      </c>
      <c r="C18" s="10">
        <v>36.784615384615385</v>
      </c>
      <c r="D18" s="10">
        <v>36.621</v>
      </c>
      <c r="E18" s="10">
        <v>35.955714285714286</v>
      </c>
    </row>
    <row r="19">
      <c r="A19" s="9" t="s">
        <v>451</v>
      </c>
      <c r="B19" s="10">
        <v>25.99</v>
      </c>
      <c r="C19" s="10">
        <v>25.99</v>
      </c>
      <c r="D19" s="10">
        <v>25.99</v>
      </c>
      <c r="E19" s="10">
        <v>25.99</v>
      </c>
    </row>
    <row r="20">
      <c r="A20" s="9" t="s">
        <v>6502</v>
      </c>
      <c r="B20" s="10">
        <v>32.750543478260816</v>
      </c>
      <c r="C20" s="10">
        <v>34.538571428571366</v>
      </c>
      <c r="D20" s="10">
        <v>32.8813414634146</v>
      </c>
      <c r="E20" s="10">
        <v>33.43419117647058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B33" s="7"/>
      <c r="C33" s="7"/>
      <c r="D33" s="7"/>
      <c r="E33" s="7"/>
    </row>
    <row r="34" ht="15.75" customHeight="1">
      <c r="B34" s="7"/>
      <c r="C34" s="7"/>
      <c r="D34" s="7"/>
      <c r="E34" s="7"/>
    </row>
    <row r="35" ht="15.75" customHeight="1">
      <c r="B35" s="7"/>
      <c r="C35" s="7"/>
      <c r="D35" s="7"/>
      <c r="E35" s="7"/>
    </row>
    <row r="36" ht="15.75" customHeight="1">
      <c r="B36" s="7"/>
      <c r="C36" s="7"/>
      <c r="D36" s="7"/>
      <c r="E36" s="7"/>
    </row>
    <row r="37" ht="15.75" customHeight="1">
      <c r="B37" s="7"/>
      <c r="C37" s="7"/>
      <c r="D37" s="7"/>
      <c r="E37" s="7"/>
    </row>
    <row r="38" ht="15.75" customHeight="1">
      <c r="B38" s="7"/>
      <c r="C38" s="7"/>
      <c r="D38" s="7"/>
      <c r="E38" s="7"/>
    </row>
    <row r="39" ht="15.75" customHeight="1">
      <c r="B39" s="7"/>
      <c r="C39" s="7"/>
      <c r="D39" s="7"/>
      <c r="E39" s="7"/>
    </row>
    <row r="40" ht="15.75" customHeight="1">
      <c r="B40" s="7"/>
      <c r="C40" s="7"/>
      <c r="D40" s="7"/>
      <c r="E40" s="7"/>
    </row>
    <row r="41" ht="15.75" customHeight="1">
      <c r="B41" s="7"/>
      <c r="C41" s="7"/>
      <c r="D41" s="7"/>
      <c r="E41" s="7"/>
    </row>
    <row r="42" ht="15.75" customHeight="1">
      <c r="B42" s="7"/>
      <c r="C42" s="7"/>
      <c r="D42" s="7"/>
      <c r="E42" s="7"/>
    </row>
    <row r="43" ht="15.75" customHeight="1">
      <c r="B43" s="7"/>
      <c r="C43" s="7"/>
      <c r="D43" s="7"/>
      <c r="E43" s="7"/>
    </row>
    <row r="44" ht="15.75" customHeight="1">
      <c r="B44" s="7"/>
      <c r="C44" s="7"/>
      <c r="D44" s="7"/>
      <c r="E44" s="7"/>
    </row>
    <row r="45" ht="15.75" customHeight="1">
      <c r="B45" s="7"/>
      <c r="C45" s="7"/>
      <c r="D45" s="7"/>
      <c r="E45" s="7"/>
    </row>
    <row r="46" ht="15.75" customHeight="1">
      <c r="B46" s="7"/>
      <c r="C46" s="7"/>
      <c r="D46" s="7"/>
      <c r="E46" s="7"/>
    </row>
    <row r="47" ht="15.75" customHeight="1">
      <c r="B47" s="7"/>
      <c r="C47" s="7"/>
      <c r="D47" s="7"/>
      <c r="E47" s="7"/>
    </row>
    <row r="48" ht="15.75" customHeight="1">
      <c r="B48" s="7"/>
      <c r="C48" s="7"/>
      <c r="D48" s="7"/>
      <c r="E48" s="7"/>
    </row>
    <row r="49" ht="15.75" customHeight="1">
      <c r="B49" s="7"/>
      <c r="C49" s="7"/>
      <c r="D49" s="7"/>
      <c r="E49" s="7"/>
    </row>
    <row r="50" ht="15.75" customHeight="1">
      <c r="B50" s="7"/>
      <c r="C50" s="7"/>
      <c r="D50" s="7"/>
      <c r="E50" s="7"/>
    </row>
    <row r="51" ht="15.75" customHeight="1">
      <c r="B51" s="7"/>
      <c r="C51" s="7"/>
      <c r="D51" s="7"/>
      <c r="E51" s="7"/>
    </row>
    <row r="52" ht="15.75" customHeight="1">
      <c r="B52" s="7"/>
      <c r="C52" s="7"/>
      <c r="D52" s="7"/>
      <c r="E52" s="7"/>
    </row>
    <row r="53" ht="15.75" customHeight="1">
      <c r="B53" s="7"/>
      <c r="C53" s="7"/>
      <c r="D53" s="7"/>
      <c r="E53" s="7"/>
    </row>
    <row r="54" ht="15.75" customHeight="1">
      <c r="B54" s="7"/>
      <c r="C54" s="7"/>
      <c r="D54" s="7"/>
      <c r="E54" s="7"/>
    </row>
    <row r="55" ht="15.75" customHeight="1">
      <c r="B55" s="7"/>
      <c r="C55" s="7"/>
      <c r="D55" s="7"/>
      <c r="E55" s="7"/>
    </row>
    <row r="56" ht="15.75" customHeight="1">
      <c r="B56" s="7"/>
      <c r="C56" s="7"/>
      <c r="D56" s="7"/>
      <c r="E56" s="7"/>
    </row>
    <row r="57" ht="15.75" customHeight="1">
      <c r="B57" s="7"/>
      <c r="C57" s="7"/>
      <c r="D57" s="7"/>
      <c r="E57" s="7"/>
    </row>
    <row r="58" ht="15.75" customHeight="1">
      <c r="B58" s="7"/>
      <c r="C58" s="7"/>
      <c r="D58" s="7"/>
      <c r="E58" s="7"/>
    </row>
    <row r="59" ht="15.75" customHeight="1">
      <c r="B59" s="7"/>
      <c r="C59" s="7"/>
      <c r="D59" s="7"/>
      <c r="E59" s="7"/>
    </row>
    <row r="60" ht="15.75" customHeight="1">
      <c r="B60" s="7"/>
      <c r="C60" s="7"/>
      <c r="D60" s="7"/>
      <c r="E60" s="7"/>
    </row>
    <row r="61" ht="15.75" customHeight="1">
      <c r="B61" s="7"/>
      <c r="C61" s="7"/>
      <c r="D61" s="7"/>
      <c r="E61" s="7"/>
    </row>
    <row r="62" ht="15.75" customHeight="1">
      <c r="B62" s="7"/>
      <c r="C62" s="7"/>
      <c r="D62" s="7"/>
      <c r="E62" s="7"/>
    </row>
    <row r="63" ht="15.75" customHeight="1">
      <c r="B63" s="7"/>
      <c r="C63" s="7"/>
      <c r="D63" s="7"/>
      <c r="E63" s="7"/>
    </row>
    <row r="64" ht="15.75" customHeight="1">
      <c r="B64" s="7"/>
      <c r="C64" s="7"/>
      <c r="D64" s="7"/>
      <c r="E64" s="7"/>
    </row>
    <row r="65" ht="15.75" customHeight="1">
      <c r="B65" s="7"/>
      <c r="C65" s="7"/>
      <c r="D65" s="7"/>
      <c r="E65" s="7"/>
    </row>
    <row r="66" ht="15.75" customHeight="1">
      <c r="B66" s="7"/>
      <c r="C66" s="7"/>
      <c r="D66" s="7"/>
      <c r="E66" s="7"/>
    </row>
    <row r="67" ht="15.75" customHeight="1">
      <c r="B67" s="7"/>
      <c r="C67" s="7"/>
      <c r="D67" s="7"/>
      <c r="E67" s="7"/>
    </row>
    <row r="68" ht="15.75" customHeight="1">
      <c r="B68" s="7"/>
      <c r="C68" s="7"/>
      <c r="D68" s="7"/>
      <c r="E68" s="7"/>
    </row>
    <row r="69" ht="15.75" customHeight="1">
      <c r="B69" s="7"/>
      <c r="C69" s="7"/>
      <c r="D69" s="7"/>
      <c r="E69" s="7"/>
    </row>
    <row r="70" ht="15.75" customHeight="1">
      <c r="B70" s="7"/>
      <c r="C70" s="7"/>
      <c r="D70" s="7"/>
      <c r="E70" s="7"/>
    </row>
    <row r="71" ht="15.75" customHeight="1">
      <c r="B71" s="7"/>
      <c r="C71" s="7"/>
      <c r="D71" s="7"/>
      <c r="E71" s="7"/>
    </row>
    <row r="72" ht="15.75" customHeight="1">
      <c r="B72" s="7"/>
      <c r="C72" s="7"/>
      <c r="D72" s="7"/>
      <c r="E72" s="7"/>
    </row>
    <row r="73" ht="15.75" customHeight="1">
      <c r="B73" s="7"/>
      <c r="C73" s="7"/>
      <c r="D73" s="7"/>
      <c r="E73" s="7"/>
    </row>
    <row r="74" ht="15.75" customHeight="1">
      <c r="B74" s="7"/>
      <c r="C74" s="7"/>
      <c r="D74" s="7"/>
      <c r="E74" s="7"/>
    </row>
    <row r="75" ht="15.75" customHeight="1">
      <c r="B75" s="7"/>
      <c r="C75" s="7"/>
      <c r="D75" s="7"/>
      <c r="E75" s="7"/>
    </row>
    <row r="76" ht="15.75" customHeight="1">
      <c r="B76" s="7"/>
      <c r="C76" s="7"/>
      <c r="D76" s="7"/>
      <c r="E76" s="7"/>
    </row>
    <row r="77" ht="15.75" customHeight="1">
      <c r="B77" s="7"/>
      <c r="C77" s="7"/>
      <c r="D77" s="7"/>
      <c r="E77" s="7"/>
    </row>
    <row r="78" ht="15.75" customHeight="1">
      <c r="B78" s="7"/>
      <c r="C78" s="7"/>
      <c r="D78" s="7"/>
      <c r="E78" s="7"/>
    </row>
    <row r="79" ht="15.75" customHeight="1">
      <c r="B79" s="7"/>
      <c r="C79" s="7"/>
      <c r="D79" s="7"/>
      <c r="E79" s="7"/>
    </row>
    <row r="80" ht="15.75" customHeight="1">
      <c r="B80" s="7"/>
      <c r="C80" s="7"/>
      <c r="D80" s="7"/>
      <c r="E80" s="7"/>
    </row>
    <row r="81" ht="15.75" customHeight="1">
      <c r="B81" s="7"/>
      <c r="C81" s="7"/>
      <c r="D81" s="7"/>
      <c r="E81" s="7"/>
    </row>
    <row r="82" ht="15.75" customHeight="1">
      <c r="B82" s="7"/>
      <c r="C82" s="7"/>
      <c r="D82" s="7"/>
      <c r="E82" s="7"/>
    </row>
    <row r="83" ht="15.75" customHeight="1">
      <c r="B83" s="7"/>
      <c r="C83" s="7"/>
      <c r="D83" s="7"/>
      <c r="E83" s="7"/>
    </row>
    <row r="84" ht="15.75" customHeight="1">
      <c r="B84" s="7"/>
      <c r="C84" s="7"/>
      <c r="D84" s="7"/>
      <c r="E84" s="7"/>
    </row>
    <row r="85" ht="15.75" customHeight="1">
      <c r="B85" s="7"/>
      <c r="C85" s="7"/>
      <c r="D85" s="7"/>
      <c r="E85" s="7"/>
    </row>
    <row r="86" ht="15.75" customHeight="1">
      <c r="B86" s="7"/>
      <c r="C86" s="7"/>
      <c r="D86" s="7"/>
      <c r="E86" s="7"/>
    </row>
    <row r="87" ht="15.75" customHeight="1">
      <c r="B87" s="7"/>
      <c r="C87" s="7"/>
      <c r="D87" s="7"/>
      <c r="E87" s="7"/>
    </row>
    <row r="88" ht="15.75" customHeight="1">
      <c r="B88" s="7"/>
      <c r="C88" s="7"/>
      <c r="D88" s="7"/>
      <c r="E88" s="7"/>
    </row>
    <row r="89" ht="15.75" customHeight="1">
      <c r="B89" s="7"/>
      <c r="C89" s="7"/>
      <c r="D89" s="7"/>
      <c r="E89" s="7"/>
    </row>
    <row r="90" ht="15.75" customHeight="1">
      <c r="B90" s="7"/>
      <c r="C90" s="7"/>
      <c r="D90" s="7"/>
      <c r="E90" s="7"/>
    </row>
    <row r="91" ht="15.75" customHeight="1">
      <c r="B91" s="7"/>
      <c r="C91" s="7"/>
      <c r="D91" s="7"/>
      <c r="E91" s="7"/>
    </row>
    <row r="92" ht="15.75" customHeight="1">
      <c r="B92" s="7"/>
      <c r="C92" s="7"/>
      <c r="D92" s="7"/>
      <c r="E92" s="7"/>
    </row>
    <row r="93" ht="15.75" customHeight="1">
      <c r="B93" s="7"/>
      <c r="C93" s="7"/>
      <c r="D93" s="7"/>
      <c r="E93" s="7"/>
    </row>
    <row r="94" ht="15.75" customHeight="1">
      <c r="B94" s="7"/>
      <c r="C94" s="7"/>
      <c r="D94" s="7"/>
      <c r="E94" s="7"/>
    </row>
    <row r="95" ht="15.75" customHeight="1">
      <c r="B95" s="7"/>
      <c r="C95" s="7"/>
      <c r="D95" s="7"/>
      <c r="E95" s="7"/>
    </row>
    <row r="96" ht="15.75" customHeight="1">
      <c r="B96" s="7"/>
      <c r="C96" s="7"/>
      <c r="D96" s="7"/>
      <c r="E96" s="7"/>
    </row>
    <row r="97" ht="15.75" customHeight="1">
      <c r="B97" s="7"/>
      <c r="C97" s="7"/>
      <c r="D97" s="7"/>
      <c r="E97" s="7"/>
    </row>
    <row r="98" ht="15.75" customHeight="1">
      <c r="B98" s="7"/>
      <c r="C98" s="7"/>
      <c r="D98" s="7"/>
      <c r="E98" s="7"/>
    </row>
    <row r="99" ht="15.75" customHeight="1">
      <c r="B99" s="7"/>
      <c r="C99" s="7"/>
      <c r="D99" s="7"/>
      <c r="E99" s="7"/>
    </row>
    <row r="100" ht="15.75" customHeight="1">
      <c r="B100" s="7"/>
      <c r="C100" s="7"/>
      <c r="D100" s="7"/>
      <c r="E100" s="7"/>
    </row>
    <row r="101" ht="15.75" customHeight="1">
      <c r="B101" s="7"/>
      <c r="C101" s="7"/>
      <c r="D101" s="7"/>
      <c r="E101" s="7"/>
    </row>
    <row r="102" ht="15.75" customHeight="1">
      <c r="B102" s="7"/>
      <c r="C102" s="7"/>
      <c r="D102" s="7"/>
      <c r="E102" s="7"/>
    </row>
    <row r="103" ht="15.75" customHeight="1">
      <c r="B103" s="7"/>
      <c r="C103" s="7"/>
      <c r="D103" s="7"/>
      <c r="E103" s="7"/>
    </row>
    <row r="104" ht="15.75" customHeight="1">
      <c r="B104" s="7"/>
      <c r="C104" s="7"/>
      <c r="D104" s="7"/>
      <c r="E104" s="7"/>
    </row>
    <row r="105" ht="15.75" customHeight="1">
      <c r="B105" s="7"/>
      <c r="C105" s="7"/>
      <c r="D105" s="7"/>
      <c r="E105" s="7"/>
    </row>
    <row r="106" ht="15.75" customHeight="1">
      <c r="B106" s="7"/>
      <c r="C106" s="7"/>
      <c r="D106" s="7"/>
      <c r="E106" s="7"/>
    </row>
    <row r="107" ht="15.75" customHeight="1">
      <c r="B107" s="7"/>
      <c r="C107" s="7"/>
      <c r="D107" s="7"/>
      <c r="E107" s="7"/>
    </row>
    <row r="108" ht="15.75" customHeight="1">
      <c r="B108" s="7"/>
      <c r="C108" s="7"/>
      <c r="D108" s="7"/>
      <c r="E108" s="7"/>
    </row>
    <row r="109" ht="15.75" customHeight="1">
      <c r="B109" s="7"/>
      <c r="C109" s="7"/>
      <c r="D109" s="7"/>
      <c r="E109" s="7"/>
    </row>
    <row r="110" ht="15.75" customHeight="1">
      <c r="B110" s="7"/>
      <c r="C110" s="7"/>
      <c r="D110" s="7"/>
      <c r="E110" s="7"/>
    </row>
    <row r="111" ht="15.75" customHeight="1">
      <c r="B111" s="7"/>
      <c r="C111" s="7"/>
      <c r="D111" s="7"/>
      <c r="E111" s="7"/>
    </row>
    <row r="112" ht="15.75" customHeight="1">
      <c r="B112" s="7"/>
      <c r="C112" s="7"/>
      <c r="D112" s="7"/>
      <c r="E112" s="7"/>
    </row>
    <row r="113" ht="15.75" customHeight="1">
      <c r="B113" s="7"/>
      <c r="C113" s="7"/>
      <c r="D113" s="7"/>
      <c r="E113" s="7"/>
    </row>
    <row r="114" ht="15.75" customHeight="1">
      <c r="B114" s="7"/>
      <c r="C114" s="7"/>
      <c r="D114" s="7"/>
      <c r="E114" s="7"/>
    </row>
    <row r="115" ht="15.75" customHeight="1">
      <c r="B115" s="7"/>
      <c r="C115" s="7"/>
      <c r="D115" s="7"/>
      <c r="E115" s="7"/>
    </row>
    <row r="116" ht="15.75" customHeight="1">
      <c r="B116" s="7"/>
      <c r="C116" s="7"/>
      <c r="D116" s="7"/>
      <c r="E116" s="7"/>
    </row>
    <row r="117" ht="15.75" customHeight="1">
      <c r="B117" s="7"/>
      <c r="C117" s="7"/>
      <c r="D117" s="7"/>
      <c r="E117" s="7"/>
    </row>
    <row r="118" ht="15.75" customHeight="1">
      <c r="B118" s="7"/>
      <c r="C118" s="7"/>
      <c r="D118" s="7"/>
      <c r="E118" s="7"/>
    </row>
    <row r="119" ht="15.75" customHeight="1">
      <c r="B119" s="7"/>
      <c r="C119" s="7"/>
      <c r="D119" s="7"/>
      <c r="E119" s="7"/>
    </row>
    <row r="120" ht="15.75" customHeight="1">
      <c r="B120" s="7"/>
      <c r="C120" s="7"/>
      <c r="D120" s="7"/>
      <c r="E120" s="7"/>
    </row>
    <row r="121" ht="15.75" customHeight="1">
      <c r="B121" s="7"/>
      <c r="C121" s="7"/>
      <c r="D121" s="7"/>
      <c r="E121" s="7"/>
    </row>
    <row r="122" ht="15.75" customHeight="1">
      <c r="B122" s="7"/>
      <c r="C122" s="7"/>
      <c r="D122" s="7"/>
      <c r="E122" s="7"/>
    </row>
    <row r="123" ht="15.75" customHeight="1">
      <c r="B123" s="7"/>
      <c r="C123" s="7"/>
      <c r="D123" s="7"/>
      <c r="E123" s="7"/>
    </row>
    <row r="124" ht="15.75" customHeight="1">
      <c r="B124" s="7"/>
      <c r="C124" s="7"/>
      <c r="D124" s="7"/>
      <c r="E124" s="7"/>
    </row>
    <row r="125" ht="15.75" customHeight="1">
      <c r="B125" s="7"/>
      <c r="C125" s="7"/>
      <c r="D125" s="7"/>
      <c r="E125" s="7"/>
    </row>
    <row r="126" ht="15.75" customHeight="1">
      <c r="B126" s="7"/>
      <c r="C126" s="7"/>
      <c r="D126" s="7"/>
      <c r="E126" s="7"/>
    </row>
    <row r="127" ht="15.75" customHeight="1">
      <c r="B127" s="7"/>
      <c r="C127" s="7"/>
      <c r="D127" s="7"/>
      <c r="E127" s="7"/>
    </row>
    <row r="128" ht="15.75" customHeight="1">
      <c r="B128" s="7"/>
      <c r="C128" s="7"/>
      <c r="D128" s="7"/>
      <c r="E128" s="7"/>
    </row>
    <row r="129" ht="15.75" customHeight="1">
      <c r="B129" s="7"/>
      <c r="C129" s="7"/>
      <c r="D129" s="7"/>
      <c r="E129" s="7"/>
    </row>
    <row r="130" ht="15.75" customHeight="1">
      <c r="B130" s="7"/>
      <c r="C130" s="7"/>
      <c r="D130" s="7"/>
      <c r="E130" s="7"/>
    </row>
    <row r="131" ht="15.75" customHeight="1">
      <c r="B131" s="7"/>
      <c r="C131" s="7"/>
      <c r="D131" s="7"/>
      <c r="E131" s="7"/>
    </row>
    <row r="132" ht="15.75" customHeight="1">
      <c r="B132" s="7"/>
      <c r="C132" s="7"/>
      <c r="D132" s="7"/>
      <c r="E132" s="7"/>
    </row>
    <row r="133" ht="15.75" customHeight="1">
      <c r="B133" s="7"/>
      <c r="C133" s="7"/>
      <c r="D133" s="7"/>
      <c r="E133" s="7"/>
    </row>
    <row r="134" ht="15.75" customHeight="1">
      <c r="B134" s="7"/>
      <c r="C134" s="7"/>
      <c r="D134" s="7"/>
      <c r="E134" s="7"/>
    </row>
    <row r="135" ht="15.75" customHeight="1">
      <c r="B135" s="7"/>
      <c r="C135" s="7"/>
      <c r="D135" s="7"/>
      <c r="E135" s="7"/>
    </row>
    <row r="136" ht="15.75" customHeight="1">
      <c r="B136" s="7"/>
      <c r="C136" s="7"/>
      <c r="D136" s="7"/>
      <c r="E136" s="7"/>
    </row>
    <row r="137" ht="15.75" customHeight="1">
      <c r="B137" s="7"/>
      <c r="C137" s="7"/>
      <c r="D137" s="7"/>
      <c r="E137" s="7"/>
    </row>
    <row r="138" ht="15.75" customHeight="1">
      <c r="B138" s="7"/>
      <c r="C138" s="7"/>
      <c r="D138" s="7"/>
      <c r="E138" s="7"/>
    </row>
    <row r="139" ht="15.75" customHeight="1">
      <c r="B139" s="7"/>
      <c r="C139" s="7"/>
      <c r="D139" s="7"/>
      <c r="E139" s="7"/>
    </row>
    <row r="140" ht="15.75" customHeight="1">
      <c r="B140" s="7"/>
      <c r="C140" s="7"/>
      <c r="D140" s="7"/>
      <c r="E140" s="7"/>
    </row>
    <row r="141" ht="15.75" customHeight="1">
      <c r="B141" s="7"/>
      <c r="C141" s="7"/>
      <c r="D141" s="7"/>
      <c r="E141" s="7"/>
    </row>
    <row r="142" ht="15.75" customHeight="1">
      <c r="B142" s="7"/>
      <c r="C142" s="7"/>
      <c r="D142" s="7"/>
      <c r="E142" s="7"/>
    </row>
    <row r="143" ht="15.75" customHeight="1">
      <c r="B143" s="7"/>
      <c r="C143" s="7"/>
      <c r="D143" s="7"/>
      <c r="E143" s="7"/>
    </row>
    <row r="144" ht="15.75" customHeight="1">
      <c r="B144" s="7"/>
      <c r="C144" s="7"/>
      <c r="D144" s="7"/>
      <c r="E144" s="7"/>
    </row>
    <row r="145" ht="15.75" customHeight="1">
      <c r="B145" s="7"/>
      <c r="C145" s="7"/>
      <c r="D145" s="7"/>
      <c r="E145" s="7"/>
    </row>
    <row r="146" ht="15.75" customHeight="1">
      <c r="B146" s="7"/>
      <c r="C146" s="7"/>
      <c r="D146" s="7"/>
      <c r="E146" s="7"/>
    </row>
    <row r="147" ht="15.75" customHeight="1">
      <c r="B147" s="7"/>
      <c r="C147" s="7"/>
      <c r="D147" s="7"/>
      <c r="E147" s="7"/>
    </row>
    <row r="148" ht="15.75" customHeight="1">
      <c r="B148" s="7"/>
      <c r="C148" s="7"/>
      <c r="D148" s="7"/>
      <c r="E148" s="7"/>
    </row>
    <row r="149" ht="15.75" customHeight="1">
      <c r="B149" s="7"/>
      <c r="C149" s="7"/>
      <c r="D149" s="7"/>
      <c r="E149" s="7"/>
    </row>
    <row r="150" ht="15.75" customHeight="1">
      <c r="B150" s="7"/>
      <c r="C150" s="7"/>
      <c r="D150" s="7"/>
      <c r="E150" s="7"/>
    </row>
    <row r="151" ht="15.75" customHeight="1">
      <c r="B151" s="7"/>
      <c r="C151" s="7"/>
      <c r="D151" s="7"/>
      <c r="E151" s="7"/>
    </row>
    <row r="152" ht="15.75" customHeight="1">
      <c r="B152" s="7"/>
      <c r="C152" s="7"/>
      <c r="D152" s="7"/>
      <c r="E152" s="7"/>
    </row>
    <row r="153" ht="15.75" customHeight="1">
      <c r="B153" s="7"/>
      <c r="C153" s="7"/>
      <c r="D153" s="7"/>
      <c r="E153" s="7"/>
    </row>
    <row r="154" ht="15.75" customHeight="1">
      <c r="B154" s="7"/>
      <c r="C154" s="7"/>
      <c r="D154" s="7"/>
      <c r="E154" s="7"/>
    </row>
    <row r="155" ht="15.75" customHeight="1">
      <c r="B155" s="7"/>
      <c r="C155" s="7"/>
      <c r="D155" s="7"/>
      <c r="E155" s="7"/>
    </row>
    <row r="156" ht="15.75" customHeight="1">
      <c r="B156" s="7"/>
      <c r="C156" s="7"/>
      <c r="D156" s="7"/>
      <c r="E156" s="7"/>
    </row>
    <row r="157" ht="15.75" customHeight="1">
      <c r="B157" s="7"/>
      <c r="C157" s="7"/>
      <c r="D157" s="7"/>
      <c r="E157" s="7"/>
    </row>
    <row r="158" ht="15.75" customHeight="1">
      <c r="B158" s="7"/>
      <c r="C158" s="7"/>
      <c r="D158" s="7"/>
      <c r="E158" s="7"/>
    </row>
    <row r="159" ht="15.75" customHeight="1">
      <c r="B159" s="7"/>
      <c r="C159" s="7"/>
      <c r="D159" s="7"/>
      <c r="E159" s="7"/>
    </row>
    <row r="160" ht="15.75" customHeight="1">
      <c r="B160" s="7"/>
      <c r="C160" s="7"/>
      <c r="D160" s="7"/>
      <c r="E160" s="7"/>
    </row>
    <row r="161" ht="15.75" customHeight="1">
      <c r="B161" s="7"/>
      <c r="C161" s="7"/>
      <c r="D161" s="7"/>
      <c r="E161" s="7"/>
    </row>
    <row r="162" ht="15.75" customHeight="1">
      <c r="B162" s="7"/>
      <c r="C162" s="7"/>
      <c r="D162" s="7"/>
      <c r="E162" s="7"/>
    </row>
    <row r="163" ht="15.75" customHeight="1">
      <c r="B163" s="7"/>
      <c r="C163" s="7"/>
      <c r="D163" s="7"/>
      <c r="E163" s="7"/>
    </row>
    <row r="164" ht="15.75" customHeight="1">
      <c r="B164" s="7"/>
      <c r="C164" s="7"/>
      <c r="D164" s="7"/>
      <c r="E164" s="7"/>
    </row>
    <row r="165" ht="15.75" customHeight="1">
      <c r="B165" s="7"/>
      <c r="C165" s="7"/>
      <c r="D165" s="7"/>
      <c r="E165" s="7"/>
    </row>
    <row r="166" ht="15.75" customHeight="1">
      <c r="B166" s="7"/>
      <c r="C166" s="7"/>
      <c r="D166" s="7"/>
      <c r="E166" s="7"/>
    </row>
    <row r="167" ht="15.75" customHeight="1">
      <c r="B167" s="7"/>
      <c r="C167" s="7"/>
      <c r="D167" s="7"/>
      <c r="E167" s="7"/>
    </row>
    <row r="168" ht="15.75" customHeight="1">
      <c r="B168" s="7"/>
      <c r="C168" s="7"/>
      <c r="D168" s="7"/>
      <c r="E168" s="7"/>
    </row>
    <row r="169" ht="15.75" customHeight="1">
      <c r="B169" s="7"/>
      <c r="C169" s="7"/>
      <c r="D169" s="7"/>
      <c r="E169" s="7"/>
    </row>
    <row r="170" ht="15.75" customHeight="1">
      <c r="B170" s="7"/>
      <c r="C170" s="7"/>
      <c r="D170" s="7"/>
      <c r="E170" s="7"/>
    </row>
    <row r="171" ht="15.75" customHeight="1">
      <c r="B171" s="7"/>
      <c r="C171" s="7"/>
      <c r="D171" s="7"/>
      <c r="E171" s="7"/>
    </row>
    <row r="172" ht="15.75" customHeight="1">
      <c r="B172" s="7"/>
      <c r="C172" s="7"/>
      <c r="D172" s="7"/>
      <c r="E172" s="7"/>
    </row>
    <row r="173" ht="15.75" customHeight="1">
      <c r="B173" s="7"/>
      <c r="C173" s="7"/>
      <c r="D173" s="7"/>
      <c r="E173" s="7"/>
    </row>
    <row r="174" ht="15.75" customHeight="1">
      <c r="B174" s="7"/>
      <c r="C174" s="7"/>
      <c r="D174" s="7"/>
      <c r="E174" s="7"/>
    </row>
    <row r="175" ht="15.75" customHeight="1">
      <c r="B175" s="7"/>
      <c r="C175" s="7"/>
      <c r="D175" s="7"/>
      <c r="E175" s="7"/>
    </row>
    <row r="176" ht="15.75" customHeight="1">
      <c r="B176" s="7"/>
      <c r="C176" s="7"/>
      <c r="D176" s="7"/>
      <c r="E176" s="7"/>
    </row>
    <row r="177" ht="15.75" customHeight="1">
      <c r="B177" s="7"/>
      <c r="C177" s="7"/>
      <c r="D177" s="7"/>
      <c r="E177" s="7"/>
    </row>
    <row r="178" ht="15.75" customHeight="1">
      <c r="B178" s="7"/>
      <c r="C178" s="7"/>
      <c r="D178" s="7"/>
      <c r="E178" s="7"/>
    </row>
    <row r="179" ht="15.75" customHeight="1">
      <c r="B179" s="7"/>
      <c r="C179" s="7"/>
      <c r="D179" s="7"/>
      <c r="E179" s="7"/>
    </row>
    <row r="180" ht="15.75" customHeight="1">
      <c r="B180" s="7"/>
      <c r="C180" s="7"/>
      <c r="D180" s="7"/>
      <c r="E180" s="7"/>
    </row>
    <row r="181" ht="15.75" customHeight="1">
      <c r="B181" s="7"/>
      <c r="C181" s="7"/>
      <c r="D181" s="7"/>
      <c r="E181" s="7"/>
    </row>
    <row r="182" ht="15.75" customHeight="1">
      <c r="B182" s="7"/>
      <c r="C182" s="7"/>
      <c r="D182" s="7"/>
      <c r="E182" s="7"/>
    </row>
    <row r="183" ht="15.75" customHeight="1">
      <c r="B183" s="7"/>
      <c r="C183" s="7"/>
      <c r="D183" s="7"/>
      <c r="E183" s="7"/>
    </row>
    <row r="184" ht="15.75" customHeight="1">
      <c r="B184" s="7"/>
      <c r="C184" s="7"/>
      <c r="D184" s="7"/>
      <c r="E184" s="7"/>
    </row>
    <row r="185" ht="15.75" customHeight="1">
      <c r="B185" s="7"/>
      <c r="C185" s="7"/>
      <c r="D185" s="7"/>
      <c r="E185" s="7"/>
    </row>
    <row r="186" ht="15.75" customHeight="1">
      <c r="B186" s="7"/>
      <c r="C186" s="7"/>
      <c r="D186" s="7"/>
      <c r="E186" s="7"/>
    </row>
    <row r="187" ht="15.75" customHeight="1">
      <c r="B187" s="7"/>
      <c r="C187" s="7"/>
      <c r="D187" s="7"/>
      <c r="E187" s="7"/>
    </row>
    <row r="188" ht="15.75" customHeight="1">
      <c r="B188" s="7"/>
      <c r="C188" s="7"/>
      <c r="D188" s="7"/>
      <c r="E188" s="7"/>
    </row>
    <row r="189" ht="15.75" customHeight="1">
      <c r="B189" s="7"/>
      <c r="C189" s="7"/>
      <c r="D189" s="7"/>
      <c r="E189" s="7"/>
    </row>
    <row r="190" ht="15.75" customHeight="1">
      <c r="B190" s="7"/>
      <c r="C190" s="7"/>
      <c r="D190" s="7"/>
      <c r="E190" s="7"/>
    </row>
    <row r="191" ht="15.75" customHeight="1">
      <c r="B191" s="7"/>
      <c r="C191" s="7"/>
      <c r="D191" s="7"/>
      <c r="E191" s="7"/>
    </row>
    <row r="192" ht="15.75" customHeight="1">
      <c r="B192" s="7"/>
      <c r="C192" s="7"/>
      <c r="D192" s="7"/>
      <c r="E192" s="7"/>
    </row>
    <row r="193" ht="15.75" customHeight="1">
      <c r="B193" s="7"/>
      <c r="C193" s="7"/>
      <c r="D193" s="7"/>
      <c r="E193" s="7"/>
    </row>
    <row r="194" ht="15.75" customHeight="1">
      <c r="B194" s="7"/>
      <c r="C194" s="7"/>
      <c r="D194" s="7"/>
      <c r="E194" s="7"/>
    </row>
    <row r="195" ht="15.75" customHeight="1">
      <c r="B195" s="7"/>
      <c r="C195" s="7"/>
      <c r="D195" s="7"/>
      <c r="E195" s="7"/>
    </row>
    <row r="196" ht="15.75" customHeight="1">
      <c r="B196" s="7"/>
      <c r="C196" s="7"/>
      <c r="D196" s="7"/>
      <c r="E196" s="7"/>
    </row>
    <row r="197" ht="15.75" customHeight="1">
      <c r="B197" s="7"/>
      <c r="C197" s="7"/>
      <c r="D197" s="7"/>
      <c r="E197" s="7"/>
    </row>
    <row r="198" ht="15.75" customHeight="1">
      <c r="B198" s="7"/>
      <c r="C198" s="7"/>
      <c r="D198" s="7"/>
      <c r="E198" s="7"/>
    </row>
    <row r="199" ht="15.75" customHeight="1">
      <c r="B199" s="7"/>
      <c r="C199" s="7"/>
      <c r="D199" s="7"/>
      <c r="E199" s="7"/>
    </row>
    <row r="200" ht="15.75" customHeight="1">
      <c r="B200" s="7"/>
      <c r="C200" s="7"/>
      <c r="D200" s="7"/>
      <c r="E200" s="7"/>
    </row>
    <row r="201" ht="15.75" customHeight="1">
      <c r="B201" s="7"/>
      <c r="C201" s="7"/>
      <c r="D201" s="7"/>
      <c r="E201" s="7"/>
    </row>
    <row r="202" ht="15.75" customHeight="1">
      <c r="B202" s="7"/>
      <c r="C202" s="7"/>
      <c r="D202" s="7"/>
      <c r="E202" s="7"/>
    </row>
    <row r="203" ht="15.75" customHeight="1">
      <c r="B203" s="7"/>
      <c r="C203" s="7"/>
      <c r="D203" s="7"/>
      <c r="E203" s="7"/>
    </row>
    <row r="204" ht="15.75" customHeight="1">
      <c r="B204" s="7"/>
      <c r="C204" s="7"/>
      <c r="D204" s="7"/>
      <c r="E204" s="7"/>
    </row>
    <row r="205" ht="15.75" customHeight="1">
      <c r="B205" s="7"/>
      <c r="C205" s="7"/>
      <c r="D205" s="7"/>
      <c r="E205" s="7"/>
    </row>
    <row r="206" ht="15.75" customHeight="1">
      <c r="B206" s="7"/>
      <c r="C206" s="7"/>
      <c r="D206" s="7"/>
      <c r="E206" s="7"/>
    </row>
    <row r="207" ht="15.75" customHeight="1">
      <c r="B207" s="7"/>
      <c r="C207" s="7"/>
      <c r="D207" s="7"/>
      <c r="E207" s="7"/>
    </row>
    <row r="208" ht="15.75" customHeight="1">
      <c r="B208" s="7"/>
      <c r="C208" s="7"/>
      <c r="D208" s="7"/>
      <c r="E208" s="7"/>
    </row>
    <row r="209" ht="15.75" customHeight="1">
      <c r="B209" s="7"/>
      <c r="C209" s="7"/>
      <c r="D209" s="7"/>
      <c r="E209" s="7"/>
    </row>
    <row r="210" ht="15.75" customHeight="1">
      <c r="B210" s="7"/>
      <c r="C210" s="7"/>
      <c r="D210" s="7"/>
      <c r="E210" s="7"/>
    </row>
    <row r="211" ht="15.75" customHeight="1">
      <c r="B211" s="7"/>
      <c r="C211" s="7"/>
      <c r="D211" s="7"/>
      <c r="E211" s="7"/>
    </row>
    <row r="212" ht="15.75" customHeight="1">
      <c r="B212" s="7"/>
      <c r="C212" s="7"/>
      <c r="D212" s="7"/>
      <c r="E212" s="7"/>
    </row>
    <row r="213" ht="15.75" customHeight="1">
      <c r="B213" s="7"/>
      <c r="C213" s="7"/>
      <c r="D213" s="7"/>
      <c r="E213" s="7"/>
    </row>
    <row r="214" ht="15.75" customHeight="1">
      <c r="B214" s="7"/>
      <c r="C214" s="7"/>
      <c r="D214" s="7"/>
      <c r="E214" s="7"/>
    </row>
    <row r="215" ht="15.75" customHeight="1">
      <c r="B215" s="7"/>
      <c r="C215" s="7"/>
      <c r="D215" s="7"/>
      <c r="E215" s="7"/>
    </row>
    <row r="216" ht="15.75" customHeight="1">
      <c r="B216" s="7"/>
      <c r="C216" s="7"/>
      <c r="D216" s="7"/>
      <c r="E216" s="7"/>
    </row>
    <row r="217" ht="15.75" customHeight="1">
      <c r="B217" s="7"/>
      <c r="C217" s="7"/>
      <c r="D217" s="7"/>
      <c r="E217" s="7"/>
    </row>
    <row r="218" ht="15.75" customHeight="1">
      <c r="B218" s="7"/>
      <c r="C218" s="7"/>
      <c r="D218" s="7"/>
      <c r="E218" s="7"/>
    </row>
    <row r="219" ht="15.75" customHeight="1">
      <c r="B219" s="7"/>
      <c r="C219" s="7"/>
      <c r="D219" s="7"/>
      <c r="E219" s="7"/>
    </row>
    <row r="220" ht="15.75" customHeight="1">
      <c r="B220" s="7"/>
      <c r="C220" s="7"/>
      <c r="D220" s="7"/>
      <c r="E220" s="7"/>
    </row>
    <row r="221" ht="15.75" customHeight="1">
      <c r="B221" s="7"/>
      <c r="C221" s="7"/>
      <c r="D221" s="7"/>
      <c r="E221" s="7"/>
    </row>
    <row r="222" ht="15.75" customHeight="1">
      <c r="B222" s="7"/>
      <c r="C222" s="7"/>
      <c r="D222" s="7"/>
      <c r="E222" s="7"/>
    </row>
    <row r="223" ht="15.75" customHeight="1">
      <c r="B223" s="7"/>
      <c r="C223" s="7"/>
      <c r="D223" s="7"/>
      <c r="E223" s="7"/>
    </row>
    <row r="224" ht="15.75" customHeight="1">
      <c r="B224" s="7"/>
      <c r="C224" s="7"/>
      <c r="D224" s="7"/>
      <c r="E224" s="7"/>
    </row>
    <row r="225" ht="15.75" customHeight="1">
      <c r="B225" s="7"/>
      <c r="C225" s="7"/>
      <c r="D225" s="7"/>
      <c r="E225" s="7"/>
    </row>
    <row r="226" ht="15.75" customHeight="1">
      <c r="B226" s="7"/>
      <c r="C226" s="7"/>
      <c r="D226" s="7"/>
      <c r="E226" s="7"/>
    </row>
    <row r="227" ht="15.75" customHeight="1">
      <c r="B227" s="7"/>
      <c r="C227" s="7"/>
      <c r="D227" s="7"/>
      <c r="E227" s="7"/>
    </row>
    <row r="228" ht="15.75" customHeight="1">
      <c r="B228" s="7"/>
      <c r="C228" s="7"/>
      <c r="D228" s="7"/>
      <c r="E228" s="7"/>
    </row>
    <row r="229" ht="15.75" customHeight="1">
      <c r="B229" s="7"/>
      <c r="C229" s="7"/>
      <c r="D229" s="7"/>
      <c r="E229" s="7"/>
    </row>
    <row r="230" ht="15.75" customHeight="1">
      <c r="B230" s="7"/>
      <c r="C230" s="7"/>
      <c r="D230" s="7"/>
      <c r="E230" s="7"/>
    </row>
    <row r="231" ht="15.75" customHeight="1">
      <c r="B231" s="7"/>
      <c r="C231" s="7"/>
      <c r="D231" s="7"/>
      <c r="E231" s="7"/>
    </row>
    <row r="232" ht="15.75" customHeight="1">
      <c r="B232" s="7"/>
      <c r="C232" s="7"/>
      <c r="D232" s="7"/>
      <c r="E232" s="7"/>
    </row>
    <row r="233" ht="15.75" customHeight="1">
      <c r="B233" s="7"/>
      <c r="C233" s="7"/>
      <c r="D233" s="7"/>
      <c r="E233" s="7"/>
    </row>
    <row r="234" ht="15.75" customHeight="1">
      <c r="B234" s="7"/>
      <c r="C234" s="7"/>
      <c r="D234" s="7"/>
      <c r="E234" s="7"/>
    </row>
    <row r="235" ht="15.75" customHeight="1">
      <c r="B235" s="7"/>
      <c r="C235" s="7"/>
      <c r="D235" s="7"/>
      <c r="E235" s="7"/>
    </row>
    <row r="236" ht="15.75" customHeight="1">
      <c r="B236" s="7"/>
      <c r="C236" s="7"/>
      <c r="D236" s="7"/>
      <c r="E236" s="7"/>
    </row>
    <row r="237" ht="15.75" customHeight="1">
      <c r="B237" s="7"/>
      <c r="C237" s="7"/>
      <c r="D237" s="7"/>
      <c r="E237" s="7"/>
    </row>
    <row r="238" ht="15.75" customHeight="1">
      <c r="B238" s="7"/>
      <c r="C238" s="7"/>
      <c r="D238" s="7"/>
      <c r="E238" s="7"/>
    </row>
    <row r="239" ht="15.75" customHeight="1">
      <c r="B239" s="7"/>
      <c r="C239" s="7"/>
      <c r="D239" s="7"/>
      <c r="E239" s="7"/>
    </row>
    <row r="240" ht="15.75" customHeight="1">
      <c r="B240" s="7"/>
      <c r="C240" s="7"/>
      <c r="D240" s="7"/>
      <c r="E240" s="7"/>
    </row>
    <row r="241" ht="15.75" customHeight="1">
      <c r="B241" s="7"/>
      <c r="C241" s="7"/>
      <c r="D241" s="7"/>
      <c r="E241" s="7"/>
    </row>
    <row r="242" ht="15.75" customHeight="1">
      <c r="B242" s="7"/>
      <c r="C242" s="7"/>
      <c r="D242" s="7"/>
      <c r="E242" s="7"/>
    </row>
    <row r="243" ht="15.75" customHeight="1">
      <c r="B243" s="7"/>
      <c r="C243" s="7"/>
      <c r="D243" s="7"/>
      <c r="E243" s="7"/>
    </row>
    <row r="244" ht="15.75" customHeight="1">
      <c r="B244" s="7"/>
      <c r="C244" s="7"/>
      <c r="D244" s="7"/>
      <c r="E244" s="7"/>
    </row>
    <row r="245" ht="15.75" customHeight="1">
      <c r="B245" s="7"/>
      <c r="C245" s="7"/>
      <c r="D245" s="7"/>
      <c r="E245" s="7"/>
    </row>
    <row r="246" ht="15.75" customHeight="1">
      <c r="B246" s="7"/>
      <c r="C246" s="7"/>
      <c r="D246" s="7"/>
      <c r="E246" s="7"/>
    </row>
    <row r="247" ht="15.75" customHeight="1">
      <c r="B247" s="7"/>
      <c r="C247" s="7"/>
      <c r="D247" s="7"/>
      <c r="E247" s="7"/>
    </row>
    <row r="248" ht="15.75" customHeight="1">
      <c r="B248" s="7"/>
      <c r="C248" s="7"/>
      <c r="D248" s="7"/>
      <c r="E248" s="7"/>
    </row>
    <row r="249" ht="15.75" customHeight="1">
      <c r="B249" s="7"/>
      <c r="C249" s="7"/>
      <c r="D249" s="7"/>
      <c r="E249" s="7"/>
    </row>
    <row r="250" ht="15.75" customHeight="1">
      <c r="B250" s="7"/>
      <c r="C250" s="7"/>
      <c r="D250" s="7"/>
      <c r="E250" s="7"/>
    </row>
    <row r="251" ht="15.75" customHeight="1">
      <c r="B251" s="7"/>
      <c r="C251" s="7"/>
      <c r="D251" s="7"/>
      <c r="E251" s="7"/>
    </row>
    <row r="252" ht="15.75" customHeight="1">
      <c r="B252" s="7"/>
      <c r="C252" s="7"/>
      <c r="D252" s="7"/>
      <c r="E252" s="7"/>
    </row>
    <row r="253" ht="15.75" customHeight="1">
      <c r="B253" s="7"/>
      <c r="C253" s="7"/>
      <c r="D253" s="7"/>
      <c r="E253" s="7"/>
    </row>
    <row r="254" ht="15.75" customHeight="1">
      <c r="B254" s="7"/>
      <c r="C254" s="7"/>
      <c r="D254" s="7"/>
      <c r="E254" s="7"/>
    </row>
    <row r="255" ht="15.75" customHeight="1">
      <c r="B255" s="7"/>
      <c r="C255" s="7"/>
      <c r="D255" s="7"/>
      <c r="E255" s="7"/>
    </row>
    <row r="256" ht="15.75" customHeight="1">
      <c r="B256" s="7"/>
      <c r="C256" s="7"/>
      <c r="D256" s="7"/>
      <c r="E256" s="7"/>
    </row>
    <row r="257" ht="15.75" customHeight="1">
      <c r="B257" s="7"/>
      <c r="C257" s="7"/>
      <c r="D257" s="7"/>
      <c r="E257" s="7"/>
    </row>
    <row r="258" ht="15.75" customHeight="1">
      <c r="B258" s="7"/>
      <c r="C258" s="7"/>
      <c r="D258" s="7"/>
      <c r="E258" s="7"/>
    </row>
    <row r="259" ht="15.75" customHeight="1">
      <c r="B259" s="7"/>
      <c r="C259" s="7"/>
      <c r="D259" s="7"/>
      <c r="E259" s="7"/>
    </row>
    <row r="260" ht="15.75" customHeight="1">
      <c r="B260" s="7"/>
      <c r="C260" s="7"/>
      <c r="D260" s="7"/>
      <c r="E260" s="7"/>
    </row>
    <row r="261" ht="15.75" customHeight="1">
      <c r="B261" s="7"/>
      <c r="C261" s="7"/>
      <c r="D261" s="7"/>
      <c r="E261" s="7"/>
    </row>
    <row r="262" ht="15.75" customHeight="1">
      <c r="B262" s="7"/>
      <c r="C262" s="7"/>
      <c r="D262" s="7"/>
      <c r="E262" s="7"/>
    </row>
    <row r="263" ht="15.75" customHeight="1">
      <c r="B263" s="7"/>
      <c r="C263" s="7"/>
      <c r="D263" s="7"/>
      <c r="E263" s="7"/>
    </row>
    <row r="264" ht="15.75" customHeight="1">
      <c r="B264" s="7"/>
      <c r="C264" s="7"/>
      <c r="D264" s="7"/>
      <c r="E264" s="7"/>
    </row>
    <row r="265" ht="15.75" customHeight="1">
      <c r="B265" s="7"/>
      <c r="C265" s="7"/>
      <c r="D265" s="7"/>
      <c r="E265" s="7"/>
    </row>
    <row r="266" ht="15.75" customHeight="1">
      <c r="B266" s="7"/>
      <c r="C266" s="7"/>
      <c r="D266" s="7"/>
      <c r="E266" s="7"/>
    </row>
    <row r="267" ht="15.75" customHeight="1">
      <c r="B267" s="7"/>
      <c r="C267" s="7"/>
      <c r="D267" s="7"/>
      <c r="E267" s="7"/>
    </row>
    <row r="268" ht="15.75" customHeight="1">
      <c r="B268" s="7"/>
      <c r="C268" s="7"/>
      <c r="D268" s="7"/>
      <c r="E268" s="7"/>
    </row>
    <row r="269" ht="15.75" customHeight="1">
      <c r="B269" s="7"/>
      <c r="C269" s="7"/>
      <c r="D269" s="7"/>
      <c r="E269" s="7"/>
    </row>
    <row r="270" ht="15.75" customHeight="1">
      <c r="B270" s="7"/>
      <c r="C270" s="7"/>
      <c r="D270" s="7"/>
      <c r="E270" s="7"/>
    </row>
    <row r="271" ht="15.75" customHeight="1">
      <c r="B271" s="7"/>
      <c r="C271" s="7"/>
      <c r="D271" s="7"/>
      <c r="E271" s="7"/>
    </row>
    <row r="272" ht="15.75" customHeight="1">
      <c r="B272" s="7"/>
      <c r="C272" s="7"/>
      <c r="D272" s="7"/>
      <c r="E272" s="7"/>
    </row>
    <row r="273" ht="15.75" customHeight="1">
      <c r="B273" s="7"/>
      <c r="C273" s="7"/>
      <c r="D273" s="7"/>
      <c r="E273" s="7"/>
    </row>
    <row r="274" ht="15.75" customHeight="1">
      <c r="B274" s="7"/>
      <c r="C274" s="7"/>
      <c r="D274" s="7"/>
      <c r="E274" s="7"/>
    </row>
    <row r="275" ht="15.75" customHeight="1">
      <c r="B275" s="7"/>
      <c r="C275" s="7"/>
      <c r="D275" s="7"/>
      <c r="E275" s="7"/>
    </row>
    <row r="276" ht="15.75" customHeight="1">
      <c r="B276" s="7"/>
      <c r="C276" s="7"/>
      <c r="D276" s="7"/>
      <c r="E276" s="7"/>
    </row>
    <row r="277" ht="15.75" customHeight="1">
      <c r="B277" s="7"/>
      <c r="C277" s="7"/>
      <c r="D277" s="7"/>
      <c r="E277" s="7"/>
    </row>
    <row r="278" ht="15.75" customHeight="1">
      <c r="B278" s="7"/>
      <c r="C278" s="7"/>
      <c r="D278" s="7"/>
      <c r="E278" s="7"/>
    </row>
    <row r="279" ht="15.75" customHeight="1">
      <c r="B279" s="7"/>
      <c r="C279" s="7"/>
      <c r="D279" s="7"/>
      <c r="E279" s="7"/>
    </row>
    <row r="280" ht="15.75" customHeight="1">
      <c r="B280" s="7"/>
      <c r="C280" s="7"/>
      <c r="D280" s="7"/>
      <c r="E280" s="7"/>
    </row>
    <row r="281" ht="15.75" customHeight="1">
      <c r="B281" s="7"/>
      <c r="C281" s="7"/>
      <c r="D281" s="7"/>
      <c r="E281" s="7"/>
    </row>
    <row r="282" ht="15.75" customHeight="1">
      <c r="B282" s="7"/>
      <c r="C282" s="7"/>
      <c r="D282" s="7"/>
      <c r="E282" s="7"/>
    </row>
    <row r="283" ht="15.75" customHeight="1">
      <c r="B283" s="7"/>
      <c r="C283" s="7"/>
      <c r="D283" s="7"/>
      <c r="E283" s="7"/>
    </row>
    <row r="284" ht="15.75" customHeight="1">
      <c r="B284" s="7"/>
      <c r="C284" s="7"/>
      <c r="D284" s="7"/>
      <c r="E284" s="7"/>
    </row>
    <row r="285" ht="15.75" customHeight="1">
      <c r="B285" s="7"/>
      <c r="C285" s="7"/>
      <c r="D285" s="7"/>
      <c r="E285" s="7"/>
    </row>
    <row r="286" ht="15.75" customHeight="1">
      <c r="B286" s="7"/>
      <c r="C286" s="7"/>
      <c r="D286" s="7"/>
      <c r="E286" s="7"/>
    </row>
    <row r="287" ht="15.75" customHeight="1">
      <c r="B287" s="7"/>
      <c r="C287" s="7"/>
      <c r="D287" s="7"/>
      <c r="E287" s="7"/>
    </row>
    <row r="288" ht="15.75" customHeight="1">
      <c r="B288" s="7"/>
      <c r="C288" s="7"/>
      <c r="D288" s="7"/>
      <c r="E288" s="7"/>
    </row>
    <row r="289" ht="15.75" customHeight="1">
      <c r="B289" s="7"/>
      <c r="C289" s="7"/>
      <c r="D289" s="7"/>
      <c r="E289" s="7"/>
    </row>
    <row r="290" ht="15.75" customHeight="1">
      <c r="B290" s="7"/>
      <c r="C290" s="7"/>
      <c r="D290" s="7"/>
      <c r="E290" s="7"/>
    </row>
    <row r="291" ht="15.75" customHeight="1">
      <c r="B291" s="7"/>
      <c r="C291" s="7"/>
      <c r="D291" s="7"/>
      <c r="E291" s="7"/>
    </row>
    <row r="292" ht="15.75" customHeight="1">
      <c r="B292" s="7"/>
      <c r="C292" s="7"/>
      <c r="D292" s="7"/>
      <c r="E292" s="7"/>
    </row>
    <row r="293" ht="15.75" customHeight="1">
      <c r="B293" s="7"/>
      <c r="C293" s="7"/>
      <c r="D293" s="7"/>
      <c r="E293" s="7"/>
    </row>
    <row r="294" ht="15.75" customHeight="1">
      <c r="B294" s="7"/>
      <c r="C294" s="7"/>
      <c r="D294" s="7"/>
      <c r="E294" s="7"/>
    </row>
    <row r="295" ht="15.75" customHeight="1">
      <c r="B295" s="7"/>
      <c r="C295" s="7"/>
      <c r="D295" s="7"/>
      <c r="E295" s="7"/>
    </row>
    <row r="296" ht="15.75" customHeight="1">
      <c r="B296" s="7"/>
      <c r="C296" s="7"/>
      <c r="D296" s="7"/>
      <c r="E296" s="7"/>
    </row>
    <row r="297" ht="15.75" customHeight="1">
      <c r="B297" s="7"/>
      <c r="C297" s="7"/>
      <c r="D297" s="7"/>
      <c r="E297" s="7"/>
    </row>
    <row r="298" ht="15.75" customHeight="1">
      <c r="B298" s="7"/>
      <c r="C298" s="7"/>
      <c r="D298" s="7"/>
      <c r="E298" s="7"/>
    </row>
    <row r="299" ht="15.75" customHeight="1">
      <c r="B299" s="7"/>
      <c r="C299" s="7"/>
      <c r="D299" s="7"/>
      <c r="E299" s="7"/>
    </row>
    <row r="300" ht="15.75" customHeight="1">
      <c r="B300" s="7"/>
      <c r="C300" s="7"/>
      <c r="D300" s="7"/>
      <c r="E300" s="7"/>
    </row>
    <row r="301" ht="15.75" customHeight="1">
      <c r="B301" s="7"/>
      <c r="C301" s="7"/>
      <c r="D301" s="7"/>
      <c r="E301" s="7"/>
    </row>
    <row r="302" ht="15.75" customHeight="1">
      <c r="B302" s="7"/>
      <c r="C302" s="7"/>
      <c r="D302" s="7"/>
      <c r="E302" s="7"/>
    </row>
    <row r="303" ht="15.75" customHeight="1">
      <c r="B303" s="7"/>
      <c r="C303" s="7"/>
      <c r="D303" s="7"/>
      <c r="E303" s="7"/>
    </row>
    <row r="304" ht="15.75" customHeight="1">
      <c r="B304" s="7"/>
      <c r="C304" s="7"/>
      <c r="D304" s="7"/>
      <c r="E304" s="7"/>
    </row>
    <row r="305" ht="15.75" customHeight="1">
      <c r="B305" s="7"/>
      <c r="C305" s="7"/>
      <c r="D305" s="7"/>
      <c r="E305" s="7"/>
    </row>
    <row r="306" ht="15.75" customHeight="1">
      <c r="B306" s="7"/>
      <c r="C306" s="7"/>
      <c r="D306" s="7"/>
      <c r="E306" s="7"/>
    </row>
    <row r="307" ht="15.75" customHeight="1">
      <c r="B307" s="7"/>
      <c r="C307" s="7"/>
      <c r="D307" s="7"/>
      <c r="E307" s="7"/>
    </row>
    <row r="308" ht="15.75" customHeight="1">
      <c r="B308" s="7"/>
      <c r="C308" s="7"/>
      <c r="D308" s="7"/>
      <c r="E308" s="7"/>
    </row>
    <row r="309" ht="15.75" customHeight="1">
      <c r="B309" s="7"/>
      <c r="C309" s="7"/>
      <c r="D309" s="7"/>
      <c r="E309" s="7"/>
    </row>
    <row r="310" ht="15.75" customHeight="1">
      <c r="B310" s="7"/>
      <c r="C310" s="7"/>
      <c r="D310" s="7"/>
      <c r="E310" s="7"/>
    </row>
    <row r="311" ht="15.75" customHeight="1">
      <c r="B311" s="7"/>
      <c r="C311" s="7"/>
      <c r="D311" s="7"/>
      <c r="E311" s="7"/>
    </row>
    <row r="312" ht="15.75" customHeight="1">
      <c r="B312" s="7"/>
      <c r="C312" s="7"/>
      <c r="D312" s="7"/>
      <c r="E312" s="7"/>
    </row>
    <row r="313" ht="15.75" customHeight="1">
      <c r="B313" s="7"/>
      <c r="C313" s="7"/>
      <c r="D313" s="7"/>
      <c r="E313" s="7"/>
    </row>
    <row r="314" ht="15.75" customHeight="1">
      <c r="B314" s="7"/>
      <c r="C314" s="7"/>
      <c r="D314" s="7"/>
      <c r="E314" s="7"/>
    </row>
    <row r="315" ht="15.75" customHeight="1">
      <c r="B315" s="7"/>
      <c r="C315" s="7"/>
      <c r="D315" s="7"/>
      <c r="E315" s="7"/>
    </row>
    <row r="316" ht="15.75" customHeight="1">
      <c r="B316" s="7"/>
      <c r="C316" s="7"/>
      <c r="D316" s="7"/>
      <c r="E316" s="7"/>
    </row>
    <row r="317" ht="15.75" customHeight="1">
      <c r="B317" s="7"/>
      <c r="C317" s="7"/>
      <c r="D317" s="7"/>
      <c r="E317" s="7"/>
    </row>
    <row r="318" ht="15.75" customHeight="1">
      <c r="B318" s="7"/>
      <c r="C318" s="7"/>
      <c r="D318" s="7"/>
      <c r="E318" s="7"/>
    </row>
    <row r="319" ht="15.75" customHeight="1">
      <c r="B319" s="7"/>
      <c r="C319" s="7"/>
      <c r="D319" s="7"/>
      <c r="E319" s="7"/>
    </row>
    <row r="320" ht="15.75" customHeight="1">
      <c r="B320" s="7"/>
      <c r="C320" s="7"/>
      <c r="D320" s="7"/>
      <c r="E320" s="7"/>
    </row>
    <row r="321" ht="15.75" customHeight="1">
      <c r="B321" s="7"/>
      <c r="C321" s="7"/>
      <c r="D321" s="7"/>
      <c r="E321" s="7"/>
    </row>
    <row r="322" ht="15.75" customHeight="1">
      <c r="B322" s="7"/>
      <c r="C322" s="7"/>
      <c r="D322" s="7"/>
      <c r="E322" s="7"/>
    </row>
    <row r="323" ht="15.75" customHeight="1">
      <c r="B323" s="7"/>
      <c r="C323" s="7"/>
      <c r="D323" s="7"/>
      <c r="E323" s="7"/>
    </row>
    <row r="324" ht="15.75" customHeight="1">
      <c r="B324" s="7"/>
      <c r="C324" s="7"/>
      <c r="D324" s="7"/>
      <c r="E324" s="7"/>
    </row>
    <row r="325" ht="15.75" customHeight="1">
      <c r="B325" s="7"/>
      <c r="C325" s="7"/>
      <c r="D325" s="7"/>
      <c r="E325" s="7"/>
    </row>
    <row r="326" ht="15.75" customHeight="1">
      <c r="B326" s="7"/>
      <c r="C326" s="7"/>
      <c r="D326" s="7"/>
      <c r="E326" s="7"/>
    </row>
    <row r="327" ht="15.75" customHeight="1">
      <c r="B327" s="7"/>
      <c r="C327" s="7"/>
      <c r="D327" s="7"/>
      <c r="E327" s="7"/>
    </row>
    <row r="328" ht="15.75" customHeight="1">
      <c r="B328" s="7"/>
      <c r="C328" s="7"/>
      <c r="D328" s="7"/>
      <c r="E328" s="7"/>
    </row>
    <row r="329" ht="15.75" customHeight="1">
      <c r="B329" s="7"/>
      <c r="C329" s="7"/>
      <c r="D329" s="7"/>
      <c r="E329" s="7"/>
    </row>
    <row r="330" ht="15.75" customHeight="1">
      <c r="B330" s="7"/>
      <c r="C330" s="7"/>
      <c r="D330" s="7"/>
      <c r="E330" s="7"/>
    </row>
    <row r="331" ht="15.75" customHeight="1">
      <c r="B331" s="7"/>
      <c r="C331" s="7"/>
      <c r="D331" s="7"/>
      <c r="E331" s="7"/>
    </row>
    <row r="332" ht="15.75" customHeight="1">
      <c r="B332" s="7"/>
      <c r="C332" s="7"/>
      <c r="D332" s="7"/>
      <c r="E332" s="7"/>
    </row>
    <row r="333" ht="15.75" customHeight="1">
      <c r="B333" s="7"/>
      <c r="C333" s="7"/>
      <c r="D333" s="7"/>
      <c r="E333" s="7"/>
    </row>
    <row r="334" ht="15.75" customHeight="1">
      <c r="B334" s="7"/>
      <c r="C334" s="7"/>
      <c r="D334" s="7"/>
      <c r="E334" s="7"/>
    </row>
    <row r="335" ht="15.75" customHeight="1">
      <c r="B335" s="7"/>
      <c r="C335" s="7"/>
      <c r="D335" s="7"/>
      <c r="E335" s="7"/>
    </row>
    <row r="336" ht="15.75" customHeight="1">
      <c r="B336" s="7"/>
      <c r="C336" s="7"/>
      <c r="D336" s="7"/>
      <c r="E336" s="7"/>
    </row>
    <row r="337" ht="15.75" customHeight="1">
      <c r="B337" s="7"/>
      <c r="C337" s="7"/>
      <c r="D337" s="7"/>
      <c r="E337" s="7"/>
    </row>
    <row r="338" ht="15.75" customHeight="1">
      <c r="B338" s="7"/>
      <c r="C338" s="7"/>
      <c r="D338" s="7"/>
      <c r="E338" s="7"/>
    </row>
    <row r="339" ht="15.75" customHeight="1">
      <c r="B339" s="7"/>
      <c r="C339" s="7"/>
      <c r="D339" s="7"/>
      <c r="E339" s="7"/>
    </row>
    <row r="340" ht="15.75" customHeight="1">
      <c r="B340" s="7"/>
      <c r="C340" s="7"/>
      <c r="D340" s="7"/>
      <c r="E340" s="7"/>
    </row>
    <row r="341" ht="15.75" customHeight="1">
      <c r="B341" s="7"/>
      <c r="C341" s="7"/>
      <c r="D341" s="7"/>
      <c r="E341" s="7"/>
    </row>
    <row r="342" ht="15.75" customHeight="1">
      <c r="B342" s="7"/>
      <c r="C342" s="7"/>
      <c r="D342" s="7"/>
      <c r="E342" s="7"/>
    </row>
    <row r="343" ht="15.75" customHeight="1">
      <c r="B343" s="7"/>
      <c r="C343" s="7"/>
      <c r="D343" s="7"/>
      <c r="E343" s="7"/>
    </row>
    <row r="344" ht="15.75" customHeight="1">
      <c r="B344" s="7"/>
      <c r="C344" s="7"/>
      <c r="D344" s="7"/>
      <c r="E344" s="7"/>
    </row>
    <row r="345" ht="15.75" customHeight="1">
      <c r="B345" s="7"/>
      <c r="C345" s="7"/>
      <c r="D345" s="7"/>
      <c r="E345" s="7"/>
    </row>
    <row r="346" ht="15.75" customHeight="1">
      <c r="B346" s="7"/>
      <c r="C346" s="7"/>
      <c r="D346" s="7"/>
      <c r="E346" s="7"/>
    </row>
    <row r="347" ht="15.75" customHeight="1">
      <c r="B347" s="7"/>
      <c r="C347" s="7"/>
      <c r="D347" s="7"/>
      <c r="E347" s="7"/>
    </row>
    <row r="348" ht="15.75" customHeight="1">
      <c r="B348" s="7"/>
      <c r="C348" s="7"/>
      <c r="D348" s="7"/>
      <c r="E348" s="7"/>
    </row>
    <row r="349" ht="15.75" customHeight="1">
      <c r="B349" s="7"/>
      <c r="C349" s="7"/>
      <c r="D349" s="7"/>
      <c r="E349" s="7"/>
    </row>
    <row r="350" ht="15.75" customHeight="1">
      <c r="B350" s="7"/>
      <c r="C350" s="7"/>
      <c r="D350" s="7"/>
      <c r="E350" s="7"/>
    </row>
    <row r="351" ht="15.75" customHeight="1">
      <c r="B351" s="7"/>
      <c r="C351" s="7"/>
      <c r="D351" s="7"/>
      <c r="E351" s="7"/>
    </row>
    <row r="352" ht="15.75" customHeight="1">
      <c r="B352" s="7"/>
      <c r="C352" s="7"/>
      <c r="D352" s="7"/>
      <c r="E352" s="7"/>
    </row>
    <row r="353" ht="15.75" customHeight="1">
      <c r="B353" s="7"/>
      <c r="C353" s="7"/>
      <c r="D353" s="7"/>
      <c r="E353" s="7"/>
    </row>
    <row r="354" ht="15.75" customHeight="1">
      <c r="B354" s="7"/>
      <c r="C354" s="7"/>
      <c r="D354" s="7"/>
      <c r="E354" s="7"/>
    </row>
    <row r="355" ht="15.75" customHeight="1">
      <c r="B355" s="7"/>
      <c r="C355" s="7"/>
      <c r="D355" s="7"/>
      <c r="E355" s="7"/>
    </row>
    <row r="356" ht="15.75" customHeight="1">
      <c r="B356" s="7"/>
      <c r="C356" s="7"/>
      <c r="D356" s="7"/>
      <c r="E356" s="7"/>
    </row>
    <row r="357" ht="15.75" customHeight="1">
      <c r="B357" s="7"/>
      <c r="C357" s="7"/>
      <c r="D357" s="7"/>
      <c r="E357" s="7"/>
    </row>
    <row r="358" ht="15.75" customHeight="1">
      <c r="B358" s="7"/>
      <c r="C358" s="7"/>
      <c r="D358" s="7"/>
      <c r="E358" s="7"/>
    </row>
    <row r="359" ht="15.75" customHeight="1">
      <c r="B359" s="7"/>
      <c r="C359" s="7"/>
      <c r="D359" s="7"/>
      <c r="E359" s="7"/>
    </row>
    <row r="360" ht="15.75" customHeight="1">
      <c r="B360" s="7"/>
      <c r="C360" s="7"/>
      <c r="D360" s="7"/>
      <c r="E360" s="7"/>
    </row>
    <row r="361" ht="15.75" customHeight="1">
      <c r="B361" s="7"/>
      <c r="C361" s="7"/>
      <c r="D361" s="7"/>
      <c r="E361" s="7"/>
    </row>
    <row r="362" ht="15.75" customHeight="1">
      <c r="B362" s="7"/>
      <c r="C362" s="7"/>
      <c r="D362" s="7"/>
      <c r="E362" s="7"/>
    </row>
    <row r="363" ht="15.75" customHeight="1">
      <c r="B363" s="7"/>
      <c r="C363" s="7"/>
      <c r="D363" s="7"/>
      <c r="E363" s="7"/>
    </row>
    <row r="364" ht="15.75" customHeight="1">
      <c r="B364" s="7"/>
      <c r="C364" s="7"/>
      <c r="D364" s="7"/>
      <c r="E364" s="7"/>
    </row>
    <row r="365" ht="15.75" customHeight="1">
      <c r="B365" s="7"/>
      <c r="C365" s="7"/>
      <c r="D365" s="7"/>
      <c r="E365" s="7"/>
    </row>
    <row r="366" ht="15.75" customHeight="1">
      <c r="B366" s="7"/>
      <c r="C366" s="7"/>
      <c r="D366" s="7"/>
      <c r="E366" s="7"/>
    </row>
    <row r="367" ht="15.75" customHeight="1">
      <c r="B367" s="7"/>
      <c r="C367" s="7"/>
      <c r="D367" s="7"/>
      <c r="E367" s="7"/>
    </row>
    <row r="368" ht="15.75" customHeight="1">
      <c r="B368" s="7"/>
      <c r="C368" s="7"/>
      <c r="D368" s="7"/>
      <c r="E368" s="7"/>
    </row>
    <row r="369" ht="15.75" customHeight="1">
      <c r="B369" s="7"/>
      <c r="C369" s="7"/>
      <c r="D369" s="7"/>
      <c r="E369" s="7"/>
    </row>
    <row r="370" ht="15.75" customHeight="1">
      <c r="B370" s="7"/>
      <c r="C370" s="7"/>
      <c r="D370" s="7"/>
      <c r="E370" s="7"/>
    </row>
    <row r="371" ht="15.75" customHeight="1">
      <c r="B371" s="7"/>
      <c r="C371" s="7"/>
      <c r="D371" s="7"/>
      <c r="E371" s="7"/>
    </row>
    <row r="372" ht="15.75" customHeight="1">
      <c r="B372" s="7"/>
      <c r="C372" s="7"/>
      <c r="D372" s="7"/>
      <c r="E372" s="7"/>
    </row>
    <row r="373" ht="15.75" customHeight="1">
      <c r="B373" s="7"/>
      <c r="C373" s="7"/>
      <c r="D373" s="7"/>
      <c r="E373" s="7"/>
    </row>
    <row r="374" ht="15.75" customHeight="1">
      <c r="B374" s="7"/>
      <c r="C374" s="7"/>
      <c r="D374" s="7"/>
      <c r="E374" s="7"/>
    </row>
    <row r="375" ht="15.75" customHeight="1">
      <c r="B375" s="7"/>
      <c r="C375" s="7"/>
      <c r="D375" s="7"/>
      <c r="E375" s="7"/>
    </row>
    <row r="376" ht="15.75" customHeight="1">
      <c r="B376" s="7"/>
      <c r="C376" s="7"/>
      <c r="D376" s="7"/>
      <c r="E376" s="7"/>
    </row>
    <row r="377" ht="15.75" customHeight="1">
      <c r="B377" s="7"/>
      <c r="C377" s="7"/>
      <c r="D377" s="7"/>
      <c r="E377" s="7"/>
    </row>
    <row r="378" ht="15.75" customHeight="1">
      <c r="B378" s="7"/>
      <c r="C378" s="7"/>
      <c r="D378" s="7"/>
      <c r="E378" s="7"/>
    </row>
    <row r="379" ht="15.75" customHeight="1">
      <c r="B379" s="7"/>
      <c r="C379" s="7"/>
      <c r="D379" s="7"/>
      <c r="E379" s="7"/>
    </row>
    <row r="380" ht="15.75" customHeight="1">
      <c r="B380" s="7"/>
      <c r="C380" s="7"/>
      <c r="D380" s="7"/>
      <c r="E380" s="7"/>
    </row>
    <row r="381" ht="15.75" customHeight="1">
      <c r="B381" s="7"/>
      <c r="C381" s="7"/>
      <c r="D381" s="7"/>
      <c r="E381" s="7"/>
    </row>
    <row r="382" ht="15.75" customHeight="1">
      <c r="B382" s="7"/>
      <c r="C382" s="7"/>
      <c r="D382" s="7"/>
      <c r="E382" s="7"/>
    </row>
    <row r="383" ht="15.75" customHeight="1">
      <c r="B383" s="7"/>
      <c r="C383" s="7"/>
      <c r="D383" s="7"/>
      <c r="E383" s="7"/>
    </row>
    <row r="384" ht="15.75" customHeight="1">
      <c r="B384" s="7"/>
      <c r="C384" s="7"/>
      <c r="D384" s="7"/>
      <c r="E384" s="7"/>
    </row>
    <row r="385" ht="15.75" customHeight="1">
      <c r="B385" s="7"/>
      <c r="C385" s="7"/>
      <c r="D385" s="7"/>
      <c r="E385" s="7"/>
    </row>
    <row r="386" ht="15.75" customHeight="1">
      <c r="B386" s="7"/>
      <c r="C386" s="7"/>
      <c r="D386" s="7"/>
      <c r="E386" s="7"/>
    </row>
    <row r="387" ht="15.75" customHeight="1">
      <c r="B387" s="7"/>
      <c r="C387" s="7"/>
      <c r="D387" s="7"/>
      <c r="E387" s="7"/>
    </row>
    <row r="388" ht="15.75" customHeight="1">
      <c r="B388" s="7"/>
      <c r="C388" s="7"/>
      <c r="D388" s="7"/>
      <c r="E388" s="7"/>
    </row>
    <row r="389" ht="15.75" customHeight="1">
      <c r="B389" s="7"/>
      <c r="C389" s="7"/>
      <c r="D389" s="7"/>
      <c r="E389" s="7"/>
    </row>
    <row r="390" ht="15.75" customHeight="1">
      <c r="B390" s="7"/>
      <c r="C390" s="7"/>
      <c r="D390" s="7"/>
      <c r="E390" s="7"/>
    </row>
    <row r="391" ht="15.75" customHeight="1">
      <c r="B391" s="7"/>
      <c r="C391" s="7"/>
      <c r="D391" s="7"/>
      <c r="E391" s="7"/>
    </row>
    <row r="392" ht="15.75" customHeight="1">
      <c r="B392" s="7"/>
      <c r="C392" s="7"/>
      <c r="D392" s="7"/>
      <c r="E392" s="7"/>
    </row>
    <row r="393" ht="15.75" customHeight="1">
      <c r="B393" s="7"/>
      <c r="C393" s="7"/>
      <c r="D393" s="7"/>
      <c r="E393" s="7"/>
    </row>
    <row r="394" ht="15.75" customHeight="1">
      <c r="B394" s="7"/>
      <c r="C394" s="7"/>
      <c r="D394" s="7"/>
      <c r="E394" s="7"/>
    </row>
    <row r="395" ht="15.75" customHeight="1">
      <c r="B395" s="7"/>
      <c r="C395" s="7"/>
      <c r="D395" s="7"/>
      <c r="E395" s="7"/>
    </row>
    <row r="396" ht="15.75" customHeight="1">
      <c r="B396" s="7"/>
      <c r="C396" s="7"/>
      <c r="D396" s="7"/>
      <c r="E396" s="7"/>
    </row>
    <row r="397" ht="15.75" customHeight="1">
      <c r="B397" s="7"/>
      <c r="C397" s="7"/>
      <c r="D397" s="7"/>
      <c r="E397" s="7"/>
    </row>
    <row r="398" ht="15.75" customHeight="1">
      <c r="B398" s="7"/>
      <c r="C398" s="7"/>
      <c r="D398" s="7"/>
      <c r="E398" s="7"/>
    </row>
    <row r="399" ht="15.75" customHeight="1">
      <c r="B399" s="7"/>
      <c r="C399" s="7"/>
      <c r="D399" s="7"/>
      <c r="E399" s="7"/>
    </row>
    <row r="400" ht="15.75" customHeight="1">
      <c r="B400" s="7"/>
      <c r="C400" s="7"/>
      <c r="D400" s="7"/>
      <c r="E400" s="7"/>
    </row>
    <row r="401" ht="15.75" customHeight="1">
      <c r="B401" s="7"/>
      <c r="C401" s="7"/>
      <c r="D401" s="7"/>
      <c r="E401" s="7"/>
    </row>
    <row r="402" ht="15.75" customHeight="1">
      <c r="B402" s="7"/>
      <c r="C402" s="7"/>
      <c r="D402" s="7"/>
      <c r="E402" s="7"/>
    </row>
    <row r="403" ht="15.75" customHeight="1">
      <c r="B403" s="7"/>
      <c r="C403" s="7"/>
      <c r="D403" s="7"/>
      <c r="E403" s="7"/>
    </row>
    <row r="404" ht="15.75" customHeight="1">
      <c r="B404" s="7"/>
      <c r="C404" s="7"/>
      <c r="D404" s="7"/>
      <c r="E404" s="7"/>
    </row>
    <row r="405" ht="15.75" customHeight="1">
      <c r="B405" s="7"/>
      <c r="C405" s="7"/>
      <c r="D405" s="7"/>
      <c r="E405" s="7"/>
    </row>
    <row r="406" ht="15.75" customHeight="1">
      <c r="B406" s="7"/>
      <c r="C406" s="7"/>
      <c r="D406" s="7"/>
      <c r="E406" s="7"/>
    </row>
    <row r="407" ht="15.75" customHeight="1">
      <c r="B407" s="7"/>
      <c r="C407" s="7"/>
      <c r="D407" s="7"/>
      <c r="E407" s="7"/>
    </row>
    <row r="408" ht="15.75" customHeight="1">
      <c r="B408" s="7"/>
      <c r="C408" s="7"/>
      <c r="D408" s="7"/>
      <c r="E408" s="7"/>
    </row>
    <row r="409" ht="15.75" customHeight="1">
      <c r="B409" s="7"/>
      <c r="C409" s="7"/>
      <c r="D409" s="7"/>
      <c r="E409" s="7"/>
    </row>
    <row r="410" ht="15.75" customHeight="1">
      <c r="B410" s="7"/>
      <c r="C410" s="7"/>
      <c r="D410" s="7"/>
      <c r="E410" s="7"/>
    </row>
    <row r="411" ht="15.75" customHeight="1">
      <c r="B411" s="7"/>
      <c r="C411" s="7"/>
      <c r="D411" s="7"/>
      <c r="E411" s="7"/>
    </row>
    <row r="412" ht="15.75" customHeight="1">
      <c r="B412" s="7"/>
      <c r="C412" s="7"/>
      <c r="D412" s="7"/>
      <c r="E412" s="7"/>
    </row>
    <row r="413" ht="15.75" customHeight="1">
      <c r="B413" s="7"/>
      <c r="C413" s="7"/>
      <c r="D413" s="7"/>
      <c r="E413" s="7"/>
    </row>
    <row r="414" ht="15.75" customHeight="1">
      <c r="B414" s="7"/>
      <c r="C414" s="7"/>
      <c r="D414" s="7"/>
      <c r="E414" s="7"/>
    </row>
    <row r="415" ht="15.75" customHeight="1">
      <c r="B415" s="7"/>
      <c r="C415" s="7"/>
      <c r="D415" s="7"/>
      <c r="E415" s="7"/>
    </row>
    <row r="416" ht="15.75" customHeight="1">
      <c r="B416" s="7"/>
      <c r="C416" s="7"/>
      <c r="D416" s="7"/>
      <c r="E416" s="7"/>
    </row>
    <row r="417" ht="15.75" customHeight="1">
      <c r="B417" s="7"/>
      <c r="C417" s="7"/>
      <c r="D417" s="7"/>
      <c r="E417" s="7"/>
    </row>
    <row r="418" ht="15.75" customHeight="1">
      <c r="B418" s="7"/>
      <c r="C418" s="7"/>
      <c r="D418" s="7"/>
      <c r="E418" s="7"/>
    </row>
    <row r="419" ht="15.75" customHeight="1">
      <c r="B419" s="7"/>
      <c r="C419" s="7"/>
      <c r="D419" s="7"/>
      <c r="E419" s="7"/>
    </row>
    <row r="420" ht="15.75" customHeight="1">
      <c r="B420" s="7"/>
      <c r="C420" s="7"/>
      <c r="D420" s="7"/>
      <c r="E420" s="7"/>
    </row>
    <row r="421" ht="15.75" customHeight="1">
      <c r="B421" s="7"/>
      <c r="C421" s="7"/>
      <c r="D421" s="7"/>
      <c r="E421" s="7"/>
    </row>
    <row r="422" ht="15.75" customHeight="1">
      <c r="B422" s="7"/>
      <c r="C422" s="7"/>
      <c r="D422" s="7"/>
      <c r="E422" s="7"/>
    </row>
    <row r="423" ht="15.75" customHeight="1">
      <c r="B423" s="7"/>
      <c r="C423" s="7"/>
      <c r="D423" s="7"/>
      <c r="E423" s="7"/>
    </row>
    <row r="424" ht="15.75" customHeight="1">
      <c r="B424" s="7"/>
      <c r="C424" s="7"/>
      <c r="D424" s="7"/>
      <c r="E424" s="7"/>
    </row>
    <row r="425" ht="15.75" customHeight="1">
      <c r="B425" s="7"/>
      <c r="C425" s="7"/>
      <c r="D425" s="7"/>
      <c r="E425" s="7"/>
    </row>
    <row r="426" ht="15.75" customHeight="1">
      <c r="B426" s="7"/>
      <c r="C426" s="7"/>
      <c r="D426" s="7"/>
      <c r="E426" s="7"/>
    </row>
    <row r="427" ht="15.75" customHeight="1">
      <c r="B427" s="7"/>
      <c r="C427" s="7"/>
      <c r="D427" s="7"/>
      <c r="E427" s="7"/>
    </row>
    <row r="428" ht="15.75" customHeight="1">
      <c r="B428" s="7"/>
      <c r="C428" s="7"/>
      <c r="D428" s="7"/>
      <c r="E428" s="7"/>
    </row>
    <row r="429" ht="15.75" customHeight="1">
      <c r="B429" s="7"/>
      <c r="C429" s="7"/>
      <c r="D429" s="7"/>
      <c r="E429" s="7"/>
    </row>
    <row r="430" ht="15.75" customHeight="1">
      <c r="B430" s="7"/>
      <c r="C430" s="7"/>
      <c r="D430" s="7"/>
      <c r="E430" s="7"/>
    </row>
    <row r="431" ht="15.75" customHeight="1">
      <c r="B431" s="7"/>
      <c r="C431" s="7"/>
      <c r="D431" s="7"/>
      <c r="E431" s="7"/>
    </row>
    <row r="432" ht="15.75" customHeight="1">
      <c r="B432" s="7"/>
      <c r="C432" s="7"/>
      <c r="D432" s="7"/>
      <c r="E432" s="7"/>
    </row>
    <row r="433" ht="15.75" customHeight="1">
      <c r="B433" s="7"/>
      <c r="C433" s="7"/>
      <c r="D433" s="7"/>
      <c r="E433" s="7"/>
    </row>
    <row r="434" ht="15.75" customHeight="1">
      <c r="B434" s="7"/>
      <c r="C434" s="7"/>
      <c r="D434" s="7"/>
      <c r="E434" s="7"/>
    </row>
    <row r="435" ht="15.75" customHeight="1">
      <c r="B435" s="7"/>
      <c r="C435" s="7"/>
      <c r="D435" s="7"/>
      <c r="E435" s="7"/>
    </row>
    <row r="436" ht="15.75" customHeight="1">
      <c r="B436" s="7"/>
      <c r="C436" s="7"/>
      <c r="D436" s="7"/>
      <c r="E436" s="7"/>
    </row>
    <row r="437" ht="15.75" customHeight="1">
      <c r="B437" s="7"/>
      <c r="C437" s="7"/>
      <c r="D437" s="7"/>
      <c r="E437" s="7"/>
    </row>
    <row r="438" ht="15.75" customHeight="1">
      <c r="B438" s="7"/>
      <c r="C438" s="7"/>
      <c r="D438" s="7"/>
      <c r="E438" s="7"/>
    </row>
    <row r="439" ht="15.75" customHeight="1">
      <c r="B439" s="7"/>
      <c r="C439" s="7"/>
      <c r="D439" s="7"/>
      <c r="E439" s="7"/>
    </row>
    <row r="440" ht="15.75" customHeight="1">
      <c r="B440" s="7"/>
      <c r="C440" s="7"/>
      <c r="D440" s="7"/>
      <c r="E440" s="7"/>
    </row>
    <row r="441" ht="15.75" customHeight="1">
      <c r="B441" s="7"/>
      <c r="C441" s="7"/>
      <c r="D441" s="7"/>
      <c r="E441" s="7"/>
    </row>
    <row r="442" ht="15.75" customHeight="1">
      <c r="B442" s="7"/>
      <c r="C442" s="7"/>
      <c r="D442" s="7"/>
      <c r="E442" s="7"/>
    </row>
    <row r="443" ht="15.75" customHeight="1">
      <c r="B443" s="7"/>
      <c r="C443" s="7"/>
      <c r="D443" s="7"/>
      <c r="E443" s="7"/>
    </row>
    <row r="444" ht="15.75" customHeight="1">
      <c r="B444" s="7"/>
      <c r="C444" s="7"/>
      <c r="D444" s="7"/>
      <c r="E444" s="7"/>
    </row>
    <row r="445" ht="15.75" customHeight="1">
      <c r="B445" s="7"/>
      <c r="C445" s="7"/>
      <c r="D445" s="7"/>
      <c r="E445" s="7"/>
    </row>
    <row r="446" ht="15.75" customHeight="1">
      <c r="B446" s="7"/>
      <c r="C446" s="7"/>
      <c r="D446" s="7"/>
      <c r="E446" s="7"/>
    </row>
    <row r="447" ht="15.75" customHeight="1">
      <c r="B447" s="7"/>
      <c r="C447" s="7"/>
      <c r="D447" s="7"/>
      <c r="E447" s="7"/>
    </row>
    <row r="448" ht="15.75" customHeight="1">
      <c r="B448" s="7"/>
      <c r="C448" s="7"/>
      <c r="D448" s="7"/>
      <c r="E448" s="7"/>
    </row>
    <row r="449" ht="15.75" customHeight="1">
      <c r="B449" s="7"/>
      <c r="C449" s="7"/>
      <c r="D449" s="7"/>
      <c r="E449" s="7"/>
    </row>
    <row r="450" ht="15.75" customHeight="1">
      <c r="B450" s="7"/>
      <c r="C450" s="7"/>
      <c r="D450" s="7"/>
      <c r="E450" s="7"/>
    </row>
    <row r="451" ht="15.75" customHeight="1">
      <c r="B451" s="7"/>
      <c r="C451" s="7"/>
      <c r="D451" s="7"/>
      <c r="E451" s="7"/>
    </row>
    <row r="452" ht="15.75" customHeight="1">
      <c r="B452" s="7"/>
      <c r="C452" s="7"/>
      <c r="D452" s="7"/>
      <c r="E452" s="7"/>
    </row>
    <row r="453" ht="15.75" customHeight="1">
      <c r="B453" s="7"/>
      <c r="C453" s="7"/>
      <c r="D453" s="7"/>
      <c r="E453" s="7"/>
    </row>
    <row r="454" ht="15.75" customHeight="1">
      <c r="B454" s="7"/>
      <c r="C454" s="7"/>
      <c r="D454" s="7"/>
      <c r="E454" s="7"/>
    </row>
    <row r="455" ht="15.75" customHeight="1">
      <c r="B455" s="7"/>
      <c r="C455" s="7"/>
      <c r="D455" s="7"/>
      <c r="E455" s="7"/>
    </row>
    <row r="456" ht="15.75" customHeight="1">
      <c r="B456" s="7"/>
      <c r="C456" s="7"/>
      <c r="D456" s="7"/>
      <c r="E456" s="7"/>
    </row>
    <row r="457" ht="15.75" customHeight="1">
      <c r="B457" s="7"/>
      <c r="C457" s="7"/>
      <c r="D457" s="7"/>
      <c r="E457" s="7"/>
    </row>
    <row r="458" ht="15.75" customHeight="1">
      <c r="B458" s="7"/>
      <c r="C458" s="7"/>
      <c r="D458" s="7"/>
      <c r="E458" s="7"/>
    </row>
    <row r="459" ht="15.75" customHeight="1">
      <c r="B459" s="7"/>
      <c r="C459" s="7"/>
      <c r="D459" s="7"/>
      <c r="E459" s="7"/>
    </row>
    <row r="460" ht="15.75" customHeight="1">
      <c r="B460" s="7"/>
      <c r="C460" s="7"/>
      <c r="D460" s="7"/>
      <c r="E460" s="7"/>
    </row>
    <row r="461" ht="15.75" customHeight="1">
      <c r="B461" s="7"/>
      <c r="C461" s="7"/>
      <c r="D461" s="7"/>
      <c r="E461" s="7"/>
    </row>
    <row r="462" ht="15.75" customHeight="1">
      <c r="B462" s="7"/>
      <c r="C462" s="7"/>
      <c r="D462" s="7"/>
      <c r="E462" s="7"/>
    </row>
    <row r="463" ht="15.75" customHeight="1">
      <c r="B463" s="7"/>
      <c r="C463" s="7"/>
      <c r="D463" s="7"/>
      <c r="E463" s="7"/>
    </row>
    <row r="464" ht="15.75" customHeight="1">
      <c r="B464" s="7"/>
      <c r="C464" s="7"/>
      <c r="D464" s="7"/>
      <c r="E464" s="7"/>
    </row>
    <row r="465" ht="15.75" customHeight="1">
      <c r="B465" s="7"/>
      <c r="C465" s="7"/>
      <c r="D465" s="7"/>
      <c r="E465" s="7"/>
    </row>
    <row r="466" ht="15.75" customHeight="1">
      <c r="B466" s="7"/>
      <c r="C466" s="7"/>
      <c r="D466" s="7"/>
      <c r="E466" s="7"/>
    </row>
    <row r="467" ht="15.75" customHeight="1">
      <c r="B467" s="7"/>
      <c r="C467" s="7"/>
      <c r="D467" s="7"/>
      <c r="E467" s="7"/>
    </row>
    <row r="468" ht="15.75" customHeight="1">
      <c r="B468" s="7"/>
      <c r="C468" s="7"/>
      <c r="D468" s="7"/>
      <c r="E468" s="7"/>
    </row>
    <row r="469" ht="15.75" customHeight="1">
      <c r="B469" s="7"/>
      <c r="C469" s="7"/>
      <c r="D469" s="7"/>
      <c r="E469" s="7"/>
    </row>
    <row r="470" ht="15.75" customHeight="1">
      <c r="B470" s="7"/>
      <c r="C470" s="7"/>
      <c r="D470" s="7"/>
      <c r="E470" s="7"/>
    </row>
    <row r="471" ht="15.75" customHeight="1">
      <c r="B471" s="7"/>
      <c r="C471" s="7"/>
      <c r="D471" s="7"/>
      <c r="E471" s="7"/>
    </row>
    <row r="472" ht="15.75" customHeight="1">
      <c r="B472" s="7"/>
      <c r="C472" s="7"/>
      <c r="D472" s="7"/>
      <c r="E472" s="7"/>
    </row>
    <row r="473" ht="15.75" customHeight="1">
      <c r="B473" s="7"/>
      <c r="C473" s="7"/>
      <c r="D473" s="7"/>
      <c r="E473" s="7"/>
    </row>
    <row r="474" ht="15.75" customHeight="1">
      <c r="B474" s="7"/>
      <c r="C474" s="7"/>
      <c r="D474" s="7"/>
      <c r="E474" s="7"/>
    </row>
    <row r="475" ht="15.75" customHeight="1">
      <c r="B475" s="7"/>
      <c r="C475" s="7"/>
      <c r="D475" s="7"/>
      <c r="E475" s="7"/>
    </row>
    <row r="476" ht="15.75" customHeight="1">
      <c r="B476" s="7"/>
      <c r="C476" s="7"/>
      <c r="D476" s="7"/>
      <c r="E476" s="7"/>
    </row>
    <row r="477" ht="15.75" customHeight="1">
      <c r="B477" s="7"/>
      <c r="C477" s="7"/>
      <c r="D477" s="7"/>
      <c r="E477" s="7"/>
    </row>
    <row r="478" ht="15.75" customHeight="1">
      <c r="B478" s="7"/>
      <c r="C478" s="7"/>
      <c r="D478" s="7"/>
      <c r="E478" s="7"/>
    </row>
    <row r="479" ht="15.75" customHeight="1">
      <c r="B479" s="7"/>
      <c r="C479" s="7"/>
      <c r="D479" s="7"/>
      <c r="E479" s="7"/>
    </row>
    <row r="480" ht="15.75" customHeight="1">
      <c r="B480" s="7"/>
      <c r="C480" s="7"/>
      <c r="D480" s="7"/>
      <c r="E480" s="7"/>
    </row>
    <row r="481" ht="15.75" customHeight="1">
      <c r="B481" s="7"/>
      <c r="C481" s="7"/>
      <c r="D481" s="7"/>
      <c r="E481" s="7"/>
    </row>
    <row r="482" ht="15.75" customHeight="1">
      <c r="B482" s="7"/>
      <c r="C482" s="7"/>
      <c r="D482" s="7"/>
      <c r="E482" s="7"/>
    </row>
    <row r="483" ht="15.75" customHeight="1">
      <c r="B483" s="7"/>
      <c r="C483" s="7"/>
      <c r="D483" s="7"/>
      <c r="E483" s="7"/>
    </row>
    <row r="484" ht="15.75" customHeight="1">
      <c r="B484" s="7"/>
      <c r="C484" s="7"/>
      <c r="D484" s="7"/>
      <c r="E484" s="7"/>
    </row>
    <row r="485" ht="15.75" customHeight="1">
      <c r="B485" s="7"/>
      <c r="C485" s="7"/>
      <c r="D485" s="7"/>
      <c r="E485" s="7"/>
    </row>
    <row r="486" ht="15.75" customHeight="1">
      <c r="B486" s="7"/>
      <c r="C486" s="7"/>
      <c r="D486" s="7"/>
      <c r="E486" s="7"/>
    </row>
    <row r="487" ht="15.75" customHeight="1">
      <c r="B487" s="7"/>
      <c r="C487" s="7"/>
      <c r="D487" s="7"/>
      <c r="E487" s="7"/>
    </row>
    <row r="488" ht="15.75" customHeight="1">
      <c r="B488" s="7"/>
      <c r="C488" s="7"/>
      <c r="D488" s="7"/>
      <c r="E488" s="7"/>
    </row>
    <row r="489" ht="15.75" customHeight="1">
      <c r="B489" s="7"/>
      <c r="C489" s="7"/>
      <c r="D489" s="7"/>
      <c r="E489" s="7"/>
    </row>
    <row r="490" ht="15.75" customHeight="1">
      <c r="B490" s="7"/>
      <c r="C490" s="7"/>
      <c r="D490" s="7"/>
      <c r="E490" s="7"/>
    </row>
    <row r="491" ht="15.75" customHeight="1">
      <c r="B491" s="7"/>
      <c r="C491" s="7"/>
      <c r="D491" s="7"/>
      <c r="E491" s="7"/>
    </row>
    <row r="492" ht="15.75" customHeight="1">
      <c r="B492" s="7"/>
      <c r="C492" s="7"/>
      <c r="D492" s="7"/>
      <c r="E492" s="7"/>
    </row>
    <row r="493" ht="15.75" customHeight="1">
      <c r="B493" s="7"/>
      <c r="C493" s="7"/>
      <c r="D493" s="7"/>
      <c r="E493" s="7"/>
    </row>
    <row r="494" ht="15.75" customHeight="1">
      <c r="B494" s="7"/>
      <c r="C494" s="7"/>
      <c r="D494" s="7"/>
      <c r="E494" s="7"/>
    </row>
    <row r="495" ht="15.75" customHeight="1">
      <c r="B495" s="7"/>
      <c r="C495" s="7"/>
      <c r="D495" s="7"/>
      <c r="E495" s="7"/>
    </row>
    <row r="496" ht="15.75" customHeight="1">
      <c r="B496" s="7"/>
      <c r="C496" s="7"/>
      <c r="D496" s="7"/>
      <c r="E496" s="7"/>
    </row>
    <row r="497" ht="15.75" customHeight="1">
      <c r="B497" s="7"/>
      <c r="C497" s="7"/>
      <c r="D497" s="7"/>
      <c r="E497" s="7"/>
    </row>
    <row r="498" ht="15.75" customHeight="1">
      <c r="B498" s="7"/>
      <c r="C498" s="7"/>
      <c r="D498" s="7"/>
      <c r="E498" s="7"/>
    </row>
    <row r="499" ht="15.75" customHeight="1">
      <c r="B499" s="7"/>
      <c r="C499" s="7"/>
      <c r="D499" s="7"/>
      <c r="E499" s="7"/>
    </row>
    <row r="500" ht="15.75" customHeight="1">
      <c r="B500" s="7"/>
      <c r="C500" s="7"/>
      <c r="D500" s="7"/>
      <c r="E500" s="7"/>
    </row>
    <row r="501" ht="15.75" customHeight="1">
      <c r="B501" s="7"/>
      <c r="C501" s="7"/>
      <c r="D501" s="7"/>
      <c r="E501" s="7"/>
    </row>
    <row r="502" ht="15.75" customHeight="1">
      <c r="B502" s="7"/>
      <c r="C502" s="7"/>
      <c r="D502" s="7"/>
      <c r="E502" s="7"/>
    </row>
    <row r="503" ht="15.75" customHeight="1">
      <c r="B503" s="7"/>
      <c r="C503" s="7"/>
      <c r="D503" s="7"/>
      <c r="E503" s="7"/>
    </row>
    <row r="504" ht="15.75" customHeight="1">
      <c r="B504" s="7"/>
      <c r="C504" s="7"/>
      <c r="D504" s="7"/>
      <c r="E504" s="7"/>
    </row>
    <row r="505" ht="15.75" customHeight="1">
      <c r="B505" s="7"/>
      <c r="C505" s="7"/>
      <c r="D505" s="7"/>
      <c r="E505" s="7"/>
    </row>
    <row r="506" ht="15.75" customHeight="1">
      <c r="B506" s="7"/>
      <c r="C506" s="7"/>
      <c r="D506" s="7"/>
      <c r="E506" s="7"/>
    </row>
    <row r="507" ht="15.75" customHeight="1">
      <c r="B507" s="7"/>
      <c r="C507" s="7"/>
      <c r="D507" s="7"/>
      <c r="E507" s="7"/>
    </row>
    <row r="508" ht="15.75" customHeight="1">
      <c r="B508" s="7"/>
      <c r="C508" s="7"/>
      <c r="D508" s="7"/>
      <c r="E508" s="7"/>
    </row>
    <row r="509" ht="15.75" customHeight="1">
      <c r="B509" s="7"/>
      <c r="C509" s="7"/>
      <c r="D509" s="7"/>
      <c r="E509" s="7"/>
    </row>
    <row r="510" ht="15.75" customHeight="1">
      <c r="B510" s="7"/>
      <c r="C510" s="7"/>
      <c r="D510" s="7"/>
      <c r="E510" s="7"/>
    </row>
    <row r="511" ht="15.75" customHeight="1">
      <c r="B511" s="7"/>
      <c r="C511" s="7"/>
      <c r="D511" s="7"/>
      <c r="E511" s="7"/>
    </row>
    <row r="512" ht="15.75" customHeight="1">
      <c r="B512" s="7"/>
      <c r="C512" s="7"/>
      <c r="D512" s="7"/>
      <c r="E512" s="7"/>
    </row>
    <row r="513" ht="15.75" customHeight="1">
      <c r="B513" s="7"/>
      <c r="C513" s="7"/>
      <c r="D513" s="7"/>
      <c r="E513" s="7"/>
    </row>
    <row r="514" ht="15.75" customHeight="1">
      <c r="B514" s="7"/>
      <c r="C514" s="7"/>
      <c r="D514" s="7"/>
      <c r="E514" s="7"/>
    </row>
    <row r="515" ht="15.75" customHeight="1">
      <c r="B515" s="7"/>
      <c r="C515" s="7"/>
      <c r="D515" s="7"/>
      <c r="E515" s="7"/>
    </row>
    <row r="516" ht="15.75" customHeight="1">
      <c r="B516" s="7"/>
      <c r="C516" s="7"/>
      <c r="D516" s="7"/>
      <c r="E516" s="7"/>
    </row>
    <row r="517" ht="15.75" customHeight="1">
      <c r="B517" s="7"/>
      <c r="C517" s="7"/>
      <c r="D517" s="7"/>
      <c r="E517" s="7"/>
    </row>
    <row r="518" ht="15.75" customHeight="1">
      <c r="B518" s="7"/>
      <c r="C518" s="7"/>
      <c r="D518" s="7"/>
      <c r="E518" s="7"/>
    </row>
    <row r="519" ht="15.75" customHeight="1">
      <c r="B519" s="7"/>
      <c r="C519" s="7"/>
      <c r="D519" s="7"/>
      <c r="E519" s="7"/>
    </row>
    <row r="520" ht="15.75" customHeight="1">
      <c r="B520" s="7"/>
      <c r="C520" s="7"/>
      <c r="D520" s="7"/>
      <c r="E520" s="7"/>
    </row>
    <row r="521" ht="15.75" customHeight="1">
      <c r="B521" s="7"/>
      <c r="C521" s="7"/>
      <c r="D521" s="7"/>
      <c r="E521" s="7"/>
    </row>
    <row r="522" ht="15.75" customHeight="1">
      <c r="B522" s="7"/>
      <c r="C522" s="7"/>
      <c r="D522" s="7"/>
      <c r="E522" s="7"/>
    </row>
    <row r="523" ht="15.75" customHeight="1">
      <c r="B523" s="7"/>
      <c r="C523" s="7"/>
      <c r="D523" s="7"/>
      <c r="E523" s="7"/>
    </row>
    <row r="524" ht="15.75" customHeight="1">
      <c r="B524" s="7"/>
      <c r="C524" s="7"/>
      <c r="D524" s="7"/>
      <c r="E524" s="7"/>
    </row>
    <row r="525" ht="15.75" customHeight="1">
      <c r="B525" s="7"/>
      <c r="C525" s="7"/>
      <c r="D525" s="7"/>
      <c r="E525" s="7"/>
    </row>
    <row r="526" ht="15.75" customHeight="1">
      <c r="B526" s="7"/>
      <c r="C526" s="7"/>
      <c r="D526" s="7"/>
      <c r="E526" s="7"/>
    </row>
    <row r="527" ht="15.75" customHeight="1">
      <c r="B527" s="7"/>
      <c r="C527" s="7"/>
      <c r="D527" s="7"/>
      <c r="E527" s="7"/>
    </row>
    <row r="528" ht="15.75" customHeight="1">
      <c r="B528" s="7"/>
      <c r="C528" s="7"/>
      <c r="D528" s="7"/>
      <c r="E528" s="7"/>
    </row>
    <row r="529" ht="15.75" customHeight="1">
      <c r="B529" s="7"/>
      <c r="C529" s="7"/>
      <c r="D529" s="7"/>
      <c r="E529" s="7"/>
    </row>
    <row r="530" ht="15.75" customHeight="1">
      <c r="B530" s="7"/>
      <c r="C530" s="7"/>
      <c r="D530" s="7"/>
      <c r="E530" s="7"/>
    </row>
    <row r="531" ht="15.75" customHeight="1">
      <c r="B531" s="7"/>
      <c r="C531" s="7"/>
      <c r="D531" s="7"/>
      <c r="E531" s="7"/>
    </row>
    <row r="532" ht="15.75" customHeight="1">
      <c r="B532" s="7"/>
      <c r="C532" s="7"/>
      <c r="D532" s="7"/>
      <c r="E532" s="7"/>
    </row>
    <row r="533" ht="15.75" customHeight="1">
      <c r="B533" s="7"/>
      <c r="C533" s="7"/>
      <c r="D533" s="7"/>
      <c r="E533" s="7"/>
    </row>
    <row r="534" ht="15.75" customHeight="1">
      <c r="B534" s="7"/>
      <c r="C534" s="7"/>
      <c r="D534" s="7"/>
      <c r="E534" s="7"/>
    </row>
    <row r="535" ht="15.75" customHeight="1">
      <c r="B535" s="7"/>
      <c r="C535" s="7"/>
      <c r="D535" s="7"/>
      <c r="E535" s="7"/>
    </row>
    <row r="536" ht="15.75" customHeight="1">
      <c r="B536" s="7"/>
      <c r="C536" s="7"/>
      <c r="D536" s="7"/>
      <c r="E536" s="7"/>
    </row>
    <row r="537" ht="15.75" customHeight="1">
      <c r="B537" s="7"/>
      <c r="C537" s="7"/>
      <c r="D537" s="7"/>
      <c r="E537" s="7"/>
    </row>
    <row r="538" ht="15.75" customHeight="1">
      <c r="B538" s="7"/>
      <c r="C538" s="7"/>
      <c r="D538" s="7"/>
      <c r="E538" s="7"/>
    </row>
    <row r="539" ht="15.75" customHeight="1">
      <c r="B539" s="7"/>
      <c r="C539" s="7"/>
      <c r="D539" s="7"/>
      <c r="E539" s="7"/>
    </row>
    <row r="540" ht="15.75" customHeight="1">
      <c r="B540" s="7"/>
      <c r="C540" s="7"/>
      <c r="D540" s="7"/>
      <c r="E540" s="7"/>
    </row>
    <row r="541" ht="15.75" customHeight="1">
      <c r="B541" s="7"/>
      <c r="C541" s="7"/>
      <c r="D541" s="7"/>
      <c r="E541" s="7"/>
    </row>
    <row r="542" ht="15.75" customHeight="1">
      <c r="B542" s="7"/>
      <c r="C542" s="7"/>
      <c r="D542" s="7"/>
      <c r="E542" s="7"/>
    </row>
    <row r="543" ht="15.75" customHeight="1">
      <c r="B543" s="7"/>
      <c r="C543" s="7"/>
      <c r="D543" s="7"/>
      <c r="E543" s="7"/>
    </row>
    <row r="544" ht="15.75" customHeight="1">
      <c r="B544" s="7"/>
      <c r="C544" s="7"/>
      <c r="D544" s="7"/>
      <c r="E544" s="7"/>
    </row>
    <row r="545" ht="15.75" customHeight="1">
      <c r="B545" s="7"/>
      <c r="C545" s="7"/>
      <c r="D545" s="7"/>
      <c r="E545" s="7"/>
    </row>
    <row r="546" ht="15.75" customHeight="1">
      <c r="B546" s="7"/>
      <c r="C546" s="7"/>
      <c r="D546" s="7"/>
      <c r="E546" s="7"/>
    </row>
    <row r="547" ht="15.75" customHeight="1">
      <c r="B547" s="7"/>
      <c r="C547" s="7"/>
      <c r="D547" s="7"/>
      <c r="E547" s="7"/>
    </row>
    <row r="548" ht="15.75" customHeight="1">
      <c r="B548" s="7"/>
      <c r="C548" s="7"/>
      <c r="D548" s="7"/>
      <c r="E548" s="7"/>
    </row>
    <row r="549" ht="15.75" customHeight="1">
      <c r="B549" s="7"/>
      <c r="C549" s="7"/>
      <c r="D549" s="7"/>
      <c r="E549" s="7"/>
    </row>
    <row r="550" ht="15.75" customHeight="1">
      <c r="B550" s="7"/>
      <c r="C550" s="7"/>
      <c r="D550" s="7"/>
      <c r="E550" s="7"/>
    </row>
    <row r="551" ht="15.75" customHeight="1">
      <c r="B551" s="7"/>
      <c r="C551" s="7"/>
      <c r="D551" s="7"/>
      <c r="E551" s="7"/>
    </row>
    <row r="552" ht="15.75" customHeight="1">
      <c r="B552" s="7"/>
      <c r="C552" s="7"/>
      <c r="D552" s="7"/>
      <c r="E552" s="7"/>
    </row>
    <row r="553" ht="15.75" customHeight="1">
      <c r="B553" s="7"/>
      <c r="C553" s="7"/>
      <c r="D553" s="7"/>
      <c r="E553" s="7"/>
    </row>
    <row r="554" ht="15.75" customHeight="1">
      <c r="B554" s="7"/>
      <c r="C554" s="7"/>
      <c r="D554" s="7"/>
      <c r="E554" s="7"/>
    </row>
    <row r="555" ht="15.75" customHeight="1">
      <c r="B555" s="7"/>
      <c r="C555" s="7"/>
      <c r="D555" s="7"/>
      <c r="E555" s="7"/>
    </row>
    <row r="556" ht="15.75" customHeight="1">
      <c r="B556" s="7"/>
      <c r="C556" s="7"/>
      <c r="D556" s="7"/>
      <c r="E556" s="7"/>
    </row>
    <row r="557" ht="15.75" customHeight="1">
      <c r="B557" s="7"/>
      <c r="C557" s="7"/>
      <c r="D557" s="7"/>
      <c r="E557" s="7"/>
    </row>
    <row r="558" ht="15.75" customHeight="1">
      <c r="B558" s="7"/>
      <c r="C558" s="7"/>
      <c r="D558" s="7"/>
      <c r="E558" s="7"/>
    </row>
    <row r="559" ht="15.75" customHeight="1">
      <c r="B559" s="7"/>
      <c r="C559" s="7"/>
      <c r="D559" s="7"/>
      <c r="E559" s="7"/>
    </row>
    <row r="560" ht="15.75" customHeight="1">
      <c r="B560" s="7"/>
      <c r="C560" s="7"/>
      <c r="D560" s="7"/>
      <c r="E560" s="7"/>
    </row>
    <row r="561" ht="15.75" customHeight="1">
      <c r="B561" s="7"/>
      <c r="C561" s="7"/>
      <c r="D561" s="7"/>
      <c r="E561" s="7"/>
    </row>
    <row r="562" ht="15.75" customHeight="1">
      <c r="B562" s="7"/>
      <c r="C562" s="7"/>
      <c r="D562" s="7"/>
      <c r="E562" s="7"/>
    </row>
    <row r="563" ht="15.75" customHeight="1">
      <c r="B563" s="7"/>
      <c r="C563" s="7"/>
      <c r="D563" s="7"/>
      <c r="E563" s="7"/>
    </row>
    <row r="564" ht="15.75" customHeight="1">
      <c r="B564" s="7"/>
      <c r="C564" s="7"/>
      <c r="D564" s="7"/>
      <c r="E564" s="7"/>
    </row>
    <row r="565" ht="15.75" customHeight="1">
      <c r="B565" s="7"/>
      <c r="C565" s="7"/>
      <c r="D565" s="7"/>
      <c r="E565" s="7"/>
    </row>
    <row r="566" ht="15.75" customHeight="1">
      <c r="B566" s="7"/>
      <c r="C566" s="7"/>
      <c r="D566" s="7"/>
      <c r="E566" s="7"/>
    </row>
    <row r="567" ht="15.75" customHeight="1">
      <c r="B567" s="7"/>
      <c r="C567" s="7"/>
      <c r="D567" s="7"/>
      <c r="E567" s="7"/>
    </row>
    <row r="568" ht="15.75" customHeight="1">
      <c r="B568" s="7"/>
      <c r="C568" s="7"/>
      <c r="D568" s="7"/>
      <c r="E568" s="7"/>
    </row>
    <row r="569" ht="15.75" customHeight="1">
      <c r="B569" s="7"/>
      <c r="C569" s="7"/>
      <c r="D569" s="7"/>
      <c r="E569" s="7"/>
    </row>
    <row r="570" ht="15.75" customHeight="1">
      <c r="B570" s="7"/>
      <c r="C570" s="7"/>
      <c r="D570" s="7"/>
      <c r="E570" s="7"/>
    </row>
    <row r="571" ht="15.75" customHeight="1">
      <c r="B571" s="7"/>
      <c r="C571" s="7"/>
      <c r="D571" s="7"/>
      <c r="E571" s="7"/>
    </row>
    <row r="572" ht="15.75" customHeight="1">
      <c r="B572" s="7"/>
      <c r="C572" s="7"/>
      <c r="D572" s="7"/>
      <c r="E572" s="7"/>
    </row>
    <row r="573" ht="15.75" customHeight="1">
      <c r="B573" s="7"/>
      <c r="C573" s="7"/>
      <c r="D573" s="7"/>
      <c r="E573" s="7"/>
    </row>
    <row r="574" ht="15.75" customHeight="1">
      <c r="B574" s="7"/>
      <c r="C574" s="7"/>
      <c r="D574" s="7"/>
      <c r="E574" s="7"/>
    </row>
    <row r="575" ht="15.75" customHeight="1">
      <c r="B575" s="7"/>
      <c r="C575" s="7"/>
      <c r="D575" s="7"/>
      <c r="E575" s="7"/>
    </row>
    <row r="576" ht="15.75" customHeight="1">
      <c r="B576" s="7"/>
      <c r="C576" s="7"/>
      <c r="D576" s="7"/>
      <c r="E576" s="7"/>
    </row>
    <row r="577" ht="15.75" customHeight="1">
      <c r="B577" s="7"/>
      <c r="C577" s="7"/>
      <c r="D577" s="7"/>
      <c r="E577" s="7"/>
    </row>
    <row r="578" ht="15.75" customHeight="1">
      <c r="B578" s="7"/>
      <c r="C578" s="7"/>
      <c r="D578" s="7"/>
      <c r="E578" s="7"/>
    </row>
    <row r="579" ht="15.75" customHeight="1">
      <c r="B579" s="7"/>
      <c r="C579" s="7"/>
      <c r="D579" s="7"/>
      <c r="E579" s="7"/>
    </row>
    <row r="580" ht="15.75" customHeight="1">
      <c r="B580" s="7"/>
      <c r="C580" s="7"/>
      <c r="D580" s="7"/>
      <c r="E580" s="7"/>
    </row>
    <row r="581" ht="15.75" customHeight="1">
      <c r="B581" s="7"/>
      <c r="C581" s="7"/>
      <c r="D581" s="7"/>
      <c r="E581" s="7"/>
    </row>
    <row r="582" ht="15.75" customHeight="1">
      <c r="B582" s="7"/>
      <c r="C582" s="7"/>
      <c r="D582" s="7"/>
      <c r="E582" s="7"/>
    </row>
    <row r="583" ht="15.75" customHeight="1">
      <c r="B583" s="7"/>
      <c r="C583" s="7"/>
      <c r="D583" s="7"/>
      <c r="E583" s="7"/>
    </row>
    <row r="584" ht="15.75" customHeight="1">
      <c r="B584" s="7"/>
      <c r="C584" s="7"/>
      <c r="D584" s="7"/>
      <c r="E584" s="7"/>
    </row>
    <row r="585" ht="15.75" customHeight="1">
      <c r="B585" s="7"/>
      <c r="C585" s="7"/>
      <c r="D585" s="7"/>
      <c r="E585" s="7"/>
    </row>
    <row r="586" ht="15.75" customHeight="1">
      <c r="B586" s="7"/>
      <c r="C586" s="7"/>
      <c r="D586" s="7"/>
      <c r="E586" s="7"/>
    </row>
    <row r="587" ht="15.75" customHeight="1">
      <c r="B587" s="7"/>
      <c r="C587" s="7"/>
      <c r="D587" s="7"/>
      <c r="E587" s="7"/>
    </row>
    <row r="588" ht="15.75" customHeight="1">
      <c r="B588" s="7"/>
      <c r="C588" s="7"/>
      <c r="D588" s="7"/>
      <c r="E588" s="7"/>
    </row>
    <row r="589" ht="15.75" customHeight="1">
      <c r="B589" s="7"/>
      <c r="C589" s="7"/>
      <c r="D589" s="7"/>
      <c r="E589" s="7"/>
    </row>
    <row r="590" ht="15.75" customHeight="1">
      <c r="B590" s="7"/>
      <c r="C590" s="7"/>
      <c r="D590" s="7"/>
      <c r="E590" s="7"/>
    </row>
    <row r="591" ht="15.75" customHeight="1">
      <c r="B591" s="7"/>
      <c r="C591" s="7"/>
      <c r="D591" s="7"/>
      <c r="E591" s="7"/>
    </row>
    <row r="592" ht="15.75" customHeight="1">
      <c r="B592" s="7"/>
      <c r="C592" s="7"/>
      <c r="D592" s="7"/>
      <c r="E592" s="7"/>
    </row>
    <row r="593" ht="15.75" customHeight="1">
      <c r="B593" s="7"/>
      <c r="C593" s="7"/>
      <c r="D593" s="7"/>
      <c r="E593" s="7"/>
    </row>
    <row r="594" ht="15.75" customHeight="1">
      <c r="B594" s="7"/>
      <c r="C594" s="7"/>
      <c r="D594" s="7"/>
      <c r="E594" s="7"/>
    </row>
    <row r="595" ht="15.75" customHeight="1">
      <c r="B595" s="7"/>
      <c r="C595" s="7"/>
      <c r="D595" s="7"/>
      <c r="E595" s="7"/>
    </row>
    <row r="596" ht="15.75" customHeight="1">
      <c r="B596" s="7"/>
      <c r="C596" s="7"/>
      <c r="D596" s="7"/>
      <c r="E596" s="7"/>
    </row>
    <row r="597" ht="15.75" customHeight="1">
      <c r="B597" s="7"/>
      <c r="C597" s="7"/>
      <c r="D597" s="7"/>
      <c r="E597" s="7"/>
    </row>
    <row r="598" ht="15.75" customHeight="1">
      <c r="B598" s="7"/>
      <c r="C598" s="7"/>
      <c r="D598" s="7"/>
      <c r="E598" s="7"/>
    </row>
    <row r="599" ht="15.75" customHeight="1">
      <c r="B599" s="7"/>
      <c r="C599" s="7"/>
      <c r="D599" s="7"/>
      <c r="E599" s="7"/>
    </row>
    <row r="600" ht="15.75" customHeight="1">
      <c r="B600" s="7"/>
      <c r="C600" s="7"/>
      <c r="D600" s="7"/>
      <c r="E600" s="7"/>
    </row>
    <row r="601" ht="15.75" customHeight="1">
      <c r="B601" s="7"/>
      <c r="C601" s="7"/>
      <c r="D601" s="7"/>
      <c r="E601" s="7"/>
    </row>
    <row r="602" ht="15.75" customHeight="1">
      <c r="B602" s="7"/>
      <c r="C602" s="7"/>
      <c r="D602" s="7"/>
      <c r="E602" s="7"/>
    </row>
    <row r="603" ht="15.75" customHeight="1">
      <c r="B603" s="7"/>
      <c r="C603" s="7"/>
      <c r="D603" s="7"/>
      <c r="E603" s="7"/>
    </row>
    <row r="604" ht="15.75" customHeight="1">
      <c r="B604" s="7"/>
      <c r="C604" s="7"/>
      <c r="D604" s="7"/>
      <c r="E604" s="7"/>
    </row>
    <row r="605" ht="15.75" customHeight="1">
      <c r="B605" s="7"/>
      <c r="C605" s="7"/>
      <c r="D605" s="7"/>
      <c r="E605" s="7"/>
    </row>
    <row r="606" ht="15.75" customHeight="1">
      <c r="B606" s="7"/>
      <c r="C606" s="7"/>
      <c r="D606" s="7"/>
      <c r="E606" s="7"/>
    </row>
    <row r="607" ht="15.75" customHeight="1">
      <c r="B607" s="7"/>
      <c r="C607" s="7"/>
      <c r="D607" s="7"/>
      <c r="E607" s="7"/>
    </row>
    <row r="608" ht="15.75" customHeight="1">
      <c r="B608" s="7"/>
      <c r="C608" s="7"/>
      <c r="D608" s="7"/>
      <c r="E608" s="7"/>
    </row>
    <row r="609" ht="15.75" customHeight="1">
      <c r="B609" s="7"/>
      <c r="C609" s="7"/>
      <c r="D609" s="7"/>
      <c r="E609" s="7"/>
    </row>
    <row r="610" ht="15.75" customHeight="1">
      <c r="B610" s="7"/>
      <c r="C610" s="7"/>
      <c r="D610" s="7"/>
      <c r="E610" s="7"/>
    </row>
    <row r="611" ht="15.75" customHeight="1">
      <c r="B611" s="7"/>
      <c r="C611" s="7"/>
      <c r="D611" s="7"/>
      <c r="E611" s="7"/>
    </row>
    <row r="612" ht="15.75" customHeight="1">
      <c r="B612" s="7"/>
      <c r="C612" s="7"/>
      <c r="D612" s="7"/>
      <c r="E612" s="7"/>
    </row>
    <row r="613" ht="15.75" customHeight="1">
      <c r="B613" s="7"/>
      <c r="C613" s="7"/>
      <c r="D613" s="7"/>
      <c r="E613" s="7"/>
    </row>
    <row r="614" ht="15.75" customHeight="1">
      <c r="B614" s="7"/>
      <c r="C614" s="7"/>
      <c r="D614" s="7"/>
      <c r="E614" s="7"/>
    </row>
    <row r="615" ht="15.75" customHeight="1">
      <c r="B615" s="7"/>
      <c r="C615" s="7"/>
      <c r="D615" s="7"/>
      <c r="E615" s="7"/>
    </row>
    <row r="616" ht="15.75" customHeight="1">
      <c r="B616" s="7"/>
      <c r="C616" s="7"/>
      <c r="D616" s="7"/>
      <c r="E616" s="7"/>
    </row>
    <row r="617" ht="15.75" customHeight="1">
      <c r="B617" s="7"/>
      <c r="C617" s="7"/>
      <c r="D617" s="7"/>
      <c r="E617" s="7"/>
    </row>
    <row r="618" ht="15.75" customHeight="1">
      <c r="B618" s="7"/>
      <c r="C618" s="7"/>
      <c r="D618" s="7"/>
      <c r="E618" s="7"/>
    </row>
    <row r="619" ht="15.75" customHeight="1">
      <c r="B619" s="7"/>
      <c r="C619" s="7"/>
      <c r="D619" s="7"/>
      <c r="E619" s="7"/>
    </row>
    <row r="620" ht="15.75" customHeight="1">
      <c r="B620" s="7"/>
      <c r="C620" s="7"/>
      <c r="D620" s="7"/>
      <c r="E620" s="7"/>
    </row>
    <row r="621" ht="15.75" customHeight="1">
      <c r="B621" s="7"/>
      <c r="C621" s="7"/>
      <c r="D621" s="7"/>
      <c r="E621" s="7"/>
    </row>
    <row r="622" ht="15.75" customHeight="1">
      <c r="B622" s="7"/>
      <c r="C622" s="7"/>
      <c r="D622" s="7"/>
      <c r="E622" s="7"/>
    </row>
    <row r="623" ht="15.75" customHeight="1">
      <c r="B623" s="7"/>
      <c r="C623" s="7"/>
      <c r="D623" s="7"/>
      <c r="E623" s="7"/>
    </row>
    <row r="624" ht="15.75" customHeight="1">
      <c r="B624" s="7"/>
      <c r="C624" s="7"/>
      <c r="D624" s="7"/>
      <c r="E624" s="7"/>
    </row>
    <row r="625" ht="15.75" customHeight="1">
      <c r="B625" s="7"/>
      <c r="C625" s="7"/>
      <c r="D625" s="7"/>
      <c r="E625" s="7"/>
    </row>
    <row r="626" ht="15.75" customHeight="1">
      <c r="B626" s="7"/>
      <c r="C626" s="7"/>
      <c r="D626" s="7"/>
      <c r="E626" s="7"/>
    </row>
    <row r="627" ht="15.75" customHeight="1">
      <c r="B627" s="7"/>
      <c r="C627" s="7"/>
      <c r="D627" s="7"/>
      <c r="E627" s="7"/>
    </row>
    <row r="628" ht="15.75" customHeight="1">
      <c r="B628" s="7"/>
      <c r="C628" s="7"/>
      <c r="D628" s="7"/>
      <c r="E628" s="7"/>
    </row>
    <row r="629" ht="15.75" customHeight="1">
      <c r="B629" s="7"/>
      <c r="C629" s="7"/>
      <c r="D629" s="7"/>
      <c r="E629" s="7"/>
    </row>
    <row r="630" ht="15.75" customHeight="1">
      <c r="B630" s="7"/>
      <c r="C630" s="7"/>
      <c r="D630" s="7"/>
      <c r="E630" s="7"/>
    </row>
    <row r="631" ht="15.75" customHeight="1">
      <c r="B631" s="7"/>
      <c r="C631" s="7"/>
      <c r="D631" s="7"/>
      <c r="E631" s="7"/>
    </row>
    <row r="632" ht="15.75" customHeight="1">
      <c r="B632" s="7"/>
      <c r="C632" s="7"/>
      <c r="D632" s="7"/>
      <c r="E632" s="7"/>
    </row>
    <row r="633" ht="15.75" customHeight="1">
      <c r="B633" s="7"/>
      <c r="C633" s="7"/>
      <c r="D633" s="7"/>
      <c r="E633" s="7"/>
    </row>
    <row r="634" ht="15.75" customHeight="1">
      <c r="B634" s="7"/>
      <c r="C634" s="7"/>
      <c r="D634" s="7"/>
      <c r="E634" s="7"/>
    </row>
    <row r="635" ht="15.75" customHeight="1">
      <c r="B635" s="7"/>
      <c r="C635" s="7"/>
      <c r="D635" s="7"/>
      <c r="E635" s="7"/>
    </row>
    <row r="636" ht="15.75" customHeight="1">
      <c r="B636" s="7"/>
      <c r="C636" s="7"/>
      <c r="D636" s="7"/>
      <c r="E636" s="7"/>
    </row>
    <row r="637" ht="15.75" customHeight="1">
      <c r="B637" s="7"/>
      <c r="C637" s="7"/>
      <c r="D637" s="7"/>
      <c r="E637" s="7"/>
    </row>
    <row r="638" ht="15.75" customHeight="1">
      <c r="B638" s="7"/>
      <c r="C638" s="7"/>
      <c r="D638" s="7"/>
      <c r="E638" s="7"/>
    </row>
    <row r="639" ht="15.75" customHeight="1">
      <c r="B639" s="7"/>
      <c r="C639" s="7"/>
      <c r="D639" s="7"/>
      <c r="E639" s="7"/>
    </row>
    <row r="640" ht="15.75" customHeight="1">
      <c r="B640" s="7"/>
      <c r="C640" s="7"/>
      <c r="D640" s="7"/>
      <c r="E640" s="7"/>
    </row>
    <row r="641" ht="15.75" customHeight="1">
      <c r="B641" s="7"/>
      <c r="C641" s="7"/>
      <c r="D641" s="7"/>
      <c r="E641" s="7"/>
    </row>
    <row r="642" ht="15.75" customHeight="1">
      <c r="B642" s="7"/>
      <c r="C642" s="7"/>
      <c r="D642" s="7"/>
      <c r="E642" s="7"/>
    </row>
    <row r="643" ht="15.75" customHeight="1">
      <c r="B643" s="7"/>
      <c r="C643" s="7"/>
      <c r="D643" s="7"/>
      <c r="E643" s="7"/>
    </row>
    <row r="644" ht="15.75" customHeight="1">
      <c r="B644" s="7"/>
      <c r="C644" s="7"/>
      <c r="D644" s="7"/>
      <c r="E644" s="7"/>
    </row>
    <row r="645" ht="15.75" customHeight="1">
      <c r="B645" s="7"/>
      <c r="C645" s="7"/>
      <c r="D645" s="7"/>
      <c r="E645" s="7"/>
    </row>
    <row r="646" ht="15.75" customHeight="1">
      <c r="B646" s="7"/>
      <c r="C646" s="7"/>
      <c r="D646" s="7"/>
      <c r="E646" s="7"/>
    </row>
    <row r="647" ht="15.75" customHeight="1">
      <c r="B647" s="7"/>
      <c r="C647" s="7"/>
      <c r="D647" s="7"/>
      <c r="E647" s="7"/>
    </row>
    <row r="648" ht="15.75" customHeight="1">
      <c r="B648" s="7"/>
      <c r="C648" s="7"/>
      <c r="D648" s="7"/>
      <c r="E648" s="7"/>
    </row>
    <row r="649" ht="15.75" customHeight="1">
      <c r="B649" s="7"/>
      <c r="C649" s="7"/>
      <c r="D649" s="7"/>
      <c r="E649" s="7"/>
    </row>
    <row r="650" ht="15.75" customHeight="1">
      <c r="B650" s="7"/>
      <c r="C650" s="7"/>
      <c r="D650" s="7"/>
      <c r="E650" s="7"/>
    </row>
    <row r="651" ht="15.75" customHeight="1">
      <c r="B651" s="7"/>
      <c r="C651" s="7"/>
      <c r="D651" s="7"/>
      <c r="E651" s="7"/>
    </row>
    <row r="652" ht="15.75" customHeight="1">
      <c r="B652" s="7"/>
      <c r="C652" s="7"/>
      <c r="D652" s="7"/>
      <c r="E652" s="7"/>
    </row>
    <row r="653" ht="15.75" customHeight="1">
      <c r="B653" s="7"/>
      <c r="C653" s="7"/>
      <c r="D653" s="7"/>
      <c r="E653" s="7"/>
    </row>
    <row r="654" ht="15.75" customHeight="1">
      <c r="B654" s="7"/>
      <c r="C654" s="7"/>
      <c r="D654" s="7"/>
      <c r="E654" s="7"/>
    </row>
    <row r="655" ht="15.75" customHeight="1">
      <c r="B655" s="7"/>
      <c r="C655" s="7"/>
      <c r="D655" s="7"/>
      <c r="E655" s="7"/>
    </row>
    <row r="656" ht="15.75" customHeight="1">
      <c r="B656" s="7"/>
      <c r="C656" s="7"/>
      <c r="D656" s="7"/>
      <c r="E656" s="7"/>
    </row>
    <row r="657" ht="15.75" customHeight="1">
      <c r="B657" s="7"/>
      <c r="C657" s="7"/>
      <c r="D657" s="7"/>
      <c r="E657" s="7"/>
    </row>
    <row r="658" ht="15.75" customHeight="1">
      <c r="B658" s="7"/>
      <c r="C658" s="7"/>
      <c r="D658" s="7"/>
      <c r="E658" s="7"/>
    </row>
    <row r="659" ht="15.75" customHeight="1">
      <c r="B659" s="7"/>
      <c r="C659" s="7"/>
      <c r="D659" s="7"/>
      <c r="E659" s="7"/>
    </row>
    <row r="660" ht="15.75" customHeight="1">
      <c r="B660" s="7"/>
      <c r="C660" s="7"/>
      <c r="D660" s="7"/>
      <c r="E660" s="7"/>
    </row>
    <row r="661" ht="15.75" customHeight="1">
      <c r="B661" s="7"/>
      <c r="C661" s="7"/>
      <c r="D661" s="7"/>
      <c r="E661" s="7"/>
    </row>
    <row r="662" ht="15.75" customHeight="1">
      <c r="B662" s="7"/>
      <c r="C662" s="7"/>
      <c r="D662" s="7"/>
      <c r="E662" s="7"/>
    </row>
    <row r="663" ht="15.75" customHeight="1">
      <c r="B663" s="7"/>
      <c r="C663" s="7"/>
      <c r="D663" s="7"/>
      <c r="E663" s="7"/>
    </row>
    <row r="664" ht="15.75" customHeight="1">
      <c r="B664" s="7"/>
      <c r="C664" s="7"/>
      <c r="D664" s="7"/>
      <c r="E664" s="7"/>
    </row>
    <row r="665" ht="15.75" customHeight="1">
      <c r="B665" s="7"/>
      <c r="C665" s="7"/>
      <c r="D665" s="7"/>
      <c r="E665" s="7"/>
    </row>
    <row r="666" ht="15.75" customHeight="1">
      <c r="B666" s="7"/>
      <c r="C666" s="7"/>
      <c r="D666" s="7"/>
      <c r="E666" s="7"/>
    </row>
    <row r="667" ht="15.75" customHeight="1">
      <c r="B667" s="7"/>
      <c r="C667" s="7"/>
      <c r="D667" s="7"/>
      <c r="E667" s="7"/>
    </row>
    <row r="668" ht="15.75" customHeight="1">
      <c r="B668" s="7"/>
      <c r="C668" s="7"/>
      <c r="D668" s="7"/>
      <c r="E668" s="7"/>
    </row>
    <row r="669" ht="15.75" customHeight="1">
      <c r="B669" s="7"/>
      <c r="C669" s="7"/>
      <c r="D669" s="7"/>
      <c r="E669" s="7"/>
    </row>
    <row r="670" ht="15.75" customHeight="1">
      <c r="B670" s="7"/>
      <c r="C670" s="7"/>
      <c r="D670" s="7"/>
      <c r="E670" s="7"/>
    </row>
    <row r="671" ht="15.75" customHeight="1">
      <c r="B671" s="7"/>
      <c r="C671" s="7"/>
      <c r="D671" s="7"/>
      <c r="E671" s="7"/>
    </row>
    <row r="672" ht="15.75" customHeight="1">
      <c r="B672" s="7"/>
      <c r="C672" s="7"/>
      <c r="D672" s="7"/>
      <c r="E672" s="7"/>
    </row>
    <row r="673" ht="15.75" customHeight="1">
      <c r="B673" s="7"/>
      <c r="C673" s="7"/>
      <c r="D673" s="7"/>
      <c r="E673" s="7"/>
    </row>
    <row r="674" ht="15.75" customHeight="1">
      <c r="B674" s="7"/>
      <c r="C674" s="7"/>
      <c r="D674" s="7"/>
      <c r="E674" s="7"/>
    </row>
    <row r="675" ht="15.75" customHeight="1">
      <c r="B675" s="7"/>
      <c r="C675" s="7"/>
      <c r="D675" s="7"/>
      <c r="E675" s="7"/>
    </row>
    <row r="676" ht="15.75" customHeight="1">
      <c r="B676" s="7"/>
      <c r="C676" s="7"/>
      <c r="D676" s="7"/>
      <c r="E676" s="7"/>
    </row>
    <row r="677" ht="15.75" customHeight="1">
      <c r="B677" s="7"/>
      <c r="C677" s="7"/>
      <c r="D677" s="7"/>
      <c r="E677" s="7"/>
    </row>
    <row r="678" ht="15.75" customHeight="1">
      <c r="B678" s="7"/>
      <c r="C678" s="7"/>
      <c r="D678" s="7"/>
      <c r="E678" s="7"/>
    </row>
    <row r="679" ht="15.75" customHeight="1">
      <c r="B679" s="7"/>
      <c r="C679" s="7"/>
      <c r="D679" s="7"/>
      <c r="E679" s="7"/>
    </row>
    <row r="680" ht="15.75" customHeight="1">
      <c r="B680" s="7"/>
      <c r="C680" s="7"/>
      <c r="D680" s="7"/>
      <c r="E680" s="7"/>
    </row>
    <row r="681" ht="15.75" customHeight="1">
      <c r="B681" s="7"/>
      <c r="C681" s="7"/>
      <c r="D681" s="7"/>
      <c r="E681" s="7"/>
    </row>
    <row r="682" ht="15.75" customHeight="1">
      <c r="B682" s="7"/>
      <c r="C682" s="7"/>
      <c r="D682" s="7"/>
      <c r="E682" s="7"/>
    </row>
    <row r="683" ht="15.75" customHeight="1">
      <c r="B683" s="7"/>
      <c r="C683" s="7"/>
      <c r="D683" s="7"/>
      <c r="E683" s="7"/>
    </row>
    <row r="684" ht="15.75" customHeight="1">
      <c r="B684" s="7"/>
      <c r="C684" s="7"/>
      <c r="D684" s="7"/>
      <c r="E684" s="7"/>
    </row>
    <row r="685" ht="15.75" customHeight="1">
      <c r="B685" s="7"/>
      <c r="C685" s="7"/>
      <c r="D685" s="7"/>
      <c r="E685" s="7"/>
    </row>
    <row r="686" ht="15.75" customHeight="1">
      <c r="B686" s="7"/>
      <c r="C686" s="7"/>
      <c r="D686" s="7"/>
      <c r="E686" s="7"/>
    </row>
    <row r="687" ht="15.75" customHeight="1">
      <c r="B687" s="7"/>
      <c r="C687" s="7"/>
      <c r="D687" s="7"/>
      <c r="E687" s="7"/>
    </row>
    <row r="688" ht="15.75" customHeight="1">
      <c r="B688" s="7"/>
      <c r="C688" s="7"/>
      <c r="D688" s="7"/>
      <c r="E688" s="7"/>
    </row>
    <row r="689" ht="15.75" customHeight="1">
      <c r="B689" s="7"/>
      <c r="C689" s="7"/>
      <c r="D689" s="7"/>
      <c r="E689" s="7"/>
    </row>
    <row r="690" ht="15.75" customHeight="1">
      <c r="B690" s="7"/>
      <c r="C690" s="7"/>
      <c r="D690" s="7"/>
      <c r="E690" s="7"/>
    </row>
    <row r="691" ht="15.75" customHeight="1">
      <c r="B691" s="7"/>
      <c r="C691" s="7"/>
      <c r="D691" s="7"/>
      <c r="E691" s="7"/>
    </row>
    <row r="692" ht="15.75" customHeight="1">
      <c r="B692" s="7"/>
      <c r="C692" s="7"/>
      <c r="D692" s="7"/>
      <c r="E692" s="7"/>
    </row>
    <row r="693" ht="15.75" customHeight="1">
      <c r="B693" s="7"/>
      <c r="C693" s="7"/>
      <c r="D693" s="7"/>
      <c r="E693" s="7"/>
    </row>
    <row r="694" ht="15.75" customHeight="1">
      <c r="B694" s="7"/>
      <c r="C694" s="7"/>
      <c r="D694" s="7"/>
      <c r="E694" s="7"/>
    </row>
    <row r="695" ht="15.75" customHeight="1">
      <c r="B695" s="7"/>
      <c r="C695" s="7"/>
      <c r="D695" s="7"/>
      <c r="E695" s="7"/>
    </row>
    <row r="696" ht="15.75" customHeight="1">
      <c r="B696" s="7"/>
      <c r="C696" s="7"/>
      <c r="D696" s="7"/>
      <c r="E696" s="7"/>
    </row>
    <row r="697" ht="15.75" customHeight="1">
      <c r="B697" s="7"/>
      <c r="C697" s="7"/>
      <c r="D697" s="7"/>
      <c r="E697" s="7"/>
    </row>
    <row r="698" ht="15.75" customHeight="1">
      <c r="B698" s="7"/>
      <c r="C698" s="7"/>
      <c r="D698" s="7"/>
      <c r="E698" s="7"/>
    </row>
    <row r="699" ht="15.75" customHeight="1">
      <c r="B699" s="7"/>
      <c r="C699" s="7"/>
      <c r="D699" s="7"/>
      <c r="E699" s="7"/>
    </row>
    <row r="700" ht="15.75" customHeight="1">
      <c r="B700" s="7"/>
      <c r="C700" s="7"/>
      <c r="D700" s="7"/>
      <c r="E700" s="7"/>
    </row>
    <row r="701" ht="15.75" customHeight="1">
      <c r="B701" s="7"/>
      <c r="C701" s="7"/>
      <c r="D701" s="7"/>
      <c r="E701" s="7"/>
    </row>
    <row r="702" ht="15.75" customHeight="1">
      <c r="B702" s="7"/>
      <c r="C702" s="7"/>
      <c r="D702" s="7"/>
      <c r="E702" s="7"/>
    </row>
    <row r="703" ht="15.75" customHeight="1">
      <c r="B703" s="7"/>
      <c r="C703" s="7"/>
      <c r="D703" s="7"/>
      <c r="E703" s="7"/>
    </row>
    <row r="704" ht="15.75" customHeight="1">
      <c r="B704" s="7"/>
      <c r="C704" s="7"/>
      <c r="D704" s="7"/>
      <c r="E704" s="7"/>
    </row>
    <row r="705" ht="15.75" customHeight="1">
      <c r="B705" s="7"/>
      <c r="C705" s="7"/>
      <c r="D705" s="7"/>
      <c r="E705" s="7"/>
    </row>
    <row r="706" ht="15.75" customHeight="1">
      <c r="B706" s="7"/>
      <c r="C706" s="7"/>
      <c r="D706" s="7"/>
      <c r="E706" s="7"/>
    </row>
    <row r="707" ht="15.75" customHeight="1">
      <c r="B707" s="7"/>
      <c r="C707" s="7"/>
      <c r="D707" s="7"/>
      <c r="E707" s="7"/>
    </row>
    <row r="708" ht="15.75" customHeight="1">
      <c r="B708" s="7"/>
      <c r="C708" s="7"/>
      <c r="D708" s="7"/>
      <c r="E708" s="7"/>
    </row>
    <row r="709" ht="15.75" customHeight="1">
      <c r="B709" s="7"/>
      <c r="C709" s="7"/>
      <c r="D709" s="7"/>
      <c r="E709" s="7"/>
    </row>
    <row r="710" ht="15.75" customHeight="1">
      <c r="B710" s="7"/>
      <c r="C710" s="7"/>
      <c r="D710" s="7"/>
      <c r="E710" s="7"/>
    </row>
    <row r="711" ht="15.75" customHeight="1">
      <c r="B711" s="7"/>
      <c r="C711" s="7"/>
      <c r="D711" s="7"/>
      <c r="E711" s="7"/>
    </row>
    <row r="712" ht="15.75" customHeight="1">
      <c r="B712" s="7"/>
      <c r="C712" s="7"/>
      <c r="D712" s="7"/>
      <c r="E712" s="7"/>
    </row>
    <row r="713" ht="15.75" customHeight="1">
      <c r="B713" s="7"/>
      <c r="C713" s="7"/>
      <c r="D713" s="7"/>
      <c r="E713" s="7"/>
    </row>
    <row r="714" ht="15.75" customHeight="1">
      <c r="B714" s="7"/>
      <c r="C714" s="7"/>
      <c r="D714" s="7"/>
      <c r="E714" s="7"/>
    </row>
    <row r="715" ht="15.75" customHeight="1">
      <c r="B715" s="7"/>
      <c r="C715" s="7"/>
      <c r="D715" s="7"/>
      <c r="E715" s="7"/>
    </row>
    <row r="716" ht="15.75" customHeight="1">
      <c r="B716" s="7"/>
      <c r="C716" s="7"/>
      <c r="D716" s="7"/>
      <c r="E716" s="7"/>
    </row>
    <row r="717" ht="15.75" customHeight="1">
      <c r="B717" s="7"/>
      <c r="C717" s="7"/>
      <c r="D717" s="7"/>
      <c r="E717" s="7"/>
    </row>
    <row r="718" ht="15.75" customHeight="1">
      <c r="B718" s="7"/>
      <c r="C718" s="7"/>
      <c r="D718" s="7"/>
      <c r="E718" s="7"/>
    </row>
    <row r="719" ht="15.75" customHeight="1">
      <c r="B719" s="7"/>
      <c r="C719" s="7"/>
      <c r="D719" s="7"/>
      <c r="E719" s="7"/>
    </row>
    <row r="720" ht="15.75" customHeight="1">
      <c r="B720" s="7"/>
      <c r="C720" s="7"/>
      <c r="D720" s="7"/>
      <c r="E720" s="7"/>
    </row>
    <row r="721" ht="15.75" customHeight="1">
      <c r="B721" s="7"/>
      <c r="C721" s="7"/>
      <c r="D721" s="7"/>
      <c r="E721" s="7"/>
    </row>
    <row r="722" ht="15.75" customHeight="1">
      <c r="B722" s="7"/>
      <c r="C722" s="7"/>
      <c r="D722" s="7"/>
      <c r="E722" s="7"/>
    </row>
    <row r="723" ht="15.75" customHeight="1">
      <c r="B723" s="7"/>
      <c r="C723" s="7"/>
      <c r="D723" s="7"/>
      <c r="E723" s="7"/>
    </row>
    <row r="724" ht="15.75" customHeight="1">
      <c r="B724" s="7"/>
      <c r="C724" s="7"/>
      <c r="D724" s="7"/>
      <c r="E724" s="7"/>
    </row>
    <row r="725" ht="15.75" customHeight="1">
      <c r="B725" s="7"/>
      <c r="C725" s="7"/>
      <c r="D725" s="7"/>
      <c r="E725" s="7"/>
    </row>
    <row r="726" ht="15.75" customHeight="1">
      <c r="B726" s="7"/>
      <c r="C726" s="7"/>
      <c r="D726" s="7"/>
      <c r="E726" s="7"/>
    </row>
    <row r="727" ht="15.75" customHeight="1">
      <c r="B727" s="7"/>
      <c r="C727" s="7"/>
      <c r="D727" s="7"/>
      <c r="E727" s="7"/>
    </row>
    <row r="728" ht="15.75" customHeight="1">
      <c r="B728" s="7"/>
      <c r="C728" s="7"/>
      <c r="D728" s="7"/>
      <c r="E728" s="7"/>
    </row>
    <row r="729" ht="15.75" customHeight="1">
      <c r="B729" s="7"/>
      <c r="C729" s="7"/>
      <c r="D729" s="7"/>
      <c r="E729" s="7"/>
    </row>
    <row r="730" ht="15.75" customHeight="1">
      <c r="B730" s="7"/>
      <c r="C730" s="7"/>
      <c r="D730" s="7"/>
      <c r="E730" s="7"/>
    </row>
    <row r="731" ht="15.75" customHeight="1">
      <c r="B731" s="7"/>
      <c r="C731" s="7"/>
      <c r="D731" s="7"/>
      <c r="E731" s="7"/>
    </row>
    <row r="732" ht="15.75" customHeight="1">
      <c r="B732" s="7"/>
      <c r="C732" s="7"/>
      <c r="D732" s="7"/>
      <c r="E732" s="7"/>
    </row>
    <row r="733" ht="15.75" customHeight="1">
      <c r="B733" s="7"/>
      <c r="C733" s="7"/>
      <c r="D733" s="7"/>
      <c r="E733" s="7"/>
    </row>
    <row r="734" ht="15.75" customHeight="1">
      <c r="B734" s="7"/>
      <c r="C734" s="7"/>
      <c r="D734" s="7"/>
      <c r="E734" s="7"/>
    </row>
    <row r="735" ht="15.75" customHeight="1">
      <c r="B735" s="7"/>
      <c r="C735" s="7"/>
      <c r="D735" s="7"/>
      <c r="E735" s="7"/>
    </row>
    <row r="736" ht="15.75" customHeight="1">
      <c r="B736" s="7"/>
      <c r="C736" s="7"/>
      <c r="D736" s="7"/>
      <c r="E736" s="7"/>
    </row>
    <row r="737" ht="15.75" customHeight="1">
      <c r="B737" s="7"/>
      <c r="C737" s="7"/>
      <c r="D737" s="7"/>
      <c r="E737" s="7"/>
    </row>
    <row r="738" ht="15.75" customHeight="1">
      <c r="B738" s="7"/>
      <c r="C738" s="7"/>
      <c r="D738" s="7"/>
      <c r="E738" s="7"/>
    </row>
    <row r="739" ht="15.75" customHeight="1">
      <c r="B739" s="7"/>
      <c r="C739" s="7"/>
      <c r="D739" s="7"/>
      <c r="E739" s="7"/>
    </row>
    <row r="740" ht="15.75" customHeight="1">
      <c r="B740" s="7"/>
      <c r="C740" s="7"/>
      <c r="D740" s="7"/>
      <c r="E740" s="7"/>
    </row>
    <row r="741" ht="15.75" customHeight="1">
      <c r="B741" s="7"/>
      <c r="C741" s="7"/>
      <c r="D741" s="7"/>
      <c r="E741" s="7"/>
    </row>
    <row r="742" ht="15.75" customHeight="1">
      <c r="B742" s="7"/>
      <c r="C742" s="7"/>
      <c r="D742" s="7"/>
      <c r="E742" s="7"/>
    </row>
    <row r="743" ht="15.75" customHeight="1">
      <c r="B743" s="7"/>
      <c r="C743" s="7"/>
      <c r="D743" s="7"/>
      <c r="E743" s="7"/>
    </row>
    <row r="744" ht="15.75" customHeight="1">
      <c r="B744" s="7"/>
      <c r="C744" s="7"/>
      <c r="D744" s="7"/>
      <c r="E744" s="7"/>
    </row>
    <row r="745" ht="15.75" customHeight="1">
      <c r="B745" s="7"/>
      <c r="C745" s="7"/>
      <c r="D745" s="7"/>
      <c r="E745" s="7"/>
    </row>
    <row r="746" ht="15.75" customHeight="1">
      <c r="B746" s="7"/>
      <c r="C746" s="7"/>
      <c r="D746" s="7"/>
      <c r="E746" s="7"/>
    </row>
    <row r="747" ht="15.75" customHeight="1">
      <c r="B747" s="7"/>
      <c r="C747" s="7"/>
      <c r="D747" s="7"/>
      <c r="E747" s="7"/>
    </row>
    <row r="748" ht="15.75" customHeight="1">
      <c r="B748" s="7"/>
      <c r="C748" s="7"/>
      <c r="D748" s="7"/>
      <c r="E748" s="7"/>
    </row>
    <row r="749" ht="15.75" customHeight="1">
      <c r="B749" s="7"/>
      <c r="C749" s="7"/>
      <c r="D749" s="7"/>
      <c r="E749" s="7"/>
    </row>
    <row r="750" ht="15.75" customHeight="1">
      <c r="B750" s="7"/>
      <c r="C750" s="7"/>
      <c r="D750" s="7"/>
      <c r="E750" s="7"/>
    </row>
    <row r="751" ht="15.75" customHeight="1">
      <c r="B751" s="7"/>
      <c r="C751" s="7"/>
      <c r="D751" s="7"/>
      <c r="E751" s="7"/>
    </row>
    <row r="752" ht="15.75" customHeight="1">
      <c r="B752" s="7"/>
      <c r="C752" s="7"/>
      <c r="D752" s="7"/>
      <c r="E752" s="7"/>
    </row>
    <row r="753" ht="15.75" customHeight="1">
      <c r="B753" s="7"/>
      <c r="C753" s="7"/>
      <c r="D753" s="7"/>
      <c r="E753" s="7"/>
    </row>
    <row r="754" ht="15.75" customHeight="1">
      <c r="B754" s="7"/>
      <c r="C754" s="7"/>
      <c r="D754" s="7"/>
      <c r="E754" s="7"/>
    </row>
    <row r="755" ht="15.75" customHeight="1">
      <c r="B755" s="7"/>
      <c r="C755" s="7"/>
      <c r="D755" s="7"/>
      <c r="E755" s="7"/>
    </row>
    <row r="756" ht="15.75" customHeight="1">
      <c r="B756" s="7"/>
      <c r="C756" s="7"/>
      <c r="D756" s="7"/>
      <c r="E756" s="7"/>
    </row>
    <row r="757" ht="15.75" customHeight="1">
      <c r="B757" s="7"/>
      <c r="C757" s="7"/>
      <c r="D757" s="7"/>
      <c r="E757" s="7"/>
    </row>
    <row r="758" ht="15.75" customHeight="1">
      <c r="B758" s="7"/>
      <c r="C758" s="7"/>
      <c r="D758" s="7"/>
      <c r="E758" s="7"/>
    </row>
    <row r="759" ht="15.75" customHeight="1">
      <c r="B759" s="7"/>
      <c r="C759" s="7"/>
      <c r="D759" s="7"/>
      <c r="E759" s="7"/>
    </row>
    <row r="760" ht="15.75" customHeight="1">
      <c r="B760" s="7"/>
      <c r="C760" s="7"/>
      <c r="D760" s="7"/>
      <c r="E760" s="7"/>
    </row>
    <row r="761" ht="15.75" customHeight="1">
      <c r="B761" s="7"/>
      <c r="C761" s="7"/>
      <c r="D761" s="7"/>
      <c r="E761" s="7"/>
    </row>
    <row r="762" ht="15.75" customHeight="1">
      <c r="B762" s="7"/>
      <c r="C762" s="7"/>
      <c r="D762" s="7"/>
      <c r="E762" s="7"/>
    </row>
    <row r="763" ht="15.75" customHeight="1">
      <c r="B763" s="7"/>
      <c r="C763" s="7"/>
      <c r="D763" s="7"/>
      <c r="E763" s="7"/>
    </row>
    <row r="764" ht="15.75" customHeight="1">
      <c r="B764" s="7"/>
      <c r="C764" s="7"/>
      <c r="D764" s="7"/>
      <c r="E764" s="7"/>
    </row>
    <row r="765" ht="15.75" customHeight="1">
      <c r="B765" s="7"/>
      <c r="C765" s="7"/>
      <c r="D765" s="7"/>
      <c r="E765" s="7"/>
    </row>
    <row r="766" ht="15.75" customHeight="1">
      <c r="B766" s="7"/>
      <c r="C766" s="7"/>
      <c r="D766" s="7"/>
      <c r="E766" s="7"/>
    </row>
    <row r="767" ht="15.75" customHeight="1">
      <c r="B767" s="7"/>
      <c r="C767" s="7"/>
      <c r="D767" s="7"/>
      <c r="E767" s="7"/>
    </row>
    <row r="768" ht="15.75" customHeight="1">
      <c r="B768" s="7"/>
      <c r="C768" s="7"/>
      <c r="D768" s="7"/>
      <c r="E768" s="7"/>
    </row>
    <row r="769" ht="15.75" customHeight="1">
      <c r="B769" s="7"/>
      <c r="C769" s="7"/>
      <c r="D769" s="7"/>
      <c r="E769" s="7"/>
    </row>
    <row r="770" ht="15.75" customHeight="1">
      <c r="B770" s="7"/>
      <c r="C770" s="7"/>
      <c r="D770" s="7"/>
      <c r="E770" s="7"/>
    </row>
    <row r="771" ht="15.75" customHeight="1">
      <c r="B771" s="7"/>
      <c r="C771" s="7"/>
      <c r="D771" s="7"/>
      <c r="E771" s="7"/>
    </row>
    <row r="772" ht="15.75" customHeight="1">
      <c r="B772" s="7"/>
      <c r="C772" s="7"/>
      <c r="D772" s="7"/>
      <c r="E772" s="7"/>
    </row>
    <row r="773" ht="15.75" customHeight="1">
      <c r="B773" s="7"/>
      <c r="C773" s="7"/>
      <c r="D773" s="7"/>
      <c r="E773" s="7"/>
    </row>
    <row r="774" ht="15.75" customHeight="1">
      <c r="B774" s="7"/>
      <c r="C774" s="7"/>
      <c r="D774" s="7"/>
      <c r="E774" s="7"/>
    </row>
    <row r="775" ht="15.75" customHeight="1">
      <c r="B775" s="7"/>
      <c r="C775" s="7"/>
      <c r="D775" s="7"/>
      <c r="E775" s="7"/>
    </row>
    <row r="776" ht="15.75" customHeight="1">
      <c r="B776" s="7"/>
      <c r="C776" s="7"/>
      <c r="D776" s="7"/>
      <c r="E776" s="7"/>
    </row>
    <row r="777" ht="15.75" customHeight="1">
      <c r="B777" s="7"/>
      <c r="C777" s="7"/>
      <c r="D777" s="7"/>
      <c r="E777" s="7"/>
    </row>
    <row r="778" ht="15.75" customHeight="1">
      <c r="B778" s="7"/>
      <c r="C778" s="7"/>
      <c r="D778" s="7"/>
      <c r="E778" s="7"/>
    </row>
    <row r="779" ht="15.75" customHeight="1">
      <c r="B779" s="7"/>
      <c r="C779" s="7"/>
      <c r="D779" s="7"/>
      <c r="E779" s="7"/>
    </row>
    <row r="780" ht="15.75" customHeight="1">
      <c r="B780" s="7"/>
      <c r="C780" s="7"/>
      <c r="D780" s="7"/>
      <c r="E780" s="7"/>
    </row>
    <row r="781" ht="15.75" customHeight="1">
      <c r="B781" s="7"/>
      <c r="C781" s="7"/>
      <c r="D781" s="7"/>
      <c r="E781" s="7"/>
    </row>
    <row r="782" ht="15.75" customHeight="1">
      <c r="B782" s="7"/>
      <c r="C782" s="7"/>
      <c r="D782" s="7"/>
      <c r="E782" s="7"/>
    </row>
    <row r="783" ht="15.75" customHeight="1">
      <c r="B783" s="7"/>
      <c r="C783" s="7"/>
      <c r="D783" s="7"/>
      <c r="E783" s="7"/>
    </row>
    <row r="784" ht="15.75" customHeight="1">
      <c r="B784" s="7"/>
      <c r="C784" s="7"/>
      <c r="D784" s="7"/>
      <c r="E784" s="7"/>
    </row>
    <row r="785" ht="15.75" customHeight="1">
      <c r="B785" s="7"/>
      <c r="C785" s="7"/>
      <c r="D785" s="7"/>
      <c r="E785" s="7"/>
    </row>
    <row r="786" ht="15.75" customHeight="1">
      <c r="B786" s="7"/>
      <c r="C786" s="7"/>
      <c r="D786" s="7"/>
      <c r="E786" s="7"/>
    </row>
    <row r="787" ht="15.75" customHeight="1">
      <c r="B787" s="7"/>
      <c r="C787" s="7"/>
      <c r="D787" s="7"/>
      <c r="E787" s="7"/>
    </row>
    <row r="788" ht="15.75" customHeight="1">
      <c r="B788" s="7"/>
      <c r="C788" s="7"/>
      <c r="D788" s="7"/>
      <c r="E788" s="7"/>
    </row>
    <row r="789" ht="15.75" customHeight="1">
      <c r="B789" s="7"/>
      <c r="C789" s="7"/>
      <c r="D789" s="7"/>
      <c r="E789" s="7"/>
    </row>
    <row r="790" ht="15.75" customHeight="1">
      <c r="B790" s="7"/>
      <c r="C790" s="7"/>
      <c r="D790" s="7"/>
      <c r="E790" s="7"/>
    </row>
    <row r="791" ht="15.75" customHeight="1">
      <c r="B791" s="7"/>
      <c r="C791" s="7"/>
      <c r="D791" s="7"/>
      <c r="E791" s="7"/>
    </row>
    <row r="792" ht="15.75" customHeight="1">
      <c r="B792" s="7"/>
      <c r="C792" s="7"/>
      <c r="D792" s="7"/>
      <c r="E792" s="7"/>
    </row>
    <row r="793" ht="15.75" customHeight="1">
      <c r="B793" s="7"/>
      <c r="C793" s="7"/>
      <c r="D793" s="7"/>
      <c r="E793" s="7"/>
    </row>
    <row r="794" ht="15.75" customHeight="1">
      <c r="B794" s="7"/>
      <c r="C794" s="7"/>
      <c r="D794" s="7"/>
      <c r="E794" s="7"/>
    </row>
    <row r="795" ht="15.75" customHeight="1">
      <c r="B795" s="7"/>
      <c r="C795" s="7"/>
      <c r="D795" s="7"/>
      <c r="E795" s="7"/>
    </row>
    <row r="796" ht="15.75" customHeight="1">
      <c r="B796" s="7"/>
      <c r="C796" s="7"/>
      <c r="D796" s="7"/>
      <c r="E796" s="7"/>
    </row>
    <row r="797" ht="15.75" customHeight="1">
      <c r="B797" s="7"/>
      <c r="C797" s="7"/>
      <c r="D797" s="7"/>
      <c r="E797" s="7"/>
    </row>
    <row r="798" ht="15.75" customHeight="1">
      <c r="B798" s="7"/>
      <c r="C798" s="7"/>
      <c r="D798" s="7"/>
      <c r="E798" s="7"/>
    </row>
    <row r="799" ht="15.75" customHeight="1">
      <c r="B799" s="7"/>
      <c r="C799" s="7"/>
      <c r="D799" s="7"/>
      <c r="E799" s="7"/>
    </row>
    <row r="800" ht="15.75" customHeight="1">
      <c r="B800" s="7"/>
      <c r="C800" s="7"/>
      <c r="D800" s="7"/>
      <c r="E800" s="7"/>
    </row>
    <row r="801" ht="15.75" customHeight="1">
      <c r="B801" s="7"/>
      <c r="C801" s="7"/>
      <c r="D801" s="7"/>
      <c r="E801" s="7"/>
    </row>
    <row r="802" ht="15.75" customHeight="1">
      <c r="B802" s="7"/>
      <c r="C802" s="7"/>
      <c r="D802" s="7"/>
      <c r="E802" s="7"/>
    </row>
    <row r="803" ht="15.75" customHeight="1">
      <c r="B803" s="7"/>
      <c r="C803" s="7"/>
      <c r="D803" s="7"/>
      <c r="E803" s="7"/>
    </row>
    <row r="804" ht="15.75" customHeight="1">
      <c r="B804" s="7"/>
      <c r="C804" s="7"/>
      <c r="D804" s="7"/>
      <c r="E804" s="7"/>
    </row>
    <row r="805" ht="15.75" customHeight="1">
      <c r="B805" s="7"/>
      <c r="C805" s="7"/>
      <c r="D805" s="7"/>
      <c r="E805" s="7"/>
    </row>
    <row r="806" ht="15.75" customHeight="1">
      <c r="B806" s="7"/>
      <c r="C806" s="7"/>
      <c r="D806" s="7"/>
      <c r="E806" s="7"/>
    </row>
    <row r="807" ht="15.75" customHeight="1">
      <c r="B807" s="7"/>
      <c r="C807" s="7"/>
      <c r="D807" s="7"/>
      <c r="E807" s="7"/>
    </row>
    <row r="808" ht="15.75" customHeight="1">
      <c r="B808" s="7"/>
      <c r="C808" s="7"/>
      <c r="D808" s="7"/>
      <c r="E808" s="7"/>
    </row>
    <row r="809" ht="15.75" customHeight="1">
      <c r="B809" s="7"/>
      <c r="C809" s="7"/>
      <c r="D809" s="7"/>
      <c r="E809" s="7"/>
    </row>
    <row r="810" ht="15.75" customHeight="1">
      <c r="B810" s="7"/>
      <c r="C810" s="7"/>
      <c r="D810" s="7"/>
      <c r="E810" s="7"/>
    </row>
    <row r="811" ht="15.75" customHeight="1">
      <c r="B811" s="7"/>
      <c r="C811" s="7"/>
      <c r="D811" s="7"/>
      <c r="E811" s="7"/>
    </row>
    <row r="812" ht="15.75" customHeight="1">
      <c r="B812" s="7"/>
      <c r="C812" s="7"/>
      <c r="D812" s="7"/>
      <c r="E812" s="7"/>
    </row>
    <row r="813" ht="15.75" customHeight="1">
      <c r="B813" s="7"/>
      <c r="C813" s="7"/>
      <c r="D813" s="7"/>
      <c r="E813" s="7"/>
    </row>
    <row r="814" ht="15.75" customHeight="1">
      <c r="B814" s="7"/>
      <c r="C814" s="7"/>
      <c r="D814" s="7"/>
      <c r="E814" s="7"/>
    </row>
    <row r="815" ht="15.75" customHeight="1">
      <c r="B815" s="7"/>
      <c r="C815" s="7"/>
      <c r="D815" s="7"/>
      <c r="E815" s="7"/>
    </row>
    <row r="816" ht="15.75" customHeight="1">
      <c r="B816" s="7"/>
      <c r="C816" s="7"/>
      <c r="D816" s="7"/>
      <c r="E816" s="7"/>
    </row>
    <row r="817" ht="15.75" customHeight="1">
      <c r="B817" s="7"/>
      <c r="C817" s="7"/>
      <c r="D817" s="7"/>
      <c r="E817" s="7"/>
    </row>
    <row r="818" ht="15.75" customHeight="1">
      <c r="B818" s="7"/>
      <c r="C818" s="7"/>
      <c r="D818" s="7"/>
      <c r="E818" s="7"/>
    </row>
    <row r="819" ht="15.75" customHeight="1">
      <c r="B819" s="7"/>
      <c r="C819" s="7"/>
      <c r="D819" s="7"/>
      <c r="E819" s="7"/>
    </row>
    <row r="820" ht="15.75" customHeight="1">
      <c r="B820" s="7"/>
      <c r="C820" s="7"/>
      <c r="D820" s="7"/>
      <c r="E820" s="7"/>
    </row>
    <row r="821" ht="15.75" customHeight="1">
      <c r="B821" s="7"/>
      <c r="C821" s="7"/>
      <c r="D821" s="7"/>
      <c r="E821" s="7"/>
    </row>
    <row r="822" ht="15.75" customHeight="1">
      <c r="B822" s="7"/>
      <c r="C822" s="7"/>
      <c r="D822" s="7"/>
      <c r="E822" s="7"/>
    </row>
    <row r="823" ht="15.75" customHeight="1">
      <c r="B823" s="7"/>
      <c r="C823" s="7"/>
      <c r="D823" s="7"/>
      <c r="E823" s="7"/>
    </row>
    <row r="824" ht="15.75" customHeight="1">
      <c r="B824" s="7"/>
      <c r="C824" s="7"/>
      <c r="D824" s="7"/>
      <c r="E824" s="7"/>
    </row>
    <row r="825" ht="15.75" customHeight="1">
      <c r="B825" s="7"/>
      <c r="C825" s="7"/>
      <c r="D825" s="7"/>
      <c r="E825" s="7"/>
    </row>
    <row r="826" ht="15.75" customHeight="1">
      <c r="B826" s="7"/>
      <c r="C826" s="7"/>
      <c r="D826" s="7"/>
      <c r="E826" s="7"/>
    </row>
    <row r="827" ht="15.75" customHeight="1">
      <c r="B827" s="7"/>
      <c r="C827" s="7"/>
      <c r="D827" s="7"/>
      <c r="E827" s="7"/>
    </row>
    <row r="828" ht="15.75" customHeight="1">
      <c r="B828" s="7"/>
      <c r="C828" s="7"/>
      <c r="D828" s="7"/>
      <c r="E828" s="7"/>
    </row>
    <row r="829" ht="15.75" customHeight="1">
      <c r="B829" s="7"/>
      <c r="C829" s="7"/>
      <c r="D829" s="7"/>
      <c r="E829" s="7"/>
    </row>
    <row r="830" ht="15.75" customHeight="1">
      <c r="B830" s="7"/>
      <c r="C830" s="7"/>
      <c r="D830" s="7"/>
      <c r="E830" s="7"/>
    </row>
    <row r="831" ht="15.75" customHeight="1">
      <c r="B831" s="7"/>
      <c r="C831" s="7"/>
      <c r="D831" s="7"/>
      <c r="E831" s="7"/>
    </row>
    <row r="832" ht="15.75" customHeight="1">
      <c r="B832" s="7"/>
      <c r="C832" s="7"/>
      <c r="D832" s="7"/>
      <c r="E832" s="7"/>
    </row>
    <row r="833" ht="15.75" customHeight="1">
      <c r="B833" s="7"/>
      <c r="C833" s="7"/>
      <c r="D833" s="7"/>
      <c r="E833" s="7"/>
    </row>
    <row r="834" ht="15.75" customHeight="1">
      <c r="B834" s="7"/>
      <c r="C834" s="7"/>
      <c r="D834" s="7"/>
      <c r="E834" s="7"/>
    </row>
    <row r="835" ht="15.75" customHeight="1">
      <c r="B835" s="7"/>
      <c r="C835" s="7"/>
      <c r="D835" s="7"/>
      <c r="E835" s="7"/>
    </row>
    <row r="836" ht="15.75" customHeight="1">
      <c r="B836" s="7"/>
      <c r="C836" s="7"/>
      <c r="D836" s="7"/>
      <c r="E836" s="7"/>
    </row>
    <row r="837" ht="15.75" customHeight="1">
      <c r="B837" s="7"/>
      <c r="C837" s="7"/>
      <c r="D837" s="7"/>
      <c r="E837" s="7"/>
    </row>
    <row r="838" ht="15.75" customHeight="1">
      <c r="B838" s="7"/>
      <c r="C838" s="7"/>
      <c r="D838" s="7"/>
      <c r="E838" s="7"/>
    </row>
    <row r="839" ht="15.75" customHeight="1">
      <c r="B839" s="7"/>
      <c r="C839" s="7"/>
      <c r="D839" s="7"/>
      <c r="E839" s="7"/>
    </row>
    <row r="840" ht="15.75" customHeight="1">
      <c r="B840" s="7"/>
      <c r="C840" s="7"/>
      <c r="D840" s="7"/>
      <c r="E840" s="7"/>
    </row>
    <row r="841" ht="15.75" customHeight="1">
      <c r="B841" s="7"/>
      <c r="C841" s="7"/>
      <c r="D841" s="7"/>
      <c r="E841" s="7"/>
    </row>
    <row r="842" ht="15.75" customHeight="1">
      <c r="B842" s="7"/>
      <c r="C842" s="7"/>
      <c r="D842" s="7"/>
      <c r="E842" s="7"/>
    </row>
    <row r="843" ht="15.75" customHeight="1">
      <c r="B843" s="7"/>
      <c r="C843" s="7"/>
      <c r="D843" s="7"/>
      <c r="E843" s="7"/>
    </row>
    <row r="844" ht="15.75" customHeight="1">
      <c r="B844" s="7"/>
      <c r="C844" s="7"/>
      <c r="D844" s="7"/>
      <c r="E844" s="7"/>
    </row>
    <row r="845" ht="15.75" customHeight="1">
      <c r="B845" s="7"/>
      <c r="C845" s="7"/>
      <c r="D845" s="7"/>
      <c r="E845" s="7"/>
    </row>
    <row r="846" ht="15.75" customHeight="1">
      <c r="B846" s="7"/>
      <c r="C846" s="7"/>
      <c r="D846" s="7"/>
      <c r="E846" s="7"/>
    </row>
    <row r="847" ht="15.75" customHeight="1">
      <c r="B847" s="7"/>
      <c r="C847" s="7"/>
      <c r="D847" s="7"/>
      <c r="E847" s="7"/>
    </row>
    <row r="848" ht="15.75" customHeight="1">
      <c r="B848" s="7"/>
      <c r="C848" s="7"/>
      <c r="D848" s="7"/>
      <c r="E848" s="7"/>
    </row>
    <row r="849" ht="15.75" customHeight="1">
      <c r="B849" s="7"/>
      <c r="C849" s="7"/>
      <c r="D849" s="7"/>
      <c r="E849" s="7"/>
    </row>
    <row r="850" ht="15.75" customHeight="1">
      <c r="B850" s="7"/>
      <c r="C850" s="7"/>
      <c r="D850" s="7"/>
      <c r="E850" s="7"/>
    </row>
    <row r="851" ht="15.75" customHeight="1">
      <c r="B851" s="7"/>
      <c r="C851" s="7"/>
      <c r="D851" s="7"/>
      <c r="E851" s="7"/>
    </row>
    <row r="852" ht="15.75" customHeight="1">
      <c r="B852" s="7"/>
      <c r="C852" s="7"/>
      <c r="D852" s="7"/>
      <c r="E852" s="7"/>
    </row>
    <row r="853" ht="15.75" customHeight="1">
      <c r="B853" s="7"/>
      <c r="C853" s="7"/>
      <c r="D853" s="7"/>
      <c r="E853" s="7"/>
    </row>
    <row r="854" ht="15.75" customHeight="1">
      <c r="B854" s="7"/>
      <c r="C854" s="7"/>
      <c r="D854" s="7"/>
      <c r="E854" s="7"/>
    </row>
    <row r="855" ht="15.75" customHeight="1">
      <c r="B855" s="7"/>
      <c r="C855" s="7"/>
      <c r="D855" s="7"/>
      <c r="E855" s="7"/>
    </row>
    <row r="856" ht="15.75" customHeight="1">
      <c r="B856" s="7"/>
      <c r="C856" s="7"/>
      <c r="D856" s="7"/>
      <c r="E856" s="7"/>
    </row>
    <row r="857" ht="15.75" customHeight="1">
      <c r="B857" s="7"/>
      <c r="C857" s="7"/>
      <c r="D857" s="7"/>
      <c r="E857" s="7"/>
    </row>
    <row r="858" ht="15.75" customHeight="1">
      <c r="B858" s="7"/>
      <c r="C858" s="7"/>
      <c r="D858" s="7"/>
      <c r="E858" s="7"/>
    </row>
    <row r="859" ht="15.75" customHeight="1">
      <c r="B859" s="7"/>
      <c r="C859" s="7"/>
      <c r="D859" s="7"/>
      <c r="E859" s="7"/>
    </row>
    <row r="860" ht="15.75" customHeight="1">
      <c r="B860" s="7"/>
      <c r="C860" s="7"/>
      <c r="D860" s="7"/>
      <c r="E860" s="7"/>
    </row>
    <row r="861" ht="15.75" customHeight="1">
      <c r="B861" s="7"/>
      <c r="C861" s="7"/>
      <c r="D861" s="7"/>
      <c r="E861" s="7"/>
    </row>
    <row r="862" ht="15.75" customHeight="1">
      <c r="B862" s="7"/>
      <c r="C862" s="7"/>
      <c r="D862" s="7"/>
      <c r="E862" s="7"/>
    </row>
    <row r="863" ht="15.75" customHeight="1">
      <c r="B863" s="7"/>
      <c r="C863" s="7"/>
      <c r="D863" s="7"/>
      <c r="E863" s="7"/>
    </row>
    <row r="864" ht="15.75" customHeight="1">
      <c r="B864" s="7"/>
      <c r="C864" s="7"/>
      <c r="D864" s="7"/>
      <c r="E864" s="7"/>
    </row>
    <row r="865" ht="15.75" customHeight="1">
      <c r="B865" s="7"/>
      <c r="C865" s="7"/>
      <c r="D865" s="7"/>
      <c r="E865" s="7"/>
    </row>
    <row r="866" ht="15.75" customHeight="1">
      <c r="B866" s="7"/>
      <c r="C866" s="7"/>
      <c r="D866" s="7"/>
      <c r="E866" s="7"/>
    </row>
    <row r="867" ht="15.75" customHeight="1">
      <c r="B867" s="7"/>
      <c r="C867" s="7"/>
      <c r="D867" s="7"/>
      <c r="E867" s="7"/>
    </row>
    <row r="868" ht="15.75" customHeight="1">
      <c r="B868" s="7"/>
      <c r="C868" s="7"/>
      <c r="D868" s="7"/>
      <c r="E868" s="7"/>
    </row>
    <row r="869" ht="15.75" customHeight="1">
      <c r="B869" s="7"/>
      <c r="C869" s="7"/>
      <c r="D869" s="7"/>
      <c r="E869" s="7"/>
    </row>
    <row r="870" ht="15.75" customHeight="1">
      <c r="B870" s="7"/>
      <c r="C870" s="7"/>
      <c r="D870" s="7"/>
      <c r="E870" s="7"/>
    </row>
    <row r="871" ht="15.75" customHeight="1">
      <c r="B871" s="7"/>
      <c r="C871" s="7"/>
      <c r="D871" s="7"/>
      <c r="E871" s="7"/>
    </row>
    <row r="872" ht="15.75" customHeight="1">
      <c r="B872" s="7"/>
      <c r="C872" s="7"/>
      <c r="D872" s="7"/>
      <c r="E872" s="7"/>
    </row>
    <row r="873" ht="15.75" customHeight="1">
      <c r="B873" s="7"/>
      <c r="C873" s="7"/>
      <c r="D873" s="7"/>
      <c r="E873" s="7"/>
    </row>
    <row r="874" ht="15.75" customHeight="1">
      <c r="B874" s="7"/>
      <c r="C874" s="7"/>
      <c r="D874" s="7"/>
      <c r="E874" s="7"/>
    </row>
    <row r="875" ht="15.75" customHeight="1">
      <c r="B875" s="7"/>
      <c r="C875" s="7"/>
      <c r="D875" s="7"/>
      <c r="E875" s="7"/>
    </row>
    <row r="876" ht="15.75" customHeight="1">
      <c r="B876" s="7"/>
      <c r="C876" s="7"/>
      <c r="D876" s="7"/>
      <c r="E876" s="7"/>
    </row>
    <row r="877" ht="15.75" customHeight="1">
      <c r="B877" s="7"/>
      <c r="C877" s="7"/>
      <c r="D877" s="7"/>
      <c r="E877" s="7"/>
    </row>
    <row r="878" ht="15.75" customHeight="1">
      <c r="B878" s="7"/>
      <c r="C878" s="7"/>
      <c r="D878" s="7"/>
      <c r="E878" s="7"/>
    </row>
    <row r="879" ht="15.75" customHeight="1">
      <c r="B879" s="7"/>
      <c r="C879" s="7"/>
      <c r="D879" s="7"/>
      <c r="E879" s="7"/>
    </row>
    <row r="880" ht="15.75" customHeight="1">
      <c r="B880" s="7"/>
      <c r="C880" s="7"/>
      <c r="D880" s="7"/>
      <c r="E880" s="7"/>
    </row>
    <row r="881" ht="15.75" customHeight="1">
      <c r="B881" s="7"/>
      <c r="C881" s="7"/>
      <c r="D881" s="7"/>
      <c r="E881" s="7"/>
    </row>
    <row r="882" ht="15.75" customHeight="1">
      <c r="B882" s="7"/>
      <c r="C882" s="7"/>
      <c r="D882" s="7"/>
      <c r="E882" s="7"/>
    </row>
    <row r="883" ht="15.75" customHeight="1">
      <c r="B883" s="7"/>
      <c r="C883" s="7"/>
      <c r="D883" s="7"/>
      <c r="E883" s="7"/>
    </row>
    <row r="884" ht="15.75" customHeight="1">
      <c r="B884" s="7"/>
      <c r="C884" s="7"/>
      <c r="D884" s="7"/>
      <c r="E884" s="7"/>
    </row>
    <row r="885" ht="15.75" customHeight="1">
      <c r="B885" s="7"/>
      <c r="C885" s="7"/>
      <c r="D885" s="7"/>
      <c r="E885" s="7"/>
    </row>
    <row r="886" ht="15.75" customHeight="1">
      <c r="B886" s="7"/>
      <c r="C886" s="7"/>
      <c r="D886" s="7"/>
      <c r="E886" s="7"/>
    </row>
    <row r="887" ht="15.75" customHeight="1">
      <c r="B887" s="7"/>
      <c r="C887" s="7"/>
      <c r="D887" s="7"/>
      <c r="E887" s="7"/>
    </row>
    <row r="888" ht="15.75" customHeight="1">
      <c r="B888" s="7"/>
      <c r="C888" s="7"/>
      <c r="D888" s="7"/>
      <c r="E888" s="7"/>
    </row>
    <row r="889" ht="15.75" customHeight="1">
      <c r="B889" s="7"/>
      <c r="C889" s="7"/>
      <c r="D889" s="7"/>
      <c r="E889" s="7"/>
    </row>
    <row r="890" ht="15.75" customHeight="1">
      <c r="B890" s="7"/>
      <c r="C890" s="7"/>
      <c r="D890" s="7"/>
      <c r="E890" s="7"/>
    </row>
    <row r="891" ht="15.75" customHeight="1">
      <c r="B891" s="7"/>
      <c r="C891" s="7"/>
      <c r="D891" s="7"/>
      <c r="E891" s="7"/>
    </row>
    <row r="892" ht="15.75" customHeight="1">
      <c r="B892" s="7"/>
      <c r="C892" s="7"/>
      <c r="D892" s="7"/>
      <c r="E892" s="7"/>
    </row>
    <row r="893" ht="15.75" customHeight="1">
      <c r="B893" s="7"/>
      <c r="C893" s="7"/>
      <c r="D893" s="7"/>
      <c r="E893" s="7"/>
    </row>
    <row r="894" ht="15.75" customHeight="1">
      <c r="B894" s="7"/>
      <c r="C894" s="7"/>
      <c r="D894" s="7"/>
      <c r="E894" s="7"/>
    </row>
    <row r="895" ht="15.75" customHeight="1">
      <c r="B895" s="7"/>
      <c r="C895" s="7"/>
      <c r="D895" s="7"/>
      <c r="E895" s="7"/>
    </row>
    <row r="896" ht="15.75" customHeight="1">
      <c r="B896" s="7"/>
      <c r="C896" s="7"/>
      <c r="D896" s="7"/>
      <c r="E896" s="7"/>
    </row>
    <row r="897" ht="15.75" customHeight="1">
      <c r="B897" s="7"/>
      <c r="C897" s="7"/>
      <c r="D897" s="7"/>
      <c r="E897" s="7"/>
    </row>
    <row r="898" ht="15.75" customHeight="1">
      <c r="B898" s="7"/>
      <c r="C898" s="7"/>
      <c r="D898" s="7"/>
      <c r="E898" s="7"/>
    </row>
    <row r="899" ht="15.75" customHeight="1">
      <c r="B899" s="7"/>
      <c r="C899" s="7"/>
      <c r="D899" s="7"/>
      <c r="E899" s="7"/>
    </row>
    <row r="900" ht="15.75" customHeight="1">
      <c r="B900" s="7"/>
      <c r="C900" s="7"/>
      <c r="D900" s="7"/>
      <c r="E900" s="7"/>
    </row>
    <row r="901" ht="15.75" customHeight="1">
      <c r="B901" s="7"/>
      <c r="C901" s="7"/>
      <c r="D901" s="7"/>
      <c r="E901" s="7"/>
    </row>
    <row r="902" ht="15.75" customHeight="1">
      <c r="B902" s="7"/>
      <c r="C902" s="7"/>
      <c r="D902" s="7"/>
      <c r="E902" s="7"/>
    </row>
    <row r="903" ht="15.75" customHeight="1">
      <c r="B903" s="7"/>
      <c r="C903" s="7"/>
      <c r="D903" s="7"/>
      <c r="E903" s="7"/>
    </row>
    <row r="904" ht="15.75" customHeight="1">
      <c r="B904" s="7"/>
      <c r="C904" s="7"/>
      <c r="D904" s="7"/>
      <c r="E904" s="7"/>
    </row>
    <row r="905" ht="15.75" customHeight="1">
      <c r="B905" s="7"/>
      <c r="C905" s="7"/>
      <c r="D905" s="7"/>
      <c r="E905" s="7"/>
    </row>
    <row r="906" ht="15.75" customHeight="1">
      <c r="B906" s="7"/>
      <c r="C906" s="7"/>
      <c r="D906" s="7"/>
      <c r="E906" s="7"/>
    </row>
    <row r="907" ht="15.75" customHeight="1">
      <c r="B907" s="7"/>
      <c r="C907" s="7"/>
      <c r="D907" s="7"/>
      <c r="E907" s="7"/>
    </row>
    <row r="908" ht="15.75" customHeight="1">
      <c r="B908" s="7"/>
      <c r="C908" s="7"/>
      <c r="D908" s="7"/>
      <c r="E908" s="7"/>
    </row>
    <row r="909" ht="15.75" customHeight="1">
      <c r="B909" s="7"/>
      <c r="C909" s="7"/>
      <c r="D909" s="7"/>
      <c r="E909" s="7"/>
    </row>
    <row r="910" ht="15.75" customHeight="1">
      <c r="B910" s="7"/>
      <c r="C910" s="7"/>
      <c r="D910" s="7"/>
      <c r="E910" s="7"/>
    </row>
    <row r="911" ht="15.75" customHeight="1">
      <c r="B911" s="7"/>
      <c r="C911" s="7"/>
      <c r="D911" s="7"/>
      <c r="E911" s="7"/>
    </row>
    <row r="912" ht="15.75" customHeight="1">
      <c r="B912" s="7"/>
      <c r="C912" s="7"/>
      <c r="D912" s="7"/>
      <c r="E912" s="7"/>
    </row>
    <row r="913" ht="15.75" customHeight="1">
      <c r="B913" s="7"/>
      <c r="C913" s="7"/>
      <c r="D913" s="7"/>
      <c r="E913" s="7"/>
    </row>
    <row r="914" ht="15.75" customHeight="1">
      <c r="B914" s="7"/>
      <c r="C914" s="7"/>
      <c r="D914" s="7"/>
      <c r="E914" s="7"/>
    </row>
    <row r="915" ht="15.75" customHeight="1">
      <c r="B915" s="7"/>
      <c r="C915" s="7"/>
      <c r="D915" s="7"/>
      <c r="E915" s="7"/>
    </row>
    <row r="916" ht="15.75" customHeight="1">
      <c r="B916" s="7"/>
      <c r="C916" s="7"/>
      <c r="D916" s="7"/>
      <c r="E916" s="7"/>
    </row>
    <row r="917" ht="15.75" customHeight="1">
      <c r="B917" s="7"/>
      <c r="C917" s="7"/>
      <c r="D917" s="7"/>
      <c r="E917" s="7"/>
    </row>
    <row r="918" ht="15.75" customHeight="1">
      <c r="B918" s="7"/>
      <c r="C918" s="7"/>
      <c r="D918" s="7"/>
      <c r="E918" s="7"/>
    </row>
    <row r="919" ht="15.75" customHeight="1">
      <c r="B919" s="7"/>
      <c r="C919" s="7"/>
      <c r="D919" s="7"/>
      <c r="E919" s="7"/>
    </row>
    <row r="920" ht="15.75" customHeight="1">
      <c r="B920" s="7"/>
      <c r="C920" s="7"/>
      <c r="D920" s="7"/>
      <c r="E920" s="7"/>
    </row>
    <row r="921" ht="15.75" customHeight="1">
      <c r="B921" s="7"/>
      <c r="C921" s="7"/>
      <c r="D921" s="7"/>
      <c r="E921" s="7"/>
    </row>
    <row r="922" ht="15.75" customHeight="1">
      <c r="B922" s="7"/>
      <c r="C922" s="7"/>
      <c r="D922" s="7"/>
      <c r="E922" s="7"/>
    </row>
    <row r="923" ht="15.75" customHeight="1">
      <c r="B923" s="7"/>
      <c r="C923" s="7"/>
      <c r="D923" s="7"/>
      <c r="E923" s="7"/>
    </row>
    <row r="924" ht="15.75" customHeight="1">
      <c r="B924" s="7"/>
      <c r="C924" s="7"/>
      <c r="D924" s="7"/>
      <c r="E924" s="7"/>
    </row>
    <row r="925" ht="15.75" customHeight="1">
      <c r="B925" s="7"/>
      <c r="C925" s="7"/>
      <c r="D925" s="7"/>
      <c r="E925" s="7"/>
    </row>
    <row r="926" ht="15.75" customHeight="1">
      <c r="B926" s="7"/>
      <c r="C926" s="7"/>
      <c r="D926" s="7"/>
      <c r="E926" s="7"/>
    </row>
    <row r="927" ht="15.75" customHeight="1">
      <c r="B927" s="7"/>
      <c r="C927" s="7"/>
      <c r="D927" s="7"/>
      <c r="E927" s="7"/>
    </row>
    <row r="928" ht="15.75" customHeight="1">
      <c r="B928" s="7"/>
      <c r="C928" s="7"/>
      <c r="D928" s="7"/>
      <c r="E928" s="7"/>
    </row>
    <row r="929" ht="15.75" customHeight="1">
      <c r="B929" s="7"/>
      <c r="C929" s="7"/>
      <c r="D929" s="7"/>
      <c r="E929" s="7"/>
    </row>
    <row r="930" ht="15.75" customHeight="1">
      <c r="B930" s="7"/>
      <c r="C930" s="7"/>
      <c r="D930" s="7"/>
      <c r="E930" s="7"/>
    </row>
    <row r="931" ht="15.75" customHeight="1">
      <c r="B931" s="7"/>
      <c r="C931" s="7"/>
      <c r="D931" s="7"/>
      <c r="E931" s="7"/>
    </row>
    <row r="932" ht="15.75" customHeight="1">
      <c r="B932" s="7"/>
      <c r="C932" s="7"/>
      <c r="D932" s="7"/>
      <c r="E932" s="7"/>
    </row>
    <row r="933" ht="15.75" customHeight="1">
      <c r="B933" s="7"/>
      <c r="C933" s="7"/>
      <c r="D933" s="7"/>
      <c r="E933" s="7"/>
    </row>
    <row r="934" ht="15.75" customHeight="1">
      <c r="B934" s="7"/>
      <c r="C934" s="7"/>
      <c r="D934" s="7"/>
      <c r="E934" s="7"/>
    </row>
    <row r="935" ht="15.75" customHeight="1">
      <c r="B935" s="7"/>
      <c r="C935" s="7"/>
      <c r="D935" s="7"/>
      <c r="E935" s="7"/>
    </row>
    <row r="936" ht="15.75" customHeight="1">
      <c r="B936" s="7"/>
      <c r="C936" s="7"/>
      <c r="D936" s="7"/>
      <c r="E936" s="7"/>
    </row>
    <row r="937" ht="15.75" customHeight="1">
      <c r="B937" s="7"/>
      <c r="C937" s="7"/>
      <c r="D937" s="7"/>
      <c r="E937" s="7"/>
    </row>
    <row r="938" ht="15.75" customHeight="1">
      <c r="B938" s="7"/>
      <c r="C938" s="7"/>
      <c r="D938" s="7"/>
      <c r="E938" s="7"/>
    </row>
    <row r="939" ht="15.75" customHeight="1">
      <c r="B939" s="7"/>
      <c r="C939" s="7"/>
      <c r="D939" s="7"/>
      <c r="E939" s="7"/>
    </row>
    <row r="940" ht="15.75" customHeight="1">
      <c r="B940" s="7"/>
      <c r="C940" s="7"/>
      <c r="D940" s="7"/>
      <c r="E940" s="7"/>
    </row>
    <row r="941" ht="15.75" customHeight="1">
      <c r="B941" s="7"/>
      <c r="C941" s="7"/>
      <c r="D941" s="7"/>
      <c r="E941" s="7"/>
    </row>
    <row r="942" ht="15.75" customHeight="1">
      <c r="B942" s="7"/>
      <c r="C942" s="7"/>
      <c r="D942" s="7"/>
      <c r="E942" s="7"/>
    </row>
    <row r="943" ht="15.75" customHeight="1">
      <c r="B943" s="7"/>
      <c r="C943" s="7"/>
      <c r="D943" s="7"/>
      <c r="E943" s="7"/>
    </row>
    <row r="944" ht="15.75" customHeight="1">
      <c r="B944" s="7"/>
      <c r="C944" s="7"/>
      <c r="D944" s="7"/>
      <c r="E944" s="7"/>
    </row>
    <row r="945" ht="15.75" customHeight="1">
      <c r="B945" s="7"/>
      <c r="C945" s="7"/>
      <c r="D945" s="7"/>
      <c r="E945" s="7"/>
    </row>
    <row r="946" ht="15.75" customHeight="1">
      <c r="B946" s="7"/>
      <c r="C946" s="7"/>
      <c r="D946" s="7"/>
      <c r="E946" s="7"/>
    </row>
    <row r="947" ht="15.75" customHeight="1">
      <c r="B947" s="7"/>
      <c r="C947" s="7"/>
      <c r="D947" s="7"/>
      <c r="E947" s="7"/>
    </row>
    <row r="948" ht="15.75" customHeight="1">
      <c r="B948" s="7"/>
      <c r="C948" s="7"/>
      <c r="D948" s="7"/>
      <c r="E948" s="7"/>
    </row>
    <row r="949" ht="15.75" customHeight="1">
      <c r="B949" s="7"/>
      <c r="C949" s="7"/>
      <c r="D949" s="7"/>
      <c r="E949" s="7"/>
    </row>
    <row r="950" ht="15.75" customHeight="1">
      <c r="B950" s="7"/>
      <c r="C950" s="7"/>
      <c r="D950" s="7"/>
      <c r="E950" s="7"/>
    </row>
    <row r="951" ht="15.75" customHeight="1">
      <c r="B951" s="7"/>
      <c r="C951" s="7"/>
      <c r="D951" s="7"/>
      <c r="E951" s="7"/>
    </row>
    <row r="952" ht="15.75" customHeight="1">
      <c r="B952" s="7"/>
      <c r="C952" s="7"/>
      <c r="D952" s="7"/>
      <c r="E952" s="7"/>
    </row>
    <row r="953" ht="15.75" customHeight="1">
      <c r="B953" s="7"/>
      <c r="C953" s="7"/>
      <c r="D953" s="7"/>
      <c r="E953" s="7"/>
    </row>
    <row r="954" ht="15.75" customHeight="1">
      <c r="B954" s="7"/>
      <c r="C954" s="7"/>
      <c r="D954" s="7"/>
      <c r="E954" s="7"/>
    </row>
    <row r="955" ht="15.75" customHeight="1">
      <c r="B955" s="7"/>
      <c r="C955" s="7"/>
      <c r="D955" s="7"/>
      <c r="E955" s="7"/>
    </row>
    <row r="956" ht="15.75" customHeight="1">
      <c r="B956" s="7"/>
      <c r="C956" s="7"/>
      <c r="D956" s="7"/>
      <c r="E956" s="7"/>
    </row>
    <row r="957" ht="15.75" customHeight="1">
      <c r="B957" s="7"/>
      <c r="C957" s="7"/>
      <c r="D957" s="7"/>
      <c r="E957" s="7"/>
    </row>
    <row r="958" ht="15.75" customHeight="1">
      <c r="B958" s="7"/>
      <c r="C958" s="7"/>
      <c r="D958" s="7"/>
      <c r="E958" s="7"/>
    </row>
    <row r="959" ht="15.75" customHeight="1">
      <c r="B959" s="7"/>
      <c r="C959" s="7"/>
      <c r="D959" s="7"/>
      <c r="E959" s="7"/>
    </row>
    <row r="960" ht="15.75" customHeight="1">
      <c r="B960" s="7"/>
      <c r="C960" s="7"/>
      <c r="D960" s="7"/>
      <c r="E960" s="7"/>
    </row>
    <row r="961" ht="15.75" customHeight="1">
      <c r="B961" s="7"/>
      <c r="C961" s="7"/>
      <c r="D961" s="7"/>
      <c r="E961" s="7"/>
    </row>
    <row r="962" ht="15.75" customHeight="1">
      <c r="B962" s="7"/>
      <c r="C962" s="7"/>
      <c r="D962" s="7"/>
      <c r="E962" s="7"/>
    </row>
    <row r="963" ht="15.75" customHeight="1">
      <c r="B963" s="7"/>
      <c r="C963" s="7"/>
      <c r="D963" s="7"/>
      <c r="E963" s="7"/>
    </row>
    <row r="964" ht="15.75" customHeight="1">
      <c r="B964" s="7"/>
      <c r="C964" s="7"/>
      <c r="D964" s="7"/>
      <c r="E964" s="7"/>
    </row>
    <row r="965" ht="15.75" customHeight="1">
      <c r="B965" s="7"/>
      <c r="C965" s="7"/>
      <c r="D965" s="7"/>
      <c r="E965" s="7"/>
    </row>
    <row r="966" ht="15.75" customHeight="1">
      <c r="B966" s="7"/>
      <c r="C966" s="7"/>
      <c r="D966" s="7"/>
      <c r="E966" s="7"/>
    </row>
    <row r="967" ht="15.75" customHeight="1">
      <c r="B967" s="7"/>
      <c r="C967" s="7"/>
      <c r="D967" s="7"/>
      <c r="E967" s="7"/>
    </row>
    <row r="968" ht="15.75" customHeight="1">
      <c r="B968" s="7"/>
      <c r="C968" s="7"/>
      <c r="D968" s="7"/>
      <c r="E968" s="7"/>
    </row>
    <row r="969" ht="15.75" customHeight="1">
      <c r="B969" s="7"/>
      <c r="C969" s="7"/>
      <c r="D969" s="7"/>
      <c r="E969" s="7"/>
    </row>
    <row r="970" ht="15.75" customHeight="1">
      <c r="B970" s="7"/>
      <c r="C970" s="7"/>
      <c r="D970" s="7"/>
      <c r="E970" s="7"/>
    </row>
    <row r="971" ht="15.75" customHeight="1">
      <c r="B971" s="7"/>
      <c r="C971" s="7"/>
      <c r="D971" s="7"/>
      <c r="E971" s="7"/>
    </row>
    <row r="972" ht="15.75" customHeight="1">
      <c r="B972" s="7"/>
      <c r="C972" s="7"/>
      <c r="D972" s="7"/>
      <c r="E972" s="7"/>
    </row>
    <row r="973" ht="15.75" customHeight="1">
      <c r="B973" s="7"/>
      <c r="C973" s="7"/>
      <c r="D973" s="7"/>
      <c r="E973" s="7"/>
    </row>
    <row r="974" ht="15.75" customHeight="1">
      <c r="B974" s="7"/>
      <c r="C974" s="7"/>
      <c r="D974" s="7"/>
      <c r="E974" s="7"/>
    </row>
    <row r="975" ht="15.75" customHeight="1">
      <c r="B975" s="7"/>
      <c r="C975" s="7"/>
      <c r="D975" s="7"/>
      <c r="E975" s="7"/>
    </row>
    <row r="976" ht="15.75" customHeight="1">
      <c r="B976" s="7"/>
      <c r="C976" s="7"/>
      <c r="D976" s="7"/>
      <c r="E976" s="7"/>
    </row>
    <row r="977" ht="15.75" customHeight="1">
      <c r="B977" s="7"/>
      <c r="C977" s="7"/>
      <c r="D977" s="7"/>
      <c r="E977" s="7"/>
    </row>
    <row r="978" ht="15.75" customHeight="1">
      <c r="B978" s="7"/>
      <c r="C978" s="7"/>
      <c r="D978" s="7"/>
      <c r="E978" s="7"/>
    </row>
    <row r="979" ht="15.75" customHeight="1">
      <c r="B979" s="7"/>
      <c r="C979" s="7"/>
      <c r="D979" s="7"/>
      <c r="E979" s="7"/>
    </row>
    <row r="980" ht="15.75" customHeight="1">
      <c r="B980" s="7"/>
      <c r="C980" s="7"/>
      <c r="D980" s="7"/>
      <c r="E980" s="7"/>
    </row>
    <row r="981" ht="15.75" customHeight="1">
      <c r="B981" s="7"/>
      <c r="C981" s="7"/>
      <c r="D981" s="7"/>
      <c r="E981" s="7"/>
    </row>
    <row r="982" ht="15.75" customHeight="1">
      <c r="B982" s="7"/>
      <c r="C982" s="7"/>
      <c r="D982" s="7"/>
      <c r="E982" s="7"/>
    </row>
    <row r="983" ht="15.75" customHeight="1">
      <c r="B983" s="7"/>
      <c r="C983" s="7"/>
      <c r="D983" s="7"/>
      <c r="E983" s="7"/>
    </row>
    <row r="984" ht="15.75" customHeight="1">
      <c r="B984" s="7"/>
      <c r="C984" s="7"/>
      <c r="D984" s="7"/>
      <c r="E984" s="7"/>
    </row>
    <row r="985" ht="15.75" customHeight="1">
      <c r="B985" s="7"/>
      <c r="C985" s="7"/>
      <c r="D985" s="7"/>
      <c r="E985" s="7"/>
    </row>
    <row r="986" ht="15.75" customHeight="1">
      <c r="B986" s="7"/>
      <c r="C986" s="7"/>
      <c r="D986" s="7"/>
      <c r="E986" s="7"/>
    </row>
    <row r="987" ht="15.75" customHeight="1">
      <c r="B987" s="7"/>
      <c r="C987" s="7"/>
      <c r="D987" s="7"/>
      <c r="E987" s="7"/>
    </row>
    <row r="988" ht="15.75" customHeight="1">
      <c r="B988" s="7"/>
      <c r="C988" s="7"/>
      <c r="D988" s="7"/>
      <c r="E988" s="7"/>
    </row>
    <row r="989" ht="15.75" customHeight="1">
      <c r="B989" s="7"/>
      <c r="C989" s="7"/>
      <c r="D989" s="7"/>
      <c r="E989" s="7"/>
    </row>
    <row r="990" ht="15.75" customHeight="1">
      <c r="B990" s="7"/>
      <c r="C990" s="7"/>
      <c r="D990" s="7"/>
      <c r="E990" s="7"/>
    </row>
    <row r="991" ht="15.75" customHeight="1">
      <c r="B991" s="7"/>
      <c r="C991" s="7"/>
      <c r="D991" s="7"/>
      <c r="E991" s="7"/>
    </row>
    <row r="992" ht="15.75" customHeight="1">
      <c r="B992" s="7"/>
      <c r="C992" s="7"/>
      <c r="D992" s="7"/>
      <c r="E992" s="7"/>
    </row>
    <row r="993" ht="15.75" customHeight="1">
      <c r="B993" s="7"/>
      <c r="C993" s="7"/>
      <c r="D993" s="7"/>
      <c r="E993" s="7"/>
    </row>
    <row r="994" ht="15.75" customHeight="1">
      <c r="B994" s="7"/>
      <c r="C994" s="7"/>
      <c r="D994" s="7"/>
      <c r="E994" s="7"/>
    </row>
    <row r="995" ht="15.75" customHeight="1">
      <c r="B995" s="7"/>
      <c r="C995" s="7"/>
      <c r="D995" s="7"/>
      <c r="E995" s="7"/>
    </row>
    <row r="996" ht="15.75" customHeight="1">
      <c r="B996" s="7"/>
      <c r="C996" s="7"/>
      <c r="D996" s="7"/>
      <c r="E996" s="7"/>
    </row>
    <row r="997" ht="15.75" customHeight="1">
      <c r="B997" s="7"/>
      <c r="C997" s="7"/>
      <c r="D997" s="7"/>
      <c r="E997" s="7"/>
    </row>
    <row r="998" ht="15.75" customHeight="1">
      <c r="B998" s="7"/>
      <c r="C998" s="7"/>
      <c r="D998" s="7"/>
      <c r="E998" s="7"/>
    </row>
    <row r="999" ht="15.75" customHeight="1">
      <c r="B999" s="7"/>
      <c r="C999" s="7"/>
      <c r="D999" s="7"/>
      <c r="E999" s="7"/>
    </row>
    <row r="1000" ht="15.75" customHeight="1">
      <c r="B1000" s="7"/>
      <c r="C1000" s="7"/>
      <c r="D1000" s="7"/>
      <c r="E1000" s="7"/>
    </row>
  </sheetData>
  <printOptions/>
  <pageMargins bottom="0.75" footer="0.0" header="0.0" left="0.7" right="0.7" top="0.75"/>
  <pageSetup orientation="landscape"/>
  <drawing r:id="rId1"/>
</worksheet>
</file>